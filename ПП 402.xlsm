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\\WIN-SHARE\Share\1 Штаб\1.25 Ком-й депар ЖК АмГрад\Коммерческий департамент ЖК\ПЛАН ПРОДАЖ\4КВ\"/>
    </mc:Choice>
  </mc:AlternateContent>
  <xr:revisionPtr revIDLastSave="0" documentId="13_ncr:1_{548AFFB9-BF17-4045-B0AC-AFD9452BC496}" xr6:coauthVersionLast="47" xr6:coauthVersionMax="47" xr10:uidLastSave="{00000000-0000-0000-0000-000000000000}"/>
  <bookViews>
    <workbookView xWindow="-120" yWindow="-120" windowWidth="29040" windowHeight="15840" tabRatio="541" xr2:uid="{EE7E77C1-9EA6-4ED5-B44B-732283D2661A}"/>
  </bookViews>
  <sheets>
    <sheet name="Реестр ОН" sheetId="3" r:id="rId1"/>
    <sheet name="402 Чистовая" sheetId="28" r:id="rId2"/>
    <sheet name="Наценка коэфф" sheetId="25" r:id="rId3"/>
    <sheet name="коэффициенты" sheetId="22" r:id="rId4"/>
    <sheet name="Сводная остатки" sheetId="26" r:id="rId5"/>
    <sheet name="срез по отделке" sheetId="21" r:id="rId6"/>
    <sheet name="РД" sheetId="27" r:id="rId7"/>
  </sheets>
  <externalReferences>
    <externalReference r:id="rId8"/>
    <externalReference r:id="rId9"/>
  </externalReferences>
  <definedNames>
    <definedName name="_xlnm._FilterDatabase" localSheetId="0" hidden="1">'Реестр ОН'!$R$1:$U$1</definedName>
    <definedName name="ExternalData_1" localSheetId="6" hidden="1">РД!$A$1:$BJ$27</definedName>
    <definedName name="Метка1">#REF!</definedName>
    <definedName name="Метка2">#REF!</definedName>
    <definedName name="Метка3">#REF!</definedName>
    <definedName name="Метка4">#REF!</definedName>
    <definedName name="Реестр4_1" localSheetId="2" hidden="1">'Наценка коэфф'!$A$2:$AS$290</definedName>
    <definedName name="Срез_Номер_на_этаже">#N/A</definedName>
    <definedName name="Срез_Секция">#N/A</definedName>
    <definedName name="СуммаДДУ" localSheetId="5">[1]!Таблица4[[#Headers],[Сумма
с отделкой]]</definedName>
    <definedName name="СуммаДДУ">[2]!Таблица4[[#Headers],[Сумма
с отделкой]]</definedName>
  </definedNames>
  <calcPr calcId="191029"/>
  <pivotCaches>
    <pivotCache cacheId="0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3" l="1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BH3" i="3"/>
  <c r="BH4" i="3"/>
  <c r="BH5" i="3"/>
  <c r="BH6" i="3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26" i="3"/>
  <c r="BH27" i="3"/>
  <c r="BH28" i="3"/>
  <c r="BH29" i="3"/>
  <c r="BH30" i="3"/>
  <c r="BH31" i="3"/>
  <c r="BH32" i="3"/>
  <c r="BH33" i="3"/>
  <c r="BH34" i="3"/>
  <c r="BH35" i="3"/>
  <c r="BH36" i="3"/>
  <c r="BH37" i="3"/>
  <c r="BH38" i="3"/>
  <c r="BH39" i="3"/>
  <c r="BH40" i="3"/>
  <c r="BH41" i="3"/>
  <c r="BH42" i="3"/>
  <c r="BH43" i="3"/>
  <c r="BH44" i="3"/>
  <c r="BH45" i="3"/>
  <c r="BH46" i="3"/>
  <c r="BH47" i="3"/>
  <c r="BH48" i="3"/>
  <c r="BH49" i="3"/>
  <c r="BH50" i="3"/>
  <c r="BH51" i="3"/>
  <c r="BH52" i="3"/>
  <c r="BH53" i="3"/>
  <c r="BH54" i="3"/>
  <c r="BH55" i="3"/>
  <c r="BH56" i="3"/>
  <c r="BH57" i="3"/>
  <c r="BH58" i="3"/>
  <c r="BH59" i="3"/>
  <c r="BH60" i="3"/>
  <c r="BH61" i="3"/>
  <c r="BH62" i="3"/>
  <c r="BH63" i="3"/>
  <c r="BH64" i="3"/>
  <c r="BH65" i="3"/>
  <c r="BH66" i="3"/>
  <c r="BH67" i="3"/>
  <c r="BH68" i="3"/>
  <c r="BH69" i="3"/>
  <c r="BH70" i="3"/>
  <c r="BH71" i="3"/>
  <c r="BH72" i="3"/>
  <c r="BH73" i="3"/>
  <c r="BH74" i="3"/>
  <c r="BH75" i="3"/>
  <c r="BH76" i="3"/>
  <c r="BH77" i="3"/>
  <c r="BH78" i="3"/>
  <c r="BH79" i="3"/>
  <c r="BH80" i="3"/>
  <c r="BH81" i="3"/>
  <c r="BH82" i="3"/>
  <c r="BH83" i="3"/>
  <c r="BH84" i="3"/>
  <c r="BH85" i="3"/>
  <c r="BH86" i="3"/>
  <c r="BH87" i="3"/>
  <c r="BH88" i="3"/>
  <c r="BH89" i="3"/>
  <c r="BH90" i="3"/>
  <c r="BH91" i="3"/>
  <c r="BH92" i="3"/>
  <c r="BH93" i="3"/>
  <c r="BH94" i="3"/>
  <c r="BH95" i="3"/>
  <c r="BH96" i="3"/>
  <c r="BH97" i="3"/>
  <c r="BH98" i="3"/>
  <c r="BH99" i="3"/>
  <c r="BH100" i="3"/>
  <c r="BH101" i="3"/>
  <c r="BH102" i="3"/>
  <c r="BH103" i="3"/>
  <c r="BH104" i="3"/>
  <c r="BH105" i="3"/>
  <c r="BH106" i="3"/>
  <c r="BH107" i="3"/>
  <c r="BH108" i="3"/>
  <c r="BH109" i="3"/>
  <c r="BH110" i="3"/>
  <c r="BH111" i="3"/>
  <c r="BH112" i="3"/>
  <c r="BH113" i="3"/>
  <c r="BH114" i="3"/>
  <c r="BH115" i="3"/>
  <c r="BH116" i="3"/>
  <c r="BH117" i="3"/>
  <c r="BH118" i="3"/>
  <c r="BH119" i="3"/>
  <c r="BH120" i="3"/>
  <c r="BH121" i="3"/>
  <c r="BH122" i="3"/>
  <c r="BH123" i="3"/>
  <c r="BH124" i="3"/>
  <c r="BH125" i="3"/>
  <c r="BH126" i="3"/>
  <c r="BH127" i="3"/>
  <c r="BH128" i="3"/>
  <c r="BH129" i="3"/>
  <c r="BH130" i="3"/>
  <c r="BH131" i="3"/>
  <c r="BH132" i="3"/>
  <c r="BH133" i="3"/>
  <c r="BH134" i="3"/>
  <c r="BH135" i="3"/>
  <c r="BH136" i="3"/>
  <c r="BH137" i="3"/>
  <c r="BH138" i="3"/>
  <c r="BH139" i="3"/>
  <c r="BH140" i="3"/>
  <c r="BH141" i="3"/>
  <c r="BH142" i="3"/>
  <c r="BH143" i="3"/>
  <c r="BH144" i="3"/>
  <c r="BH145" i="3"/>
  <c r="BH146" i="3"/>
  <c r="BH147" i="3"/>
  <c r="BH148" i="3"/>
  <c r="BH149" i="3"/>
  <c r="BH150" i="3"/>
  <c r="BH151" i="3"/>
  <c r="BH152" i="3"/>
  <c r="BH153" i="3"/>
  <c r="BH154" i="3"/>
  <c r="BH155" i="3"/>
  <c r="BH156" i="3"/>
  <c r="BH157" i="3"/>
  <c r="BH158" i="3"/>
  <c r="BH159" i="3"/>
  <c r="BH160" i="3"/>
  <c r="BH161" i="3"/>
  <c r="BH162" i="3"/>
  <c r="BH163" i="3"/>
  <c r="BH164" i="3"/>
  <c r="BH165" i="3"/>
  <c r="BH166" i="3"/>
  <c r="BH167" i="3"/>
  <c r="BH168" i="3"/>
  <c r="BH169" i="3"/>
  <c r="BH170" i="3"/>
  <c r="BH171" i="3"/>
  <c r="BH172" i="3"/>
  <c r="BH173" i="3"/>
  <c r="BH174" i="3"/>
  <c r="BH175" i="3"/>
  <c r="BH176" i="3"/>
  <c r="BH177" i="3"/>
  <c r="BH178" i="3"/>
  <c r="BH179" i="3"/>
  <c r="BH180" i="3"/>
  <c r="BH181" i="3"/>
  <c r="BH182" i="3"/>
  <c r="BH183" i="3"/>
  <c r="BH184" i="3"/>
  <c r="BH185" i="3"/>
  <c r="BH186" i="3"/>
  <c r="BH187" i="3"/>
  <c r="BH188" i="3"/>
  <c r="BH189" i="3"/>
  <c r="BH190" i="3"/>
  <c r="BH191" i="3"/>
  <c r="BH192" i="3"/>
  <c r="BH193" i="3"/>
  <c r="BH194" i="3"/>
  <c r="BH195" i="3"/>
  <c r="BH196" i="3"/>
  <c r="BH197" i="3"/>
  <c r="BH198" i="3"/>
  <c r="BH199" i="3"/>
  <c r="BH200" i="3"/>
  <c r="BH201" i="3"/>
  <c r="BH202" i="3"/>
  <c r="BH203" i="3"/>
  <c r="BH204" i="3"/>
  <c r="BH205" i="3"/>
  <c r="BH206" i="3"/>
  <c r="BH207" i="3"/>
  <c r="BH208" i="3"/>
  <c r="BH209" i="3"/>
  <c r="BH210" i="3"/>
  <c r="BH211" i="3"/>
  <c r="BH212" i="3"/>
  <c r="BH213" i="3"/>
  <c r="BH214" i="3"/>
  <c r="BH215" i="3"/>
  <c r="BH216" i="3"/>
  <c r="BH217" i="3"/>
  <c r="BH218" i="3"/>
  <c r="BH219" i="3"/>
  <c r="BH220" i="3"/>
  <c r="BH221" i="3"/>
  <c r="BH222" i="3"/>
  <c r="BH223" i="3"/>
  <c r="BH224" i="3"/>
  <c r="BH225" i="3"/>
  <c r="BH226" i="3"/>
  <c r="BH227" i="3"/>
  <c r="BH228" i="3"/>
  <c r="BH229" i="3"/>
  <c r="BH230" i="3"/>
  <c r="BH231" i="3"/>
  <c r="BH232" i="3"/>
  <c r="BH233" i="3"/>
  <c r="BH234" i="3"/>
  <c r="BH235" i="3"/>
  <c r="BH236" i="3"/>
  <c r="BH237" i="3"/>
  <c r="BH238" i="3"/>
  <c r="BH239" i="3"/>
  <c r="BH240" i="3"/>
  <c r="BH241" i="3"/>
  <c r="BH242" i="3"/>
  <c r="BH243" i="3"/>
  <c r="BH244" i="3"/>
  <c r="BH245" i="3"/>
  <c r="BH246" i="3"/>
  <c r="BH247" i="3"/>
  <c r="BH248" i="3"/>
  <c r="BH249" i="3"/>
  <c r="BH250" i="3"/>
  <c r="BH251" i="3"/>
  <c r="BH252" i="3"/>
  <c r="BH253" i="3"/>
  <c r="BH254" i="3"/>
  <c r="BH255" i="3"/>
  <c r="BH256" i="3"/>
  <c r="BH257" i="3"/>
  <c r="BH258" i="3"/>
  <c r="BH259" i="3"/>
  <c r="BH260" i="3"/>
  <c r="BH261" i="3"/>
  <c r="BH262" i="3"/>
  <c r="BH263" i="3"/>
  <c r="BH264" i="3"/>
  <c r="BH265" i="3"/>
  <c r="BH266" i="3"/>
  <c r="BH267" i="3"/>
  <c r="BH268" i="3"/>
  <c r="BH269" i="3"/>
  <c r="BH270" i="3"/>
  <c r="BH271" i="3"/>
  <c r="BH272" i="3"/>
  <c r="BH273" i="3"/>
  <c r="BH274" i="3"/>
  <c r="BH275" i="3"/>
  <c r="BH276" i="3"/>
  <c r="BH277" i="3"/>
  <c r="BH278" i="3"/>
  <c r="BH279" i="3"/>
  <c r="BH280" i="3"/>
  <c r="BH281" i="3"/>
  <c r="BH282" i="3"/>
  <c r="BH283" i="3"/>
  <c r="BH284" i="3"/>
  <c r="BH285" i="3"/>
  <c r="BH286" i="3"/>
  <c r="BH287" i="3"/>
  <c r="BH288" i="3"/>
  <c r="BH289" i="3"/>
  <c r="BH290" i="3"/>
  <c r="BB3" i="3" l="1" a="1"/>
  <c r="BB3" i="3" s="1"/>
  <c r="BB4" i="3" a="1"/>
  <c r="BB4" i="3" s="1"/>
  <c r="BB5" i="3" a="1"/>
  <c r="BB5" i="3" s="1"/>
  <c r="BB6" i="3" a="1"/>
  <c r="BB6" i="3" s="1"/>
  <c r="BB7" i="3" a="1"/>
  <c r="BB7" i="3" s="1"/>
  <c r="BB8" i="3" a="1"/>
  <c r="BB8" i="3" s="1"/>
  <c r="BB9" i="3" a="1"/>
  <c r="BB9" i="3" s="1"/>
  <c r="BB10" i="3" a="1"/>
  <c r="BB10" i="3" s="1"/>
  <c r="BB11" i="3" a="1"/>
  <c r="BB11" i="3" s="1"/>
  <c r="BB12" i="3" a="1"/>
  <c r="BB12" i="3" s="1"/>
  <c r="BB13" i="3" a="1"/>
  <c r="BB13" i="3" s="1"/>
  <c r="BB14" i="3" a="1"/>
  <c r="BB14" i="3" s="1"/>
  <c r="BB15" i="3" a="1"/>
  <c r="BB15" i="3" s="1"/>
  <c r="BB16" i="3" a="1"/>
  <c r="BB16" i="3" s="1"/>
  <c r="BB17" i="3" a="1"/>
  <c r="BB17" i="3" s="1"/>
  <c r="BB18" i="3" a="1"/>
  <c r="BB18" i="3" s="1"/>
  <c r="BB19" i="3" a="1"/>
  <c r="BB19" i="3" s="1"/>
  <c r="BB20" i="3" a="1"/>
  <c r="BB20" i="3" s="1"/>
  <c r="BB21" i="3" a="1"/>
  <c r="BB21" i="3" s="1"/>
  <c r="BB22" i="3" a="1"/>
  <c r="BB22" i="3" s="1"/>
  <c r="BB23" i="3" a="1"/>
  <c r="BB23" i="3" s="1"/>
  <c r="BB24" i="3" a="1"/>
  <c r="BB24" i="3" s="1"/>
  <c r="BB25" i="3" a="1"/>
  <c r="BB25" i="3" s="1"/>
  <c r="BB26" i="3" a="1"/>
  <c r="BB26" i="3" s="1"/>
  <c r="BB27" i="3" a="1"/>
  <c r="BB27" i="3" s="1"/>
  <c r="BB28" i="3" a="1"/>
  <c r="BB28" i="3" s="1"/>
  <c r="BB29" i="3" a="1"/>
  <c r="BB29" i="3" s="1"/>
  <c r="BB30" i="3" a="1"/>
  <c r="BB30" i="3" s="1"/>
  <c r="BB31" i="3" a="1"/>
  <c r="BB31" i="3" s="1"/>
  <c r="BB32" i="3" a="1"/>
  <c r="BB32" i="3" s="1"/>
  <c r="BB33" i="3" a="1"/>
  <c r="BB33" i="3" s="1"/>
  <c r="BB34" i="3" a="1"/>
  <c r="BB34" i="3" s="1"/>
  <c r="BB35" i="3" a="1"/>
  <c r="BB35" i="3" s="1"/>
  <c r="BB36" i="3" a="1"/>
  <c r="BB36" i="3" s="1"/>
  <c r="BB37" i="3" a="1"/>
  <c r="BB37" i="3" s="1"/>
  <c r="BB38" i="3" a="1"/>
  <c r="BB38" i="3" s="1"/>
  <c r="BB39" i="3" a="1"/>
  <c r="BB39" i="3" s="1"/>
  <c r="BB40" i="3" a="1"/>
  <c r="BB40" i="3" s="1"/>
  <c r="BB41" i="3" a="1"/>
  <c r="BB41" i="3" s="1"/>
  <c r="BB42" i="3" a="1"/>
  <c r="BB42" i="3" s="1"/>
  <c r="BB43" i="3" a="1"/>
  <c r="BB43" i="3" s="1"/>
  <c r="BB44" i="3" a="1"/>
  <c r="BB44" i="3" s="1"/>
  <c r="BB45" i="3" a="1"/>
  <c r="BB45" i="3" s="1"/>
  <c r="BB46" i="3" a="1"/>
  <c r="BB46" i="3" s="1"/>
  <c r="BB47" i="3" a="1"/>
  <c r="BB47" i="3" s="1"/>
  <c r="BB48" i="3" a="1"/>
  <c r="BB48" i="3" s="1"/>
  <c r="BB49" i="3" a="1"/>
  <c r="BB49" i="3" s="1"/>
  <c r="BB50" i="3" a="1"/>
  <c r="BB50" i="3" s="1"/>
  <c r="BB51" i="3" a="1"/>
  <c r="BB51" i="3" s="1"/>
  <c r="BB52" i="3" a="1"/>
  <c r="BB52" i="3" s="1"/>
  <c r="BB53" i="3" a="1"/>
  <c r="BB53" i="3" s="1"/>
  <c r="BB54" i="3" a="1"/>
  <c r="BB54" i="3" s="1"/>
  <c r="BB55" i="3" a="1"/>
  <c r="BB55" i="3" s="1"/>
  <c r="BB56" i="3" a="1"/>
  <c r="BB56" i="3" s="1"/>
  <c r="BB57" i="3" a="1"/>
  <c r="BB57" i="3" s="1"/>
  <c r="BB58" i="3" a="1"/>
  <c r="BB58" i="3" s="1"/>
  <c r="BB59" i="3" a="1"/>
  <c r="BB59" i="3" s="1"/>
  <c r="BB60" i="3" a="1"/>
  <c r="BB60" i="3" s="1"/>
  <c r="BB61" i="3" a="1"/>
  <c r="BB61" i="3" s="1"/>
  <c r="BB62" i="3" a="1"/>
  <c r="BB62" i="3" s="1"/>
  <c r="BB63" i="3" a="1"/>
  <c r="BB63" i="3" s="1"/>
  <c r="BB64" i="3" a="1"/>
  <c r="BB64" i="3" s="1"/>
  <c r="BB65" i="3" a="1"/>
  <c r="BB65" i="3" s="1"/>
  <c r="BB66" i="3" a="1"/>
  <c r="BB66" i="3" s="1"/>
  <c r="BB67" i="3" a="1"/>
  <c r="BB67" i="3" s="1"/>
  <c r="BB68" i="3" a="1"/>
  <c r="BB68" i="3" s="1"/>
  <c r="BB69" i="3" a="1"/>
  <c r="BB69" i="3" s="1"/>
  <c r="BB70" i="3" a="1"/>
  <c r="BB70" i="3" s="1"/>
  <c r="BB71" i="3" a="1"/>
  <c r="BB71" i="3" s="1"/>
  <c r="BB72" i="3" a="1"/>
  <c r="BB72" i="3" s="1"/>
  <c r="BB73" i="3" a="1"/>
  <c r="BB73" i="3" s="1"/>
  <c r="BB74" i="3" a="1"/>
  <c r="BB74" i="3" s="1"/>
  <c r="BB75" i="3" a="1"/>
  <c r="BB75" i="3" s="1"/>
  <c r="BB76" i="3" a="1"/>
  <c r="BB76" i="3" s="1"/>
  <c r="BB77" i="3" a="1"/>
  <c r="BB77" i="3" s="1"/>
  <c r="BB78" i="3" a="1"/>
  <c r="BB78" i="3" s="1"/>
  <c r="BB79" i="3" a="1"/>
  <c r="BB79" i="3" s="1"/>
  <c r="BB80" i="3" a="1"/>
  <c r="BB80" i="3" s="1"/>
  <c r="BB81" i="3" a="1"/>
  <c r="BB81" i="3" s="1"/>
  <c r="BB82" i="3" a="1"/>
  <c r="BB82" i="3" s="1"/>
  <c r="BB83" i="3" a="1"/>
  <c r="BB83" i="3" s="1"/>
  <c r="BB84" i="3" a="1"/>
  <c r="BB84" i="3" s="1"/>
  <c r="BB85" i="3" a="1"/>
  <c r="BB85" i="3" s="1"/>
  <c r="BB86" i="3" a="1"/>
  <c r="BB86" i="3" s="1"/>
  <c r="BB87" i="3" a="1"/>
  <c r="BB87" i="3" s="1"/>
  <c r="BB88" i="3" a="1"/>
  <c r="BB88" i="3" s="1"/>
  <c r="BB89" i="3" a="1"/>
  <c r="BB89" i="3" s="1"/>
  <c r="BB90" i="3" a="1"/>
  <c r="BB90" i="3" s="1"/>
  <c r="BB91" i="3" a="1"/>
  <c r="BB91" i="3" s="1"/>
  <c r="BB92" i="3" a="1"/>
  <c r="BB92" i="3" s="1"/>
  <c r="BB93" i="3" a="1"/>
  <c r="BB93" i="3" s="1"/>
  <c r="BB94" i="3" a="1"/>
  <c r="BB94" i="3" s="1"/>
  <c r="BB95" i="3" a="1"/>
  <c r="BB95" i="3" s="1"/>
  <c r="BB96" i="3" a="1"/>
  <c r="BB96" i="3" s="1"/>
  <c r="BB97" i="3" a="1"/>
  <c r="BB97" i="3" s="1"/>
  <c r="BB98" i="3" a="1"/>
  <c r="BB98" i="3" s="1"/>
  <c r="BB99" i="3" a="1"/>
  <c r="BB99" i="3" s="1"/>
  <c r="BB100" i="3" a="1"/>
  <c r="BB100" i="3" s="1"/>
  <c r="BB101" i="3" a="1"/>
  <c r="BB101" i="3" s="1"/>
  <c r="BB102" i="3" a="1"/>
  <c r="BB102" i="3" s="1"/>
  <c r="BB103" i="3" a="1"/>
  <c r="BB103" i="3" s="1"/>
  <c r="BB104" i="3" a="1"/>
  <c r="BB104" i="3" s="1"/>
  <c r="BB105" i="3" a="1"/>
  <c r="BB105" i="3" s="1"/>
  <c r="BB106" i="3" a="1"/>
  <c r="BB106" i="3" s="1"/>
  <c r="BB107" i="3" a="1"/>
  <c r="BB107" i="3" s="1"/>
  <c r="BB108" i="3" a="1"/>
  <c r="BB108" i="3" s="1"/>
  <c r="BB109" i="3" a="1"/>
  <c r="BB109" i="3" s="1"/>
  <c r="BB110" i="3" a="1"/>
  <c r="BB110" i="3" s="1"/>
  <c r="BB111" i="3" a="1"/>
  <c r="BB111" i="3" s="1"/>
  <c r="BB112" i="3" a="1"/>
  <c r="BB112" i="3" s="1"/>
  <c r="BB113" i="3" a="1"/>
  <c r="BB113" i="3" s="1"/>
  <c r="BB114" i="3" a="1"/>
  <c r="BB114" i="3" s="1"/>
  <c r="BB115" i="3" a="1"/>
  <c r="BB115" i="3" s="1"/>
  <c r="BB116" i="3" a="1"/>
  <c r="BB116" i="3" s="1"/>
  <c r="BB117" i="3" a="1"/>
  <c r="BB117" i="3" s="1"/>
  <c r="BB118" i="3" a="1"/>
  <c r="BB118" i="3" s="1"/>
  <c r="BB119" i="3" a="1"/>
  <c r="BB119" i="3" s="1"/>
  <c r="BB120" i="3" a="1"/>
  <c r="BB120" i="3" s="1"/>
  <c r="BB121" i="3" a="1"/>
  <c r="BB121" i="3" s="1"/>
  <c r="BB122" i="3" a="1"/>
  <c r="BB122" i="3" s="1"/>
  <c r="BB123" i="3" a="1"/>
  <c r="BB123" i="3" s="1"/>
  <c r="BB124" i="3" a="1"/>
  <c r="BB124" i="3" s="1"/>
  <c r="BB125" i="3" a="1"/>
  <c r="BB125" i="3" s="1"/>
  <c r="BB126" i="3" a="1"/>
  <c r="BB126" i="3" s="1"/>
  <c r="BB127" i="3" a="1"/>
  <c r="BB127" i="3" s="1"/>
  <c r="BB128" i="3" a="1"/>
  <c r="BB128" i="3" s="1"/>
  <c r="BB129" i="3" a="1"/>
  <c r="BB129" i="3" s="1"/>
  <c r="BB130" i="3" a="1"/>
  <c r="BB130" i="3" s="1"/>
  <c r="BB131" i="3" a="1"/>
  <c r="BB131" i="3" s="1"/>
  <c r="BB132" i="3" a="1"/>
  <c r="BB132" i="3" s="1"/>
  <c r="BB133" i="3" a="1"/>
  <c r="BB133" i="3" s="1"/>
  <c r="BB134" i="3" a="1"/>
  <c r="BB134" i="3" s="1"/>
  <c r="BB135" i="3" a="1"/>
  <c r="BB135" i="3" s="1"/>
  <c r="BB136" i="3" a="1"/>
  <c r="BB136" i="3" s="1"/>
  <c r="BB137" i="3" a="1"/>
  <c r="BB137" i="3" s="1"/>
  <c r="BB138" i="3" a="1"/>
  <c r="BB138" i="3" s="1"/>
  <c r="BB139" i="3" a="1"/>
  <c r="BB139" i="3" s="1"/>
  <c r="BB140" i="3" a="1"/>
  <c r="BB140" i="3" s="1"/>
  <c r="BB141" i="3" a="1"/>
  <c r="BB141" i="3" s="1"/>
  <c r="BB142" i="3" a="1"/>
  <c r="BB142" i="3" s="1"/>
  <c r="BB143" i="3" a="1"/>
  <c r="BB143" i="3" s="1"/>
  <c r="BB144" i="3" a="1"/>
  <c r="BB144" i="3" s="1"/>
  <c r="BB145" i="3" a="1"/>
  <c r="BB145" i="3" s="1"/>
  <c r="BB146" i="3" a="1"/>
  <c r="BB146" i="3" s="1"/>
  <c r="BB147" i="3" a="1"/>
  <c r="BB147" i="3" s="1"/>
  <c r="BB148" i="3" a="1"/>
  <c r="BB148" i="3" s="1"/>
  <c r="BB149" i="3" a="1"/>
  <c r="BB149" i="3" s="1"/>
  <c r="BB150" i="3" a="1"/>
  <c r="BB150" i="3" s="1"/>
  <c r="BB151" i="3" a="1"/>
  <c r="BB151" i="3" s="1"/>
  <c r="BB152" i="3" a="1"/>
  <c r="BB152" i="3" s="1"/>
  <c r="BB153" i="3" a="1"/>
  <c r="BB153" i="3" s="1"/>
  <c r="BB154" i="3" a="1"/>
  <c r="BB154" i="3" s="1"/>
  <c r="BB155" i="3" a="1"/>
  <c r="BB155" i="3" s="1"/>
  <c r="BB156" i="3" a="1"/>
  <c r="BB156" i="3" s="1"/>
  <c r="BB157" i="3" a="1"/>
  <c r="BB157" i="3" s="1"/>
  <c r="BB158" i="3" a="1"/>
  <c r="BB158" i="3" s="1"/>
  <c r="BB159" i="3" a="1"/>
  <c r="BB159" i="3" s="1"/>
  <c r="BB160" i="3" a="1"/>
  <c r="BB160" i="3" s="1"/>
  <c r="BB161" i="3" a="1"/>
  <c r="BB161" i="3" s="1"/>
  <c r="BB162" i="3" a="1"/>
  <c r="BB162" i="3" s="1"/>
  <c r="BB163" i="3" a="1"/>
  <c r="BB163" i="3" s="1"/>
  <c r="BB164" i="3" a="1"/>
  <c r="BB164" i="3" s="1"/>
  <c r="BB165" i="3" a="1"/>
  <c r="BB165" i="3" s="1"/>
  <c r="BB166" i="3" a="1"/>
  <c r="BB166" i="3" s="1"/>
  <c r="BB167" i="3" a="1"/>
  <c r="BB167" i="3" s="1"/>
  <c r="BB168" i="3" a="1"/>
  <c r="BB168" i="3" s="1"/>
  <c r="BB169" i="3" a="1"/>
  <c r="BB169" i="3" s="1"/>
  <c r="BB170" i="3" a="1"/>
  <c r="BB170" i="3" s="1"/>
  <c r="BB171" i="3" a="1"/>
  <c r="BB171" i="3" s="1"/>
  <c r="BB172" i="3" a="1"/>
  <c r="BB172" i="3" s="1"/>
  <c r="BB173" i="3" a="1"/>
  <c r="BB173" i="3" s="1"/>
  <c r="BB174" i="3" a="1"/>
  <c r="BB174" i="3" s="1"/>
  <c r="BB175" i="3" a="1"/>
  <c r="BB175" i="3" s="1"/>
  <c r="BB176" i="3" a="1"/>
  <c r="BB176" i="3" s="1"/>
  <c r="BB177" i="3" a="1"/>
  <c r="BB177" i="3" s="1"/>
  <c r="BB178" i="3" a="1"/>
  <c r="BB178" i="3" s="1"/>
  <c r="BB179" i="3" a="1"/>
  <c r="BB179" i="3" s="1"/>
  <c r="BB180" i="3" a="1"/>
  <c r="BB180" i="3" s="1"/>
  <c r="BB181" i="3" a="1"/>
  <c r="BB181" i="3" s="1"/>
  <c r="BB182" i="3" a="1"/>
  <c r="BB182" i="3" s="1"/>
  <c r="BB183" i="3" a="1"/>
  <c r="BB183" i="3" s="1"/>
  <c r="BB184" i="3" a="1"/>
  <c r="BB184" i="3" s="1"/>
  <c r="BB185" i="3" a="1"/>
  <c r="BB185" i="3" s="1"/>
  <c r="BB186" i="3" a="1"/>
  <c r="BB186" i="3" s="1"/>
  <c r="BB187" i="3" a="1"/>
  <c r="BB187" i="3" s="1"/>
  <c r="BB188" i="3" a="1"/>
  <c r="BB188" i="3" s="1"/>
  <c r="BB189" i="3" a="1"/>
  <c r="BB189" i="3" s="1"/>
  <c r="BB190" i="3" a="1"/>
  <c r="BB190" i="3" s="1"/>
  <c r="BB191" i="3" a="1"/>
  <c r="BB191" i="3" s="1"/>
  <c r="BB192" i="3" a="1"/>
  <c r="BB192" i="3" s="1"/>
  <c r="BB193" i="3" a="1"/>
  <c r="BB193" i="3" s="1"/>
  <c r="BB194" i="3" a="1"/>
  <c r="BB194" i="3" s="1"/>
  <c r="BB195" i="3" a="1"/>
  <c r="BB195" i="3" s="1"/>
  <c r="BB196" i="3" a="1"/>
  <c r="BB196" i="3" s="1"/>
  <c r="BB197" i="3" a="1"/>
  <c r="BB197" i="3" s="1"/>
  <c r="BB198" i="3" a="1"/>
  <c r="BB198" i="3" s="1"/>
  <c r="BB199" i="3" a="1"/>
  <c r="BB199" i="3" s="1"/>
  <c r="BB200" i="3" a="1"/>
  <c r="BB200" i="3" s="1"/>
  <c r="BB201" i="3" a="1"/>
  <c r="BB201" i="3" s="1"/>
  <c r="BB202" i="3" a="1"/>
  <c r="BB202" i="3" s="1"/>
  <c r="BB203" i="3" a="1"/>
  <c r="BB203" i="3" s="1"/>
  <c r="BB204" i="3" a="1"/>
  <c r="BB204" i="3" s="1"/>
  <c r="BB205" i="3" a="1"/>
  <c r="BB205" i="3" s="1"/>
  <c r="BB206" i="3" a="1"/>
  <c r="BB206" i="3" s="1"/>
  <c r="BB207" i="3" a="1"/>
  <c r="BB207" i="3" s="1"/>
  <c r="BB208" i="3" a="1"/>
  <c r="BB208" i="3" s="1"/>
  <c r="BB209" i="3" a="1"/>
  <c r="BB209" i="3" s="1"/>
  <c r="BB210" i="3" a="1"/>
  <c r="BB210" i="3" s="1"/>
  <c r="BB211" i="3" a="1"/>
  <c r="BB211" i="3" s="1"/>
  <c r="BB212" i="3" a="1"/>
  <c r="BB212" i="3" s="1"/>
  <c r="BB213" i="3" a="1"/>
  <c r="BB213" i="3" s="1"/>
  <c r="BB214" i="3" a="1"/>
  <c r="BB214" i="3" s="1"/>
  <c r="BB215" i="3" a="1"/>
  <c r="BB215" i="3" s="1"/>
  <c r="BB216" i="3" a="1"/>
  <c r="BB216" i="3" s="1"/>
  <c r="BB217" i="3" a="1"/>
  <c r="BB217" i="3" s="1"/>
  <c r="BB218" i="3" a="1"/>
  <c r="BB218" i="3" s="1"/>
  <c r="BB219" i="3" a="1"/>
  <c r="BB219" i="3" s="1"/>
  <c r="BB220" i="3" a="1"/>
  <c r="BB220" i="3" s="1"/>
  <c r="BB221" i="3" a="1"/>
  <c r="BB221" i="3" s="1"/>
  <c r="BB222" i="3" a="1"/>
  <c r="BB222" i="3" s="1"/>
  <c r="BB223" i="3" a="1"/>
  <c r="BB223" i="3" s="1"/>
  <c r="BB224" i="3" a="1"/>
  <c r="BB224" i="3" s="1"/>
  <c r="BB225" i="3" a="1"/>
  <c r="BB225" i="3" s="1"/>
  <c r="BB226" i="3" a="1"/>
  <c r="BB226" i="3" s="1"/>
  <c r="BB227" i="3" a="1"/>
  <c r="BB227" i="3" s="1"/>
  <c r="BB228" i="3" a="1"/>
  <c r="BB228" i="3" s="1"/>
  <c r="BB229" i="3" a="1"/>
  <c r="BB229" i="3" s="1"/>
  <c r="BB230" i="3" a="1"/>
  <c r="BB230" i="3" s="1"/>
  <c r="BB231" i="3" a="1"/>
  <c r="BB231" i="3" s="1"/>
  <c r="BB232" i="3" a="1"/>
  <c r="BB232" i="3" s="1"/>
  <c r="BB233" i="3" a="1"/>
  <c r="BB233" i="3" s="1"/>
  <c r="BB234" i="3" a="1"/>
  <c r="BB234" i="3" s="1"/>
  <c r="BB235" i="3" a="1"/>
  <c r="BB235" i="3" s="1"/>
  <c r="BB236" i="3" a="1"/>
  <c r="BB236" i="3" s="1"/>
  <c r="BB237" i="3" a="1"/>
  <c r="BB237" i="3" s="1"/>
  <c r="BB238" i="3" a="1"/>
  <c r="BB238" i="3" s="1"/>
  <c r="BB239" i="3" a="1"/>
  <c r="BB239" i="3" s="1"/>
  <c r="BB240" i="3" a="1"/>
  <c r="BB240" i="3" s="1"/>
  <c r="BB241" i="3" a="1"/>
  <c r="BB241" i="3" s="1"/>
  <c r="BB242" i="3" a="1"/>
  <c r="BB242" i="3" s="1"/>
  <c r="BB243" i="3" a="1"/>
  <c r="BB243" i="3" s="1"/>
  <c r="BB244" i="3" a="1"/>
  <c r="BB244" i="3" s="1"/>
  <c r="BB245" i="3" a="1"/>
  <c r="BB245" i="3" s="1"/>
  <c r="BB246" i="3" a="1"/>
  <c r="BB246" i="3" s="1"/>
  <c r="BB247" i="3" a="1"/>
  <c r="BB247" i="3" s="1"/>
  <c r="BB248" i="3" a="1"/>
  <c r="BB248" i="3" s="1"/>
  <c r="BB249" i="3" a="1"/>
  <c r="BB249" i="3" s="1"/>
  <c r="BB250" i="3" a="1"/>
  <c r="BB250" i="3" s="1"/>
  <c r="BB251" i="3" a="1"/>
  <c r="BB251" i="3" s="1"/>
  <c r="BB252" i="3" a="1"/>
  <c r="BB252" i="3" s="1"/>
  <c r="BB253" i="3" a="1"/>
  <c r="BB253" i="3" s="1"/>
  <c r="BB254" i="3" a="1"/>
  <c r="BB254" i="3" s="1"/>
  <c r="BB255" i="3" a="1"/>
  <c r="BB255" i="3" s="1"/>
  <c r="BB256" i="3" a="1"/>
  <c r="BB256" i="3" s="1"/>
  <c r="BB257" i="3" a="1"/>
  <c r="BB257" i="3" s="1"/>
  <c r="BB258" i="3" a="1"/>
  <c r="BB258" i="3" s="1"/>
  <c r="BB259" i="3" a="1"/>
  <c r="BB259" i="3" s="1"/>
  <c r="BB260" i="3" a="1"/>
  <c r="BB260" i="3" s="1"/>
  <c r="BB261" i="3" a="1"/>
  <c r="BB261" i="3" s="1"/>
  <c r="BB262" i="3" a="1"/>
  <c r="BB262" i="3" s="1"/>
  <c r="BB263" i="3" a="1"/>
  <c r="BB263" i="3" s="1"/>
  <c r="BB264" i="3" a="1"/>
  <c r="BB264" i="3" s="1"/>
  <c r="BB265" i="3" a="1"/>
  <c r="BB265" i="3" s="1"/>
  <c r="BB266" i="3" a="1"/>
  <c r="BB266" i="3" s="1"/>
  <c r="BB267" i="3" a="1"/>
  <c r="BB267" i="3" s="1"/>
  <c r="BB268" i="3" a="1"/>
  <c r="BB268" i="3" s="1"/>
  <c r="BB269" i="3" a="1"/>
  <c r="BB269" i="3" s="1"/>
  <c r="BB270" i="3" a="1"/>
  <c r="BB270" i="3" s="1"/>
  <c r="BB271" i="3" a="1"/>
  <c r="BB271" i="3" s="1"/>
  <c r="BB272" i="3" a="1"/>
  <c r="BB272" i="3" s="1"/>
  <c r="BB273" i="3" a="1"/>
  <c r="BB273" i="3" s="1"/>
  <c r="BB274" i="3" a="1"/>
  <c r="BB274" i="3" s="1"/>
  <c r="BB275" i="3" a="1"/>
  <c r="BB275" i="3" s="1"/>
  <c r="BB276" i="3" a="1"/>
  <c r="BB276" i="3" s="1"/>
  <c r="BB277" i="3" a="1"/>
  <c r="BB277" i="3" s="1"/>
  <c r="BB278" i="3" a="1"/>
  <c r="BB278" i="3" s="1"/>
  <c r="BB279" i="3" a="1"/>
  <c r="BB279" i="3" s="1"/>
  <c r="BB280" i="3" a="1"/>
  <c r="BB280" i="3" s="1"/>
  <c r="BB281" i="3" a="1"/>
  <c r="BB281" i="3" s="1"/>
  <c r="BB282" i="3" a="1"/>
  <c r="BB282" i="3" s="1"/>
  <c r="BB283" i="3" a="1"/>
  <c r="BB283" i="3" s="1"/>
  <c r="BB284" i="3" a="1"/>
  <c r="BB284" i="3" s="1"/>
  <c r="BB285" i="3" a="1"/>
  <c r="BB285" i="3" s="1"/>
  <c r="BB286" i="3" a="1"/>
  <c r="BB286" i="3" s="1"/>
  <c r="BB287" i="3" a="1"/>
  <c r="BB287" i="3" s="1"/>
  <c r="BB288" i="3" a="1"/>
  <c r="BB288" i="3" s="1"/>
  <c r="BB289" i="3" a="1"/>
  <c r="BB289" i="3" s="1"/>
  <c r="BB290" i="3" a="1"/>
  <c r="BB290" i="3" s="1"/>
  <c r="G1" i="28" l="1"/>
  <c r="D27" i="22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F34" i="25"/>
  <c r="AF35" i="25"/>
  <c r="AF36" i="25"/>
  <c r="AF37" i="25"/>
  <c r="AF38" i="25"/>
  <c r="AF39" i="25"/>
  <c r="AF40" i="25"/>
  <c r="AF41" i="25"/>
  <c r="AF42" i="25"/>
  <c r="AF43" i="25"/>
  <c r="AF44" i="25"/>
  <c r="AF45" i="25"/>
  <c r="AF46" i="25"/>
  <c r="AF47" i="25"/>
  <c r="AF48" i="25"/>
  <c r="AF49" i="25"/>
  <c r="AF50" i="25"/>
  <c r="AF51" i="25"/>
  <c r="AF52" i="25"/>
  <c r="AF53" i="25"/>
  <c r="AF54" i="25"/>
  <c r="AF55" i="25"/>
  <c r="AF56" i="25"/>
  <c r="AF57" i="25"/>
  <c r="AF58" i="25"/>
  <c r="AF59" i="25"/>
  <c r="AF60" i="25"/>
  <c r="AF61" i="25"/>
  <c r="AF62" i="25"/>
  <c r="AF63" i="25"/>
  <c r="AF64" i="25"/>
  <c r="AF65" i="25"/>
  <c r="AF66" i="25"/>
  <c r="AF67" i="25"/>
  <c r="AF68" i="25"/>
  <c r="AF69" i="25"/>
  <c r="AF70" i="25"/>
  <c r="AF71" i="25"/>
  <c r="AF72" i="25"/>
  <c r="AF73" i="25"/>
  <c r="AF74" i="25"/>
  <c r="AF75" i="25"/>
  <c r="AF76" i="25"/>
  <c r="AF77" i="25"/>
  <c r="AF78" i="25"/>
  <c r="AF79" i="25"/>
  <c r="AF80" i="25"/>
  <c r="AF81" i="25"/>
  <c r="AF82" i="25"/>
  <c r="AF83" i="25"/>
  <c r="AF84" i="25"/>
  <c r="AF85" i="25"/>
  <c r="AF86" i="25"/>
  <c r="AF87" i="25"/>
  <c r="AF88" i="25"/>
  <c r="AF89" i="25"/>
  <c r="AF90" i="25"/>
  <c r="AF91" i="25"/>
  <c r="AF92" i="25"/>
  <c r="AF93" i="25"/>
  <c r="AF94" i="25"/>
  <c r="AF95" i="25"/>
  <c r="AF96" i="25"/>
  <c r="AF97" i="25"/>
  <c r="AF98" i="25"/>
  <c r="AF99" i="25"/>
  <c r="AF100" i="25"/>
  <c r="AF101" i="25"/>
  <c r="AF102" i="25"/>
  <c r="AF103" i="25"/>
  <c r="AF104" i="25"/>
  <c r="AF105" i="25"/>
  <c r="AF106" i="25"/>
  <c r="AF107" i="25"/>
  <c r="AF108" i="25"/>
  <c r="AF109" i="25"/>
  <c r="AF110" i="25"/>
  <c r="AF111" i="25"/>
  <c r="AF112" i="25"/>
  <c r="AF113" i="25"/>
  <c r="AF114" i="25"/>
  <c r="AF115" i="25"/>
  <c r="AF116" i="25"/>
  <c r="AF117" i="25"/>
  <c r="AF118" i="25"/>
  <c r="AF119" i="25"/>
  <c r="AF120" i="25"/>
  <c r="AF121" i="25"/>
  <c r="AF122" i="25"/>
  <c r="AF123" i="25"/>
  <c r="AF124" i="25"/>
  <c r="AF125" i="25"/>
  <c r="AF126" i="25"/>
  <c r="AF127" i="25"/>
  <c r="AF128" i="25"/>
  <c r="AF129" i="25"/>
  <c r="AF130" i="25"/>
  <c r="AF131" i="25"/>
  <c r="AF132" i="25"/>
  <c r="AF133" i="25"/>
  <c r="AF134" i="25"/>
  <c r="AF135" i="25"/>
  <c r="AF136" i="25"/>
  <c r="AF137" i="25"/>
  <c r="AF138" i="25"/>
  <c r="AF139" i="25"/>
  <c r="AF140" i="25"/>
  <c r="AF141" i="25"/>
  <c r="AF142" i="25"/>
  <c r="AF143" i="25"/>
  <c r="AF144" i="25"/>
  <c r="AF145" i="25"/>
  <c r="AF146" i="25"/>
  <c r="AF147" i="25"/>
  <c r="AF148" i="25"/>
  <c r="AF149" i="25"/>
  <c r="AF150" i="25"/>
  <c r="AF151" i="25"/>
  <c r="AF152" i="25"/>
  <c r="AF153" i="25"/>
  <c r="AF154" i="25"/>
  <c r="AF155" i="25"/>
  <c r="AF156" i="25"/>
  <c r="AF157" i="25"/>
  <c r="AF158" i="25"/>
  <c r="AF159" i="25"/>
  <c r="AF160" i="25"/>
  <c r="AF161" i="25"/>
  <c r="AF162" i="25"/>
  <c r="AF163" i="25"/>
  <c r="AF164" i="25"/>
  <c r="AF165" i="25"/>
  <c r="AF166" i="25"/>
  <c r="AF167" i="25"/>
  <c r="AF168" i="25"/>
  <c r="AF169" i="25"/>
  <c r="AF170" i="25"/>
  <c r="AF171" i="25"/>
  <c r="AF172" i="25"/>
  <c r="AF173" i="25"/>
  <c r="AF174" i="25"/>
  <c r="AF175" i="25"/>
  <c r="AF176" i="25"/>
  <c r="AF177" i="25"/>
  <c r="AF178" i="25"/>
  <c r="AF179" i="25"/>
  <c r="AF180" i="25"/>
  <c r="AF181" i="25"/>
  <c r="AF182" i="25"/>
  <c r="AF183" i="25"/>
  <c r="AF184" i="25"/>
  <c r="AF185" i="25"/>
  <c r="AF186" i="25"/>
  <c r="AF187" i="25"/>
  <c r="AF188" i="25"/>
  <c r="AF189" i="25"/>
  <c r="AF190" i="25"/>
  <c r="AF191" i="25"/>
  <c r="AF192" i="25"/>
  <c r="AF193" i="25"/>
  <c r="AF194" i="25"/>
  <c r="AF195" i="25"/>
  <c r="AF196" i="25"/>
  <c r="AF197" i="25"/>
  <c r="AF198" i="25"/>
  <c r="AF199" i="25"/>
  <c r="AF200" i="25"/>
  <c r="AF201" i="25"/>
  <c r="AF202" i="25"/>
  <c r="AF203" i="25"/>
  <c r="AF204" i="25"/>
  <c r="AF205" i="25"/>
  <c r="AF206" i="25"/>
  <c r="AF207" i="25"/>
  <c r="AF208" i="25"/>
  <c r="AF209" i="25"/>
  <c r="AF210" i="25"/>
  <c r="AF211" i="25"/>
  <c r="AF212" i="25"/>
  <c r="AF213" i="25"/>
  <c r="AF214" i="25"/>
  <c r="AF215" i="25"/>
  <c r="AF216" i="25"/>
  <c r="AF217" i="25"/>
  <c r="AF218" i="25"/>
  <c r="AF219" i="25"/>
  <c r="AF220" i="25"/>
  <c r="AF221" i="25"/>
  <c r="AF222" i="25"/>
  <c r="AF223" i="25"/>
  <c r="AF224" i="25"/>
  <c r="AF225" i="25"/>
  <c r="AF226" i="25"/>
  <c r="AF227" i="25"/>
  <c r="AF228" i="25"/>
  <c r="AF229" i="25"/>
  <c r="AF230" i="25"/>
  <c r="AF231" i="25"/>
  <c r="AF232" i="25"/>
  <c r="AF233" i="25"/>
  <c r="AF234" i="25"/>
  <c r="AF235" i="25"/>
  <c r="AF236" i="25"/>
  <c r="AF237" i="25"/>
  <c r="AF238" i="25"/>
  <c r="AF239" i="25"/>
  <c r="AF240" i="25"/>
  <c r="AF241" i="25"/>
  <c r="AF242" i="25"/>
  <c r="AF243" i="25"/>
  <c r="AF244" i="25"/>
  <c r="AF245" i="25"/>
  <c r="AF246" i="25"/>
  <c r="AF247" i="25"/>
  <c r="AF248" i="25"/>
  <c r="AF249" i="25"/>
  <c r="AF250" i="25"/>
  <c r="AF251" i="25"/>
  <c r="AF252" i="25"/>
  <c r="AF253" i="25"/>
  <c r="AF254" i="25"/>
  <c r="AF255" i="25"/>
  <c r="AF256" i="25"/>
  <c r="AF257" i="25"/>
  <c r="AF258" i="25"/>
  <c r="AF259" i="25"/>
  <c r="AF260" i="25"/>
  <c r="AF261" i="25"/>
  <c r="AF262" i="25"/>
  <c r="AF263" i="25"/>
  <c r="AF264" i="25"/>
  <c r="AF265" i="25"/>
  <c r="AF266" i="25"/>
  <c r="AF267" i="25"/>
  <c r="AF268" i="25"/>
  <c r="AF269" i="25"/>
  <c r="AF270" i="25"/>
  <c r="AF271" i="25"/>
  <c r="AF272" i="25"/>
  <c r="AF273" i="25"/>
  <c r="AF274" i="25"/>
  <c r="AF275" i="25"/>
  <c r="AF276" i="25"/>
  <c r="AF277" i="25"/>
  <c r="AF278" i="25"/>
  <c r="AF279" i="25"/>
  <c r="AF280" i="25"/>
  <c r="AF281" i="25"/>
  <c r="AF282" i="25"/>
  <c r="AF283" i="25"/>
  <c r="AF284" i="25"/>
  <c r="AF285" i="25"/>
  <c r="AF286" i="25"/>
  <c r="AF287" i="25"/>
  <c r="AF288" i="25"/>
  <c r="AF289" i="25"/>
  <c r="AF290" i="25"/>
  <c r="N20" i="22"/>
  <c r="P20" i="22"/>
  <c r="N21" i="22"/>
  <c r="P21" i="22"/>
  <c r="M22" i="22"/>
  <c r="O22" i="22"/>
  <c r="P22" i="22"/>
  <c r="P19" i="22"/>
  <c r="N19" i="22"/>
  <c r="P5" i="22"/>
  <c r="P6" i="22"/>
  <c r="P10" i="22"/>
  <c r="P12" i="22"/>
  <c r="P13" i="22"/>
  <c r="P14" i="22"/>
  <c r="P16" i="22"/>
  <c r="P17" i="22"/>
  <c r="P4" i="22"/>
  <c r="M5" i="22"/>
  <c r="M7" i="22"/>
  <c r="M11" i="22"/>
  <c r="M12" i="22"/>
  <c r="M13" i="22"/>
  <c r="M14" i="22"/>
  <c r="M15" i="22"/>
  <c r="M16" i="22"/>
  <c r="N7" i="22"/>
  <c r="N9" i="22"/>
  <c r="N11" i="22"/>
  <c r="N13" i="22"/>
  <c r="N14" i="22"/>
  <c r="N15" i="22"/>
  <c r="N16" i="22"/>
  <c r="N17" i="22"/>
  <c r="O15" i="22"/>
  <c r="O9" i="22"/>
  <c r="O13" i="22"/>
  <c r="O4" i="22"/>
  <c r="N4" i="22"/>
  <c r="M4" i="22"/>
  <c r="N2" i="22"/>
  <c r="N10" i="22" s="1"/>
  <c r="O2" i="22"/>
  <c r="O10" i="22" s="1"/>
  <c r="P2" i="22"/>
  <c r="P7" i="22" s="1"/>
  <c r="M2" i="22"/>
  <c r="M8" i="22" s="1"/>
  <c r="O19" i="22" l="1"/>
  <c r="O8" i="22"/>
  <c r="O20" i="22"/>
  <c r="O7" i="22"/>
  <c r="O21" i="22"/>
  <c r="N8" i="22"/>
  <c r="N22" i="22"/>
  <c r="M21" i="22"/>
  <c r="M20" i="22"/>
  <c r="M19" i="22"/>
  <c r="M6" i="22"/>
  <c r="P11" i="22"/>
  <c r="O14" i="22"/>
  <c r="O6" i="22"/>
  <c r="N6" i="22"/>
  <c r="P9" i="22"/>
  <c r="O5" i="22"/>
  <c r="N5" i="22"/>
  <c r="M10" i="22"/>
  <c r="P8" i="22"/>
  <c r="O12" i="22"/>
  <c r="O17" i="22"/>
  <c r="N12" i="22"/>
  <c r="M17" i="22"/>
  <c r="M9" i="22"/>
  <c r="P15" i="22"/>
  <c r="O11" i="22"/>
  <c r="O16" i="22"/>
  <c r="AM3" i="25" l="1"/>
  <c r="AM5" i="25"/>
  <c r="AM6" i="25"/>
  <c r="AM7" i="25"/>
  <c r="AM8" i="25"/>
  <c r="AM9" i="25"/>
  <c r="AM11" i="25"/>
  <c r="AM12" i="25"/>
  <c r="AM13" i="25"/>
  <c r="AM14" i="25"/>
  <c r="AM15" i="25"/>
  <c r="AM17" i="25"/>
  <c r="AM18" i="25"/>
  <c r="AM19" i="25"/>
  <c r="AM20" i="25"/>
  <c r="AM21" i="25"/>
  <c r="AM23" i="25"/>
  <c r="AM24" i="25"/>
  <c r="AM25" i="25"/>
  <c r="AM26" i="25"/>
  <c r="AM27" i="25"/>
  <c r="AM29" i="25"/>
  <c r="AM30" i="25"/>
  <c r="AM31" i="25"/>
  <c r="AM32" i="25"/>
  <c r="AM33" i="25"/>
  <c r="AM35" i="25"/>
  <c r="AM36" i="25"/>
  <c r="AM37" i="25"/>
  <c r="AM38" i="25"/>
  <c r="AM39" i="25"/>
  <c r="AM41" i="25"/>
  <c r="AM42" i="25"/>
  <c r="AM43" i="25"/>
  <c r="AM44" i="25"/>
  <c r="AM45" i="25"/>
  <c r="AM47" i="25"/>
  <c r="AM48" i="25"/>
  <c r="AM49" i="25"/>
  <c r="AM50" i="25"/>
  <c r="AM51" i="25"/>
  <c r="AM53" i="25"/>
  <c r="AM54" i="25"/>
  <c r="AM55" i="25"/>
  <c r="AM56" i="25"/>
  <c r="AM57" i="25"/>
  <c r="AM59" i="25"/>
  <c r="AM60" i="25"/>
  <c r="AM61" i="25"/>
  <c r="AM62" i="25"/>
  <c r="AM63" i="25"/>
  <c r="AM65" i="25"/>
  <c r="AM66" i="25"/>
  <c r="AM67" i="25"/>
  <c r="AM68" i="25"/>
  <c r="AM69" i="25"/>
  <c r="AM71" i="25"/>
  <c r="AM72" i="25"/>
  <c r="AM73" i="25"/>
  <c r="AM74" i="25"/>
  <c r="AM75" i="25"/>
  <c r="AM77" i="25"/>
  <c r="AM78" i="25"/>
  <c r="AM79" i="25"/>
  <c r="AM80" i="25"/>
  <c r="AM81" i="25"/>
  <c r="AM83" i="25"/>
  <c r="AM84" i="25"/>
  <c r="AM85" i="25"/>
  <c r="AM86" i="25"/>
  <c r="AM87" i="25"/>
  <c r="AM89" i="25"/>
  <c r="AM90" i="25"/>
  <c r="AM91" i="25"/>
  <c r="AM92" i="25"/>
  <c r="AM93" i="25"/>
  <c r="AM95" i="25"/>
  <c r="AM96" i="25"/>
  <c r="AM97" i="25"/>
  <c r="AM98" i="25"/>
  <c r="AM99" i="25"/>
  <c r="AM101" i="25"/>
  <c r="AM102" i="25"/>
  <c r="AM103" i="25"/>
  <c r="AM104" i="25"/>
  <c r="AM105" i="25"/>
  <c r="AM107" i="25"/>
  <c r="AM108" i="25"/>
  <c r="AM109" i="25"/>
  <c r="AM110" i="25"/>
  <c r="AM112" i="25"/>
  <c r="AM114" i="25"/>
  <c r="AM115" i="25"/>
  <c r="AM117" i="25"/>
  <c r="AM118" i="25"/>
  <c r="AM119" i="25"/>
  <c r="AM120" i="25"/>
  <c r="AM121" i="25"/>
  <c r="AM122" i="25"/>
  <c r="AM123" i="25"/>
  <c r="AM124" i="25"/>
  <c r="AM125" i="25"/>
  <c r="AM126" i="25"/>
  <c r="AM127" i="25"/>
  <c r="AM128" i="25"/>
  <c r="AM129" i="25"/>
  <c r="AM130" i="25"/>
  <c r="AM131" i="25"/>
  <c r="AM132" i="25"/>
  <c r="AM133" i="25"/>
  <c r="AM134" i="25"/>
  <c r="AM135" i="25"/>
  <c r="AM136" i="25"/>
  <c r="AM137" i="25"/>
  <c r="AM138" i="25"/>
  <c r="AM139" i="25"/>
  <c r="AM140" i="25"/>
  <c r="AM141" i="25"/>
  <c r="AM142" i="25"/>
  <c r="AM143" i="25"/>
  <c r="AM144" i="25"/>
  <c r="AM145" i="25"/>
  <c r="AM146" i="25"/>
  <c r="AM147" i="25"/>
  <c r="AM148" i="25"/>
  <c r="AM149" i="25"/>
  <c r="AM150" i="25"/>
  <c r="AM151" i="25"/>
  <c r="AM152" i="25"/>
  <c r="AM153" i="25"/>
  <c r="AM154" i="25"/>
  <c r="AM155" i="25"/>
  <c r="AM156" i="25"/>
  <c r="AM157" i="25"/>
  <c r="AM158" i="25"/>
  <c r="AM159" i="25"/>
  <c r="AM160" i="25"/>
  <c r="AM161" i="25"/>
  <c r="AM162" i="25"/>
  <c r="AM163" i="25"/>
  <c r="AM164" i="25"/>
  <c r="AM165" i="25"/>
  <c r="AM166" i="25"/>
  <c r="AM167" i="25"/>
  <c r="AM168" i="25"/>
  <c r="AM169" i="25"/>
  <c r="AM170" i="25"/>
  <c r="AM171" i="25"/>
  <c r="AM172" i="25"/>
  <c r="AM173" i="25"/>
  <c r="AM174" i="25"/>
  <c r="AM175" i="25"/>
  <c r="AM176" i="25"/>
  <c r="AM177" i="25"/>
  <c r="AM178" i="25"/>
  <c r="AM179" i="25"/>
  <c r="AM180" i="25"/>
  <c r="AM181" i="25"/>
  <c r="AM182" i="25"/>
  <c r="AM183" i="25"/>
  <c r="AM184" i="25"/>
  <c r="AM185" i="25"/>
  <c r="AM186" i="25"/>
  <c r="AM188" i="25"/>
  <c r="AM189" i="25"/>
  <c r="AM190" i="25"/>
  <c r="AM191" i="25"/>
  <c r="AM192" i="25"/>
  <c r="AM195" i="25"/>
  <c r="AM196" i="25"/>
  <c r="AM197" i="25"/>
  <c r="AM198" i="25"/>
  <c r="AM200" i="25"/>
  <c r="AM201" i="25"/>
  <c r="AM202" i="25"/>
  <c r="AM203" i="25"/>
  <c r="AM204" i="25"/>
  <c r="AM207" i="25"/>
  <c r="AM208" i="25"/>
  <c r="AM209" i="25"/>
  <c r="AM210" i="25"/>
  <c r="AM213" i="25"/>
  <c r="AM214" i="25"/>
  <c r="AM215" i="25"/>
  <c r="AM216" i="25"/>
  <c r="AM218" i="25"/>
  <c r="AM219" i="25"/>
  <c r="AM220" i="25"/>
  <c r="AM221" i="25"/>
  <c r="AM222" i="25"/>
  <c r="AM225" i="25"/>
  <c r="AM226" i="25"/>
  <c r="AM227" i="25"/>
  <c r="AM228" i="25"/>
  <c r="AM230" i="25"/>
  <c r="AM231" i="25"/>
  <c r="AM232" i="25"/>
  <c r="AM233" i="25"/>
  <c r="AM234" i="25"/>
  <c r="AM237" i="25"/>
  <c r="AM238" i="25"/>
  <c r="AM239" i="25"/>
  <c r="AM240" i="25"/>
  <c r="AM242" i="25"/>
  <c r="AM243" i="25"/>
  <c r="AM244" i="25"/>
  <c r="AM245" i="25"/>
  <c r="AM246" i="25"/>
  <c r="AM249" i="25"/>
  <c r="AM250" i="25"/>
  <c r="AM251" i="25"/>
  <c r="AM252" i="25"/>
  <c r="AM255" i="25"/>
  <c r="AM256" i="25"/>
  <c r="AM257" i="25"/>
  <c r="AM258" i="25"/>
  <c r="AM260" i="25"/>
  <c r="AM261" i="25"/>
  <c r="AM262" i="25"/>
  <c r="AM263" i="25"/>
  <c r="AM264" i="25"/>
  <c r="AM267" i="25"/>
  <c r="AM268" i="25"/>
  <c r="AM269" i="25"/>
  <c r="AM270" i="25"/>
  <c r="AM273" i="25"/>
  <c r="AM274" i="25"/>
  <c r="AM275" i="25"/>
  <c r="AM276" i="25"/>
  <c r="AM278" i="25"/>
  <c r="AM279" i="25"/>
  <c r="AM280" i="25"/>
  <c r="AM281" i="25"/>
  <c r="AM282" i="25"/>
  <c r="AM285" i="25"/>
  <c r="AM286" i="25"/>
  <c r="AM287" i="25"/>
  <c r="AM288" i="25"/>
  <c r="AM290" i="25"/>
  <c r="AN3" i="25" l="1"/>
  <c r="AN4" i="25"/>
  <c r="AN5" i="25"/>
  <c r="AN6" i="25"/>
  <c r="AN7" i="25"/>
  <c r="AN9" i="25"/>
  <c r="AN10" i="25"/>
  <c r="AN11" i="25"/>
  <c r="AN12" i="25"/>
  <c r="AN13" i="25"/>
  <c r="AN15" i="25"/>
  <c r="AN16" i="25"/>
  <c r="AN17" i="25"/>
  <c r="AN18" i="25"/>
  <c r="AN19" i="25"/>
  <c r="AN21" i="25"/>
  <c r="AN22" i="25"/>
  <c r="AN23" i="25"/>
  <c r="AN24" i="25"/>
  <c r="AN25" i="25"/>
  <c r="AN27" i="25"/>
  <c r="AN28" i="25"/>
  <c r="AN29" i="25"/>
  <c r="AN30" i="25"/>
  <c r="AN31" i="25"/>
  <c r="AN33" i="25"/>
  <c r="AN34" i="25"/>
  <c r="AN35" i="25"/>
  <c r="AN36" i="25"/>
  <c r="AN37" i="25"/>
  <c r="AN39" i="25"/>
  <c r="AN40" i="25"/>
  <c r="AN41" i="25"/>
  <c r="AN42" i="25"/>
  <c r="AN43" i="25"/>
  <c r="AN45" i="25"/>
  <c r="AN46" i="25"/>
  <c r="AN47" i="25"/>
  <c r="AN48" i="25"/>
  <c r="AN49" i="25"/>
  <c r="AN51" i="25"/>
  <c r="AN52" i="25"/>
  <c r="AN53" i="25"/>
  <c r="AN54" i="25"/>
  <c r="AN55" i="25"/>
  <c r="AN57" i="25"/>
  <c r="AN58" i="25"/>
  <c r="AN59" i="25"/>
  <c r="AN60" i="25"/>
  <c r="AN61" i="25"/>
  <c r="AN63" i="25"/>
  <c r="AN64" i="25"/>
  <c r="AN65" i="25"/>
  <c r="AN66" i="25"/>
  <c r="AN67" i="25"/>
  <c r="AN69" i="25"/>
  <c r="AN70" i="25"/>
  <c r="AN71" i="25"/>
  <c r="AN72" i="25"/>
  <c r="AN73" i="25"/>
  <c r="AN75" i="25"/>
  <c r="AN76" i="25"/>
  <c r="AN77" i="25"/>
  <c r="AN78" i="25"/>
  <c r="AN79" i="25"/>
  <c r="AN81" i="25"/>
  <c r="AN82" i="25"/>
  <c r="AN83" i="25"/>
  <c r="AN84" i="25"/>
  <c r="AN85" i="25"/>
  <c r="AN87" i="25"/>
  <c r="AN88" i="25"/>
  <c r="AN89" i="25"/>
  <c r="AN90" i="25"/>
  <c r="AN91" i="25"/>
  <c r="AN93" i="25"/>
  <c r="AN94" i="25"/>
  <c r="AN95" i="25"/>
  <c r="AN96" i="25"/>
  <c r="AN97" i="25"/>
  <c r="AN99" i="25"/>
  <c r="AN100" i="25"/>
  <c r="AN101" i="25"/>
  <c r="AN102" i="25"/>
  <c r="AN103" i="25"/>
  <c r="AN105" i="25"/>
  <c r="AN106" i="25"/>
  <c r="AN107" i="25"/>
  <c r="AN108" i="25"/>
  <c r="AN109" i="25"/>
  <c r="AN112" i="25"/>
  <c r="AN113" i="25"/>
  <c r="AN114" i="25"/>
  <c r="AN116" i="25"/>
  <c r="AN118" i="25"/>
  <c r="AN119" i="25"/>
  <c r="AN120" i="25"/>
  <c r="AN121" i="25"/>
  <c r="AN122" i="25"/>
  <c r="AN124" i="25"/>
  <c r="AN125" i="25"/>
  <c r="AN126" i="25"/>
  <c r="AN127" i="25"/>
  <c r="AN128" i="25"/>
  <c r="AN130" i="25"/>
  <c r="AN131" i="25"/>
  <c r="AN132" i="25"/>
  <c r="AN133" i="25"/>
  <c r="AN134" i="25"/>
  <c r="AN136" i="25"/>
  <c r="AN137" i="25"/>
  <c r="AN138" i="25"/>
  <c r="AN139" i="25"/>
  <c r="AN140" i="25"/>
  <c r="AN142" i="25"/>
  <c r="AN143" i="25"/>
  <c r="AN144" i="25"/>
  <c r="AN145" i="25"/>
  <c r="AN146" i="25"/>
  <c r="AN148" i="25"/>
  <c r="AN149" i="25"/>
  <c r="AN150" i="25"/>
  <c r="AN151" i="25"/>
  <c r="AN152" i="25"/>
  <c r="AN154" i="25"/>
  <c r="AN155" i="25"/>
  <c r="AN156" i="25"/>
  <c r="AN157" i="25"/>
  <c r="AN158" i="25"/>
  <c r="AN160" i="25"/>
  <c r="AN161" i="25"/>
  <c r="AN162" i="25"/>
  <c r="AN163" i="25"/>
  <c r="AN164" i="25"/>
  <c r="AN166" i="25"/>
  <c r="AN167" i="25"/>
  <c r="AN168" i="25"/>
  <c r="AN169" i="25"/>
  <c r="AN170" i="25"/>
  <c r="AN172" i="25"/>
  <c r="AN173" i="25"/>
  <c r="AN174" i="25"/>
  <c r="AN175" i="25"/>
  <c r="AN176" i="25"/>
  <c r="AN178" i="25"/>
  <c r="AN179" i="25"/>
  <c r="AN180" i="25"/>
  <c r="AN181" i="25"/>
  <c r="AN182" i="25"/>
  <c r="AN184" i="25"/>
  <c r="AN185" i="25"/>
  <c r="AN186" i="25"/>
  <c r="AN187" i="25"/>
  <c r="AN188" i="25"/>
  <c r="AN190" i="25"/>
  <c r="AN191" i="25"/>
  <c r="AN192" i="25"/>
  <c r="AN193" i="25"/>
  <c r="AN194" i="25"/>
  <c r="AN196" i="25"/>
  <c r="AN197" i="25"/>
  <c r="AN198" i="25"/>
  <c r="AN199" i="25"/>
  <c r="AN200" i="25"/>
  <c r="AN202" i="25"/>
  <c r="AN203" i="25"/>
  <c r="AN204" i="25"/>
  <c r="AN205" i="25"/>
  <c r="AN206" i="25"/>
  <c r="AN208" i="25"/>
  <c r="AN209" i="25"/>
  <c r="AN210" i="25"/>
  <c r="AN211" i="25"/>
  <c r="AN212" i="25"/>
  <c r="AN214" i="25"/>
  <c r="AN215" i="25"/>
  <c r="AN216" i="25"/>
  <c r="AN217" i="25"/>
  <c r="AN218" i="25"/>
  <c r="AN220" i="25"/>
  <c r="AN221" i="25"/>
  <c r="AN222" i="25"/>
  <c r="AN223" i="25"/>
  <c r="AN224" i="25"/>
  <c r="AN226" i="25"/>
  <c r="AN227" i="25"/>
  <c r="AN228" i="25"/>
  <c r="AN229" i="25"/>
  <c r="AN230" i="25"/>
  <c r="AN232" i="25"/>
  <c r="AN233" i="25"/>
  <c r="AN234" i="25"/>
  <c r="AN235" i="25"/>
  <c r="AN236" i="25"/>
  <c r="AN238" i="25"/>
  <c r="AN239" i="25"/>
  <c r="AN240" i="25"/>
  <c r="AN241" i="25"/>
  <c r="AN242" i="25"/>
  <c r="AN244" i="25"/>
  <c r="AN245" i="25"/>
  <c r="AN246" i="25"/>
  <c r="AN247" i="25"/>
  <c r="AN248" i="25"/>
  <c r="AN250" i="25"/>
  <c r="AN251" i="25"/>
  <c r="AN252" i="25"/>
  <c r="AN253" i="25"/>
  <c r="AN254" i="25"/>
  <c r="AN256" i="25"/>
  <c r="AN257" i="25"/>
  <c r="AN258" i="25"/>
  <c r="AN259" i="25"/>
  <c r="AN260" i="25"/>
  <c r="AN262" i="25"/>
  <c r="AN263" i="25"/>
  <c r="AN264" i="25"/>
  <c r="AN265" i="25"/>
  <c r="AN266" i="25"/>
  <c r="AN268" i="25"/>
  <c r="AN269" i="25"/>
  <c r="AN270" i="25"/>
  <c r="AN271" i="25"/>
  <c r="AN272" i="25"/>
  <c r="AN274" i="25"/>
  <c r="AN275" i="25"/>
  <c r="AN276" i="25"/>
  <c r="AN277" i="25"/>
  <c r="AN278" i="25"/>
  <c r="AN280" i="25"/>
  <c r="AN281" i="25"/>
  <c r="AN282" i="25"/>
  <c r="AN283" i="25"/>
  <c r="AN284" i="25"/>
  <c r="AN286" i="25"/>
  <c r="AN287" i="25"/>
  <c r="AN288" i="25"/>
  <c r="AN289" i="25"/>
  <c r="AN290" i="25"/>
  <c r="AL4" i="25"/>
  <c r="AL5" i="25"/>
  <c r="AL7" i="25"/>
  <c r="AL8" i="25"/>
  <c r="AL10" i="25"/>
  <c r="AL11" i="25"/>
  <c r="AL12" i="25"/>
  <c r="AL13" i="25"/>
  <c r="AL14" i="25"/>
  <c r="AL16" i="25"/>
  <c r="AL17" i="25"/>
  <c r="AL18" i="25"/>
  <c r="AL19" i="25"/>
  <c r="AL20" i="25"/>
  <c r="AL22" i="25"/>
  <c r="AL23" i="25"/>
  <c r="AL24" i="25"/>
  <c r="AL25" i="25"/>
  <c r="AL26" i="25"/>
  <c r="AL28" i="25"/>
  <c r="AL29" i="25"/>
  <c r="AL30" i="25"/>
  <c r="AL31" i="25"/>
  <c r="AL32" i="25"/>
  <c r="AL34" i="25"/>
  <c r="AL35" i="25"/>
  <c r="AL36" i="25"/>
  <c r="AL37" i="25"/>
  <c r="AL38" i="25"/>
  <c r="AL40" i="25"/>
  <c r="AL41" i="25"/>
  <c r="AL42" i="25"/>
  <c r="AL43" i="25"/>
  <c r="AL44" i="25"/>
  <c r="AL46" i="25"/>
  <c r="AL47" i="25"/>
  <c r="AL48" i="25"/>
  <c r="AL49" i="25"/>
  <c r="AL50" i="25"/>
  <c r="AL52" i="25"/>
  <c r="AL53" i="25"/>
  <c r="AL54" i="25"/>
  <c r="AL55" i="25"/>
  <c r="AL56" i="25"/>
  <c r="AL58" i="25"/>
  <c r="AL59" i="25"/>
  <c r="AL60" i="25"/>
  <c r="AL61" i="25"/>
  <c r="AL62" i="25"/>
  <c r="AL64" i="25"/>
  <c r="AL65" i="25"/>
  <c r="AL66" i="25"/>
  <c r="AL67" i="25"/>
  <c r="AL68" i="25"/>
  <c r="AL70" i="25"/>
  <c r="AL71" i="25"/>
  <c r="AL72" i="25"/>
  <c r="AL73" i="25"/>
  <c r="AL74" i="25"/>
  <c r="AL76" i="25"/>
  <c r="AL77" i="25"/>
  <c r="AL78" i="25"/>
  <c r="AL79" i="25"/>
  <c r="AL80" i="25"/>
  <c r="AL82" i="25"/>
  <c r="AL83" i="25"/>
  <c r="AL84" i="25"/>
  <c r="AL85" i="25"/>
  <c r="AL86" i="25"/>
  <c r="AL88" i="25"/>
  <c r="AL89" i="25"/>
  <c r="AL90" i="25"/>
  <c r="AL91" i="25"/>
  <c r="AL92" i="25"/>
  <c r="AL94" i="25"/>
  <c r="AL95" i="25"/>
  <c r="AL96" i="25"/>
  <c r="AL97" i="25"/>
  <c r="AL98" i="25"/>
  <c r="AL100" i="25"/>
  <c r="AL101" i="25"/>
  <c r="AL102" i="25"/>
  <c r="AL103" i="25"/>
  <c r="AL104" i="25"/>
  <c r="AL106" i="25"/>
  <c r="AL107" i="25"/>
  <c r="AL108" i="25"/>
  <c r="AL109" i="25"/>
  <c r="AL110" i="25"/>
  <c r="AL111" i="25"/>
  <c r="AL112" i="25"/>
  <c r="AL116" i="25"/>
  <c r="AL117" i="25"/>
  <c r="AL118" i="25"/>
  <c r="AL121" i="25"/>
  <c r="AL122" i="25"/>
  <c r="AL123" i="25"/>
  <c r="AL124" i="25"/>
  <c r="AL127" i="25"/>
  <c r="AL128" i="25"/>
  <c r="AL129" i="25"/>
  <c r="AL130" i="25"/>
  <c r="AL133" i="25"/>
  <c r="AL134" i="25"/>
  <c r="AL135" i="25"/>
  <c r="AL136" i="25"/>
  <c r="AL139" i="25"/>
  <c r="AL140" i="25"/>
  <c r="AL141" i="25"/>
  <c r="AL142" i="25"/>
  <c r="AL145" i="25"/>
  <c r="AL146" i="25"/>
  <c r="AL147" i="25"/>
  <c r="AL148" i="25"/>
  <c r="AL151" i="25"/>
  <c r="AL152" i="25"/>
  <c r="AL153" i="25"/>
  <c r="AL154" i="25"/>
  <c r="AL157" i="25"/>
  <c r="AL158" i="25"/>
  <c r="AL159" i="25"/>
  <c r="AL160" i="25"/>
  <c r="AL163" i="25"/>
  <c r="AL164" i="25"/>
  <c r="AL165" i="25"/>
  <c r="AL166" i="25"/>
  <c r="AL169" i="25"/>
  <c r="AL170" i="25"/>
  <c r="AL171" i="25"/>
  <c r="AL172" i="25"/>
  <c r="AL175" i="25"/>
  <c r="AL176" i="25"/>
  <c r="AL177" i="25"/>
  <c r="AL178" i="25"/>
  <c r="AL181" i="25"/>
  <c r="AL182" i="25"/>
  <c r="AL183" i="25"/>
  <c r="AL184" i="25"/>
  <c r="AL186" i="25"/>
  <c r="AL187" i="25"/>
  <c r="AL189" i="25"/>
  <c r="AL190" i="25"/>
  <c r="AL191" i="25"/>
  <c r="AL192" i="25"/>
  <c r="AL193" i="25"/>
  <c r="AL195" i="25"/>
  <c r="AL196" i="25"/>
  <c r="AL197" i="25"/>
  <c r="AL198" i="25"/>
  <c r="AL199" i="25"/>
  <c r="AL201" i="25"/>
  <c r="AL202" i="25"/>
  <c r="AL203" i="25"/>
  <c r="AL204" i="25"/>
  <c r="AL205" i="25"/>
  <c r="AL207" i="25"/>
  <c r="AL208" i="25"/>
  <c r="AL209" i="25"/>
  <c r="AL210" i="25"/>
  <c r="AL211" i="25"/>
  <c r="AL213" i="25"/>
  <c r="AL214" i="25"/>
  <c r="AL215" i="25"/>
  <c r="AL216" i="25"/>
  <c r="AL217" i="25"/>
  <c r="AL219" i="25"/>
  <c r="AL220" i="25"/>
  <c r="AL221" i="25"/>
  <c r="AL222" i="25"/>
  <c r="AL223" i="25"/>
  <c r="AL225" i="25"/>
  <c r="AL226" i="25"/>
  <c r="AL227" i="25"/>
  <c r="AL228" i="25"/>
  <c r="AL229" i="25"/>
  <c r="AL231" i="25"/>
  <c r="AL232" i="25"/>
  <c r="AL233" i="25"/>
  <c r="AL234" i="25"/>
  <c r="AL235" i="25"/>
  <c r="AL237" i="25"/>
  <c r="AL238" i="25"/>
  <c r="AL239" i="25"/>
  <c r="AL240" i="25"/>
  <c r="AL241" i="25"/>
  <c r="AL243" i="25"/>
  <c r="AL244" i="25"/>
  <c r="AL245" i="25"/>
  <c r="AL246" i="25"/>
  <c r="AL247" i="25"/>
  <c r="AL249" i="25"/>
  <c r="AL250" i="25"/>
  <c r="AL251" i="25"/>
  <c r="AL252" i="25"/>
  <c r="AL253" i="25"/>
  <c r="AL255" i="25"/>
  <c r="AL256" i="25"/>
  <c r="AL257" i="25"/>
  <c r="AL258" i="25"/>
  <c r="AL259" i="25"/>
  <c r="AL261" i="25"/>
  <c r="AL262" i="25"/>
  <c r="AL263" i="25"/>
  <c r="AL264" i="25"/>
  <c r="AL265" i="25"/>
  <c r="AL267" i="25"/>
  <c r="AL268" i="25"/>
  <c r="AL269" i="25"/>
  <c r="AL270" i="25"/>
  <c r="AL271" i="25"/>
  <c r="AL273" i="25"/>
  <c r="AL274" i="25"/>
  <c r="AL275" i="25"/>
  <c r="AL276" i="25"/>
  <c r="AL277" i="25"/>
  <c r="AL279" i="25"/>
  <c r="AL280" i="25"/>
  <c r="AL281" i="25"/>
  <c r="AL282" i="25"/>
  <c r="AL283" i="25"/>
  <c r="AL285" i="25"/>
  <c r="AL286" i="25"/>
  <c r="AL287" i="25"/>
  <c r="AL288" i="25"/>
  <c r="AL289" i="25"/>
  <c r="AK3" i="25"/>
  <c r="AK4" i="25"/>
  <c r="AK5" i="25"/>
  <c r="AK6" i="25"/>
  <c r="AK7" i="25"/>
  <c r="AK8" i="25"/>
  <c r="AK9" i="25"/>
  <c r="AK10" i="25"/>
  <c r="AK11" i="25"/>
  <c r="AK12" i="25"/>
  <c r="AK13" i="25"/>
  <c r="AK14" i="25"/>
  <c r="AK15" i="25"/>
  <c r="AK16" i="25"/>
  <c r="AK19" i="25"/>
  <c r="AK20" i="25"/>
  <c r="AK21" i="25"/>
  <c r="AK22" i="25"/>
  <c r="AK23" i="25"/>
  <c r="AK24" i="25"/>
  <c r="AK25" i="25"/>
  <c r="AK26" i="25"/>
  <c r="AK27" i="25"/>
  <c r="AK28" i="25"/>
  <c r="AK31" i="25"/>
  <c r="AK32" i="25"/>
  <c r="AK33" i="25"/>
  <c r="AK34" i="25"/>
  <c r="AK35" i="25"/>
  <c r="AK36" i="25"/>
  <c r="AK37" i="25"/>
  <c r="AK38" i="25"/>
  <c r="AK39" i="25"/>
  <c r="AK40" i="25"/>
  <c r="AK43" i="25"/>
  <c r="AK44" i="25"/>
  <c r="AK45" i="25"/>
  <c r="AK46" i="25"/>
  <c r="AK49" i="25"/>
  <c r="AK50" i="25"/>
  <c r="AK51" i="25"/>
  <c r="AK52" i="25"/>
  <c r="AK53" i="25"/>
  <c r="AK54" i="25"/>
  <c r="AK55" i="25"/>
  <c r="AK56" i="25"/>
  <c r="AK57" i="25"/>
  <c r="AK58" i="25"/>
  <c r="AK59" i="25"/>
  <c r="AK60" i="25"/>
  <c r="AK61" i="25"/>
  <c r="AK62" i="25"/>
  <c r="AK63" i="25"/>
  <c r="AK64" i="25"/>
  <c r="AK67" i="25"/>
  <c r="AK68" i="25"/>
  <c r="AK69" i="25"/>
  <c r="AK70" i="25"/>
  <c r="AK71" i="25"/>
  <c r="AK72" i="25"/>
  <c r="AK73" i="25"/>
  <c r="AK74" i="25"/>
  <c r="AK75" i="25"/>
  <c r="AK76" i="25"/>
  <c r="AK79" i="25"/>
  <c r="AK80" i="25"/>
  <c r="AK81" i="25"/>
  <c r="AK82" i="25"/>
  <c r="AK85" i="25"/>
  <c r="AK86" i="25"/>
  <c r="AK87" i="25"/>
  <c r="AK88" i="25"/>
  <c r="AK91" i="25"/>
  <c r="AK92" i="25"/>
  <c r="AK93" i="25"/>
  <c r="AK94" i="25"/>
  <c r="AK95" i="25"/>
  <c r="AK96" i="25"/>
  <c r="AK97" i="25"/>
  <c r="AK98" i="25"/>
  <c r="AK99" i="25"/>
  <c r="AK100" i="25"/>
  <c r="AK103" i="25"/>
  <c r="AK104" i="25"/>
  <c r="AK105" i="25"/>
  <c r="AK106" i="25"/>
  <c r="AK107" i="25"/>
  <c r="AK108" i="25"/>
  <c r="AK109" i="25"/>
  <c r="AK110" i="25"/>
  <c r="AK111" i="25"/>
  <c r="AK112" i="25"/>
  <c r="AK114" i="25"/>
  <c r="AK115" i="25"/>
  <c r="AK116" i="25"/>
  <c r="AK118" i="25"/>
  <c r="AK119" i="25"/>
  <c r="AK120" i="25"/>
  <c r="AK121" i="25"/>
  <c r="AK124" i="25"/>
  <c r="AK126" i="25"/>
  <c r="AK127" i="25"/>
  <c r="AK130" i="25"/>
  <c r="AK131" i="25"/>
  <c r="AK132" i="25"/>
  <c r="AK133" i="25"/>
  <c r="AK136" i="25"/>
  <c r="AK138" i="25"/>
  <c r="AK139" i="25"/>
  <c r="AK142" i="25"/>
  <c r="AK143" i="25"/>
  <c r="AK144" i="25"/>
  <c r="AK145" i="25"/>
  <c r="AK148" i="25"/>
  <c r="AK150" i="25"/>
  <c r="AK151" i="25"/>
  <c r="AK154" i="25"/>
  <c r="AK156" i="25"/>
  <c r="AK157" i="25"/>
  <c r="AK160" i="25"/>
  <c r="AK161" i="25"/>
  <c r="AK162" i="25"/>
  <c r="AK163" i="25"/>
  <c r="AK166" i="25"/>
  <c r="AK167" i="25"/>
  <c r="AK168" i="25"/>
  <c r="AK169" i="25"/>
  <c r="AK172" i="25"/>
  <c r="AK174" i="25"/>
  <c r="AK175" i="25"/>
  <c r="AK178" i="25"/>
  <c r="AK179" i="25"/>
  <c r="AK180" i="25"/>
  <c r="AK181" i="25"/>
  <c r="AK183" i="25"/>
  <c r="AK184" i="25"/>
  <c r="AK185" i="25"/>
  <c r="AK186" i="25"/>
  <c r="AK187" i="25"/>
  <c r="AK188" i="25"/>
  <c r="AK189" i="25"/>
  <c r="AK190" i="25"/>
  <c r="AK191" i="25"/>
  <c r="AK192" i="25"/>
  <c r="AK193" i="25"/>
  <c r="AK195" i="25"/>
  <c r="AK196" i="25"/>
  <c r="AK197" i="25"/>
  <c r="AK198" i="25"/>
  <c r="AK199" i="25"/>
  <c r="AK200" i="25"/>
  <c r="AK201" i="25"/>
  <c r="AK202" i="25"/>
  <c r="AK203" i="25"/>
  <c r="AK204" i="25"/>
  <c r="AK205" i="25"/>
  <c r="AK207" i="25"/>
  <c r="AK208" i="25"/>
  <c r="AK209" i="25"/>
  <c r="AK210" i="25"/>
  <c r="AK211" i="25"/>
  <c r="AK213" i="25"/>
  <c r="AK214" i="25"/>
  <c r="AK215" i="25"/>
  <c r="AK216" i="25"/>
  <c r="AK217" i="25"/>
  <c r="AK218" i="25"/>
  <c r="AK219" i="25"/>
  <c r="AK220" i="25"/>
  <c r="AK221" i="25"/>
  <c r="AK222" i="25"/>
  <c r="AK223" i="25"/>
  <c r="AK225" i="25"/>
  <c r="AK226" i="25"/>
  <c r="AK227" i="25"/>
  <c r="AK228" i="25"/>
  <c r="AK229" i="25"/>
  <c r="AK230" i="25"/>
  <c r="AK231" i="25"/>
  <c r="AK232" i="25"/>
  <c r="AK233" i="25"/>
  <c r="AK234" i="25"/>
  <c r="AK235" i="25"/>
  <c r="AK237" i="25"/>
  <c r="AK238" i="25"/>
  <c r="AK239" i="25"/>
  <c r="AK240" i="25"/>
  <c r="AK241" i="25"/>
  <c r="AK242" i="25"/>
  <c r="AK243" i="25"/>
  <c r="AK244" i="25"/>
  <c r="AK245" i="25"/>
  <c r="AK246" i="25"/>
  <c r="AK247" i="25"/>
  <c r="AK249" i="25"/>
  <c r="AK250" i="25"/>
  <c r="AK251" i="25"/>
  <c r="AK252" i="25"/>
  <c r="AK253" i="25"/>
  <c r="AK255" i="25"/>
  <c r="AK256" i="25"/>
  <c r="AK257" i="25"/>
  <c r="AK258" i="25"/>
  <c r="AK259" i="25"/>
  <c r="AK260" i="25"/>
  <c r="AK261" i="25"/>
  <c r="AK262" i="25"/>
  <c r="AK263" i="25"/>
  <c r="AK264" i="25"/>
  <c r="AK265" i="25"/>
  <c r="AK267" i="25"/>
  <c r="AK268" i="25"/>
  <c r="AK269" i="25"/>
  <c r="AK270" i="25"/>
  <c r="AK271" i="25"/>
  <c r="AK273" i="25"/>
  <c r="AK274" i="25"/>
  <c r="AK275" i="25"/>
  <c r="AK276" i="25"/>
  <c r="AK277" i="25"/>
  <c r="AK278" i="25"/>
  <c r="AK279" i="25"/>
  <c r="AK280" i="25"/>
  <c r="AK281" i="25"/>
  <c r="AK282" i="25"/>
  <c r="AK283" i="25"/>
  <c r="AK285" i="25"/>
  <c r="AK286" i="25"/>
  <c r="AK287" i="25"/>
  <c r="AK288" i="25"/>
  <c r="AK289" i="25"/>
  <c r="AK290" i="25"/>
  <c r="BN3" i="3"/>
  <c r="BN4" i="3"/>
  <c r="BN5" i="3"/>
  <c r="BN6" i="3"/>
  <c r="BN7" i="3"/>
  <c r="BN8" i="3"/>
  <c r="BN9" i="3"/>
  <c r="BN10" i="3"/>
  <c r="BN11" i="3"/>
  <c r="BN12" i="3"/>
  <c r="BN13" i="3"/>
  <c r="BN14" i="3"/>
  <c r="BN15" i="3"/>
  <c r="BN16" i="3"/>
  <c r="BN17" i="3"/>
  <c r="BN18" i="3"/>
  <c r="BN19" i="3"/>
  <c r="BN20" i="3"/>
  <c r="BN21" i="3"/>
  <c r="BN22" i="3"/>
  <c r="BN23" i="3"/>
  <c r="BN24" i="3"/>
  <c r="BN25" i="3"/>
  <c r="BN26" i="3"/>
  <c r="BN27" i="3"/>
  <c r="BN28" i="3"/>
  <c r="BN29" i="3"/>
  <c r="BN30" i="3"/>
  <c r="BN31" i="3"/>
  <c r="BN32" i="3"/>
  <c r="BN33" i="3"/>
  <c r="BN34" i="3"/>
  <c r="BN35" i="3"/>
  <c r="BN36" i="3"/>
  <c r="BN37" i="3"/>
  <c r="BN38" i="3"/>
  <c r="BN39" i="3"/>
  <c r="BN40" i="3"/>
  <c r="BN41" i="3"/>
  <c r="BN42" i="3"/>
  <c r="BN43" i="3"/>
  <c r="BN44" i="3"/>
  <c r="BN45" i="3"/>
  <c r="BN46" i="3"/>
  <c r="BN47" i="3"/>
  <c r="BN48" i="3"/>
  <c r="BN49" i="3"/>
  <c r="BN50" i="3"/>
  <c r="BN51" i="3"/>
  <c r="BN52" i="3"/>
  <c r="BN53" i="3"/>
  <c r="BN54" i="3"/>
  <c r="BN55" i="3"/>
  <c r="BN56" i="3"/>
  <c r="BN57" i="3"/>
  <c r="BN58" i="3"/>
  <c r="BN59" i="3"/>
  <c r="BN60" i="3"/>
  <c r="BN61" i="3"/>
  <c r="BN62" i="3"/>
  <c r="BN63" i="3"/>
  <c r="BN64" i="3"/>
  <c r="BN65" i="3"/>
  <c r="BN66" i="3"/>
  <c r="BN67" i="3"/>
  <c r="BN68" i="3"/>
  <c r="BN69" i="3"/>
  <c r="BN70" i="3"/>
  <c r="BN71" i="3"/>
  <c r="BN72" i="3"/>
  <c r="BN73" i="3"/>
  <c r="BN74" i="3"/>
  <c r="BN75" i="3"/>
  <c r="BN76" i="3"/>
  <c r="BN77" i="3"/>
  <c r="BN78" i="3"/>
  <c r="BN79" i="3"/>
  <c r="BN80" i="3"/>
  <c r="BN81" i="3"/>
  <c r="BN82" i="3"/>
  <c r="BN83" i="3"/>
  <c r="BN84" i="3"/>
  <c r="BN85" i="3"/>
  <c r="BN86" i="3"/>
  <c r="BN87" i="3"/>
  <c r="BN88" i="3"/>
  <c r="BN89" i="3"/>
  <c r="BN90" i="3"/>
  <c r="BN91" i="3"/>
  <c r="BN92" i="3"/>
  <c r="BN93" i="3"/>
  <c r="BN94" i="3"/>
  <c r="BN95" i="3"/>
  <c r="BN96" i="3"/>
  <c r="BN97" i="3"/>
  <c r="BN98" i="3"/>
  <c r="BN99" i="3"/>
  <c r="BN100" i="3"/>
  <c r="BN101" i="3"/>
  <c r="BN102" i="3"/>
  <c r="BN103" i="3"/>
  <c r="BN104" i="3"/>
  <c r="BN105" i="3"/>
  <c r="BN106" i="3"/>
  <c r="BN107" i="3"/>
  <c r="BN108" i="3"/>
  <c r="BN109" i="3"/>
  <c r="BN110" i="3"/>
  <c r="BN111" i="3"/>
  <c r="BN112" i="3"/>
  <c r="BN113" i="3"/>
  <c r="BN114" i="3"/>
  <c r="BN115" i="3"/>
  <c r="BN116" i="3"/>
  <c r="BN117" i="3"/>
  <c r="BN118" i="3"/>
  <c r="BN119" i="3"/>
  <c r="BN120" i="3"/>
  <c r="BN121" i="3"/>
  <c r="BN122" i="3"/>
  <c r="BN123" i="3"/>
  <c r="BN124" i="3"/>
  <c r="BN125" i="3"/>
  <c r="BN126" i="3"/>
  <c r="BN127" i="3"/>
  <c r="BN128" i="3"/>
  <c r="BN129" i="3"/>
  <c r="BN130" i="3"/>
  <c r="BN131" i="3"/>
  <c r="BN132" i="3"/>
  <c r="BN133" i="3"/>
  <c r="BN134" i="3"/>
  <c r="BN135" i="3"/>
  <c r="BN136" i="3"/>
  <c r="BN137" i="3"/>
  <c r="BN138" i="3"/>
  <c r="BN139" i="3"/>
  <c r="BN140" i="3"/>
  <c r="BN141" i="3"/>
  <c r="BN142" i="3"/>
  <c r="BN143" i="3"/>
  <c r="BN144" i="3"/>
  <c r="BN145" i="3"/>
  <c r="BN146" i="3"/>
  <c r="BN147" i="3"/>
  <c r="BN148" i="3"/>
  <c r="BN149" i="3"/>
  <c r="BN150" i="3"/>
  <c r="BN151" i="3"/>
  <c r="BN152" i="3"/>
  <c r="BN153" i="3"/>
  <c r="BN154" i="3"/>
  <c r="BN155" i="3"/>
  <c r="BN156" i="3"/>
  <c r="BN157" i="3"/>
  <c r="BN158" i="3"/>
  <c r="BN159" i="3"/>
  <c r="BN160" i="3"/>
  <c r="BN161" i="3"/>
  <c r="BN162" i="3"/>
  <c r="BN163" i="3"/>
  <c r="BN164" i="3"/>
  <c r="BN165" i="3"/>
  <c r="BN166" i="3"/>
  <c r="BN167" i="3"/>
  <c r="BN168" i="3"/>
  <c r="BN169" i="3"/>
  <c r="BN170" i="3"/>
  <c r="BN171" i="3"/>
  <c r="BN172" i="3"/>
  <c r="BN173" i="3"/>
  <c r="BN174" i="3"/>
  <c r="BN175" i="3"/>
  <c r="BN176" i="3"/>
  <c r="BN177" i="3"/>
  <c r="BN178" i="3"/>
  <c r="BN179" i="3"/>
  <c r="BN180" i="3"/>
  <c r="BN181" i="3"/>
  <c r="BN182" i="3"/>
  <c r="BN183" i="3"/>
  <c r="BN184" i="3"/>
  <c r="BN185" i="3"/>
  <c r="BN186" i="3"/>
  <c r="BN187" i="3"/>
  <c r="BN188" i="3"/>
  <c r="BN189" i="3"/>
  <c r="BN190" i="3"/>
  <c r="BN191" i="3"/>
  <c r="BN192" i="3"/>
  <c r="BN193" i="3"/>
  <c r="BN194" i="3"/>
  <c r="BN195" i="3"/>
  <c r="BN196" i="3"/>
  <c r="BN197" i="3"/>
  <c r="BN198" i="3"/>
  <c r="BN199" i="3"/>
  <c r="BN200" i="3"/>
  <c r="BN201" i="3"/>
  <c r="BN202" i="3"/>
  <c r="BN203" i="3"/>
  <c r="BN204" i="3"/>
  <c r="BN205" i="3"/>
  <c r="BN206" i="3"/>
  <c r="BN207" i="3"/>
  <c r="BN208" i="3"/>
  <c r="BN209" i="3"/>
  <c r="BN210" i="3"/>
  <c r="BN211" i="3"/>
  <c r="BN212" i="3"/>
  <c r="BN213" i="3"/>
  <c r="BN214" i="3"/>
  <c r="BN215" i="3"/>
  <c r="BN216" i="3"/>
  <c r="BN217" i="3"/>
  <c r="BN218" i="3"/>
  <c r="BN219" i="3"/>
  <c r="BN220" i="3"/>
  <c r="BN221" i="3"/>
  <c r="BN222" i="3"/>
  <c r="BN223" i="3"/>
  <c r="BN224" i="3"/>
  <c r="BN225" i="3"/>
  <c r="BN226" i="3"/>
  <c r="BN227" i="3"/>
  <c r="BN228" i="3"/>
  <c r="BN229" i="3"/>
  <c r="BN230" i="3"/>
  <c r="BN231" i="3"/>
  <c r="BN232" i="3"/>
  <c r="BN233" i="3"/>
  <c r="BN234" i="3"/>
  <c r="BN235" i="3"/>
  <c r="BN236" i="3"/>
  <c r="BN237" i="3"/>
  <c r="BN238" i="3"/>
  <c r="BN239" i="3"/>
  <c r="BN240" i="3"/>
  <c r="BN241" i="3"/>
  <c r="BN242" i="3"/>
  <c r="BN243" i="3"/>
  <c r="BN244" i="3"/>
  <c r="BN245" i="3"/>
  <c r="BN246" i="3"/>
  <c r="BN247" i="3"/>
  <c r="BN248" i="3"/>
  <c r="BN249" i="3"/>
  <c r="BN250" i="3"/>
  <c r="BN251" i="3"/>
  <c r="BN252" i="3"/>
  <c r="BN253" i="3"/>
  <c r="BN254" i="3"/>
  <c r="BN255" i="3"/>
  <c r="BN256" i="3"/>
  <c r="BN257" i="3"/>
  <c r="BN258" i="3"/>
  <c r="BN259" i="3"/>
  <c r="BN260" i="3"/>
  <c r="BN261" i="3"/>
  <c r="BN262" i="3"/>
  <c r="BN263" i="3"/>
  <c r="BN264" i="3"/>
  <c r="BN265" i="3"/>
  <c r="BN266" i="3"/>
  <c r="BN267" i="3"/>
  <c r="BN268" i="3"/>
  <c r="BN269" i="3"/>
  <c r="BN270" i="3"/>
  <c r="BN271" i="3"/>
  <c r="BN272" i="3"/>
  <c r="BN273" i="3"/>
  <c r="BN274" i="3"/>
  <c r="BN275" i="3"/>
  <c r="BN276" i="3"/>
  <c r="BN277" i="3"/>
  <c r="BN278" i="3"/>
  <c r="BN279" i="3"/>
  <c r="BN280" i="3"/>
  <c r="BN281" i="3"/>
  <c r="BN282" i="3"/>
  <c r="BN283" i="3"/>
  <c r="BN284" i="3"/>
  <c r="BN285" i="3"/>
  <c r="BN286" i="3"/>
  <c r="BN287" i="3"/>
  <c r="BN288" i="3"/>
  <c r="BN289" i="3"/>
  <c r="BN290" i="3"/>
  <c r="X7" i="22" l="1"/>
  <c r="X6" i="22"/>
  <c r="X5" i="22"/>
  <c r="X4" i="22"/>
  <c r="R8" i="3" l="1"/>
  <c r="I182" i="3" l="1"/>
  <c r="S182" i="3" s="1"/>
  <c r="U182" i="3" s="1"/>
  <c r="I181" i="3"/>
  <c r="S181" i="3" s="1"/>
  <c r="I180" i="3"/>
  <c r="S180" i="3" s="1"/>
  <c r="I179" i="3"/>
  <c r="S179" i="3" s="1"/>
  <c r="I178" i="3"/>
  <c r="S178" i="3" s="1"/>
  <c r="U178" i="3" s="1"/>
  <c r="I177" i="3"/>
  <c r="S177" i="3" s="1"/>
  <c r="U177" i="3" s="1"/>
  <c r="I176" i="3"/>
  <c r="S176" i="3" s="1"/>
  <c r="I175" i="3"/>
  <c r="S175" i="3" s="1"/>
  <c r="I174" i="3"/>
  <c r="S174" i="3" s="1"/>
  <c r="I173" i="3"/>
  <c r="S173" i="3" s="1"/>
  <c r="U173" i="3" s="1"/>
  <c r="I172" i="3"/>
  <c r="S172" i="3" s="1"/>
  <c r="I171" i="3"/>
  <c r="S171" i="3" s="1"/>
  <c r="I170" i="3"/>
  <c r="S170" i="3" s="1"/>
  <c r="U170" i="3" s="1"/>
  <c r="I169" i="3"/>
  <c r="S169" i="3" s="1"/>
  <c r="U169" i="3" s="1"/>
  <c r="I168" i="3"/>
  <c r="S168" i="3" s="1"/>
  <c r="I167" i="3"/>
  <c r="S167" i="3" s="1"/>
  <c r="I166" i="3"/>
  <c r="S166" i="3" s="1"/>
  <c r="I165" i="3"/>
  <c r="S165" i="3" s="1"/>
  <c r="U165" i="3" s="1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BG165" i="3"/>
  <c r="BG166" i="3"/>
  <c r="BG167" i="3"/>
  <c r="BG168" i="3"/>
  <c r="BG169" i="3"/>
  <c r="BG170" i="3"/>
  <c r="BG171" i="3"/>
  <c r="BG172" i="3"/>
  <c r="BG173" i="3"/>
  <c r="BG174" i="3"/>
  <c r="BG175" i="3"/>
  <c r="BG176" i="3"/>
  <c r="BG177" i="3"/>
  <c r="BG178" i="3"/>
  <c r="BG179" i="3"/>
  <c r="BG180" i="3"/>
  <c r="BG181" i="3"/>
  <c r="BG182" i="3"/>
  <c r="U1" i="25"/>
  <c r="T181" i="3" l="1"/>
  <c r="T177" i="3"/>
  <c r="T174" i="3"/>
  <c r="T168" i="3"/>
  <c r="T179" i="3"/>
  <c r="T166" i="3"/>
  <c r="U166" i="3"/>
  <c r="T171" i="3"/>
  <c r="T182" i="3"/>
  <c r="U174" i="3"/>
  <c r="T165" i="3"/>
  <c r="U181" i="3"/>
  <c r="T178" i="3"/>
  <c r="T170" i="3"/>
  <c r="T176" i="3"/>
  <c r="T169" i="3"/>
  <c r="T173" i="3"/>
  <c r="U172" i="3"/>
  <c r="T172" i="3"/>
  <c r="T175" i="3"/>
  <c r="U175" i="3"/>
  <c r="T167" i="3"/>
  <c r="U167" i="3"/>
  <c r="T180" i="3"/>
  <c r="U180" i="3"/>
  <c r="U179" i="3"/>
  <c r="U171" i="3"/>
  <c r="U176" i="3"/>
  <c r="U168" i="3"/>
  <c r="AC3" i="25"/>
  <c r="AC9" i="25"/>
  <c r="AC15" i="25"/>
  <c r="AC21" i="25"/>
  <c r="AC27" i="25"/>
  <c r="AC33" i="25"/>
  <c r="AC39" i="25"/>
  <c r="AC45" i="25"/>
  <c r="AC51" i="25"/>
  <c r="AC57" i="25"/>
  <c r="AC63" i="25"/>
  <c r="AC69" i="25"/>
  <c r="AC75" i="25"/>
  <c r="AC81" i="25"/>
  <c r="AC87" i="25"/>
  <c r="AC93" i="25"/>
  <c r="AC99" i="25"/>
  <c r="AC105" i="25"/>
  <c r="AC125" i="25"/>
  <c r="AC126" i="25"/>
  <c r="AC131" i="25"/>
  <c r="AC132" i="25"/>
  <c r="AC137" i="25"/>
  <c r="AC138" i="25"/>
  <c r="AC143" i="25"/>
  <c r="AC144" i="25"/>
  <c r="AC149" i="25"/>
  <c r="AC150" i="25"/>
  <c r="AC155" i="25"/>
  <c r="AC156" i="25"/>
  <c r="AC161" i="25"/>
  <c r="AC162" i="25"/>
  <c r="AC167" i="25"/>
  <c r="AC168" i="25"/>
  <c r="AC173" i="25"/>
  <c r="AC174" i="25"/>
  <c r="AC187" i="25"/>
  <c r="AC188" i="25"/>
  <c r="AC193" i="25"/>
  <c r="AC194" i="25"/>
  <c r="AC199" i="25"/>
  <c r="AC200" i="25"/>
  <c r="AC206" i="25"/>
  <c r="AC212" i="25"/>
  <c r="AC218" i="25"/>
  <c r="AC224" i="25"/>
  <c r="AC230" i="25"/>
  <c r="AC236" i="25"/>
  <c r="AC242" i="25"/>
  <c r="AC248" i="25"/>
  <c r="AC253" i="25"/>
  <c r="AC254" i="25"/>
  <c r="AC260" i="25"/>
  <c r="AC266" i="25"/>
  <c r="AC272" i="25"/>
  <c r="AC278" i="25"/>
  <c r="AC284" i="25"/>
  <c r="AC290" i="25"/>
  <c r="X8" i="22" l="1"/>
  <c r="AJ289" i="25" l="1"/>
  <c r="AJ288" i="25"/>
  <c r="AJ283" i="25"/>
  <c r="AJ282" i="25"/>
  <c r="AJ277" i="25"/>
  <c r="AJ276" i="25"/>
  <c r="AJ271" i="25"/>
  <c r="AJ270" i="25"/>
  <c r="AJ265" i="25"/>
  <c r="AJ264" i="25"/>
  <c r="AJ259" i="25"/>
  <c r="AJ258" i="25"/>
  <c r="AJ253" i="25"/>
  <c r="AJ252" i="25"/>
  <c r="AJ247" i="25"/>
  <c r="AJ246" i="25"/>
  <c r="AJ241" i="25"/>
  <c r="AJ240" i="25"/>
  <c r="AJ235" i="25"/>
  <c r="AJ234" i="25"/>
  <c r="AJ229" i="25"/>
  <c r="AJ223" i="25"/>
  <c r="AJ217" i="25"/>
  <c r="AJ211" i="25"/>
  <c r="AJ205" i="25"/>
  <c r="AJ199" i="25"/>
  <c r="AJ193" i="25"/>
  <c r="AJ187" i="25"/>
  <c r="AJ107" i="25"/>
  <c r="AJ106" i="25"/>
  <c r="AJ101" i="25"/>
  <c r="AJ100" i="25"/>
  <c r="AJ95" i="25"/>
  <c r="AJ94" i="25"/>
  <c r="AJ89" i="25"/>
  <c r="AJ88" i="25"/>
  <c r="AJ83" i="25"/>
  <c r="AJ82" i="25"/>
  <c r="AJ77" i="25"/>
  <c r="AJ76" i="25"/>
  <c r="AJ71" i="25"/>
  <c r="AJ70" i="25"/>
  <c r="AJ65" i="25"/>
  <c r="AJ64" i="25"/>
  <c r="AJ59" i="25"/>
  <c r="AJ58" i="25"/>
  <c r="AJ53" i="25"/>
  <c r="AJ52" i="25"/>
  <c r="AJ47" i="25"/>
  <c r="AJ46" i="25"/>
  <c r="AJ41" i="25"/>
  <c r="AJ40" i="25"/>
  <c r="AJ35" i="25"/>
  <c r="AJ34" i="25"/>
  <c r="AJ29" i="25"/>
  <c r="AJ28" i="25"/>
  <c r="AJ23" i="25"/>
  <c r="AJ22" i="25"/>
  <c r="AJ17" i="25"/>
  <c r="AJ16" i="25"/>
  <c r="AJ11" i="25"/>
  <c r="AJ10" i="25"/>
  <c r="AJ5" i="25"/>
  <c r="AJ4" i="25"/>
  <c r="AO4" i="25" l="1"/>
  <c r="AO5" i="25"/>
  <c r="AO6" i="25"/>
  <c r="AO7" i="25"/>
  <c r="AO8" i="25"/>
  <c r="AO10" i="25"/>
  <c r="AO11" i="25"/>
  <c r="AO12" i="25"/>
  <c r="AO13" i="25"/>
  <c r="AO14" i="25"/>
  <c r="AO16" i="25"/>
  <c r="AO17" i="25"/>
  <c r="AO18" i="25"/>
  <c r="AO19" i="25"/>
  <c r="AO20" i="25"/>
  <c r="AO22" i="25"/>
  <c r="AO23" i="25"/>
  <c r="AO24" i="25"/>
  <c r="AO25" i="25"/>
  <c r="AO26" i="25"/>
  <c r="AO28" i="25"/>
  <c r="AO29" i="25"/>
  <c r="AO30" i="25"/>
  <c r="AO31" i="25"/>
  <c r="AO32" i="25"/>
  <c r="AO34" i="25"/>
  <c r="AO35" i="25"/>
  <c r="AO36" i="25"/>
  <c r="AO37" i="25"/>
  <c r="AO38" i="25"/>
  <c r="AO40" i="25"/>
  <c r="AO41" i="25"/>
  <c r="AO42" i="25"/>
  <c r="AO43" i="25"/>
  <c r="AO44" i="25"/>
  <c r="AO46" i="25"/>
  <c r="AO47" i="25"/>
  <c r="AO48" i="25"/>
  <c r="AO49" i="25"/>
  <c r="AO50" i="25"/>
  <c r="AO52" i="25"/>
  <c r="AO53" i="25"/>
  <c r="AO54" i="25"/>
  <c r="AO55" i="25"/>
  <c r="AO56" i="25"/>
  <c r="AO58" i="25"/>
  <c r="AO59" i="25"/>
  <c r="AO60" i="25"/>
  <c r="AO61" i="25"/>
  <c r="AO62" i="25"/>
  <c r="AO64" i="25"/>
  <c r="AO65" i="25"/>
  <c r="AO66" i="25"/>
  <c r="AO67" i="25"/>
  <c r="AO68" i="25"/>
  <c r="AO70" i="25"/>
  <c r="AO71" i="25"/>
  <c r="AO72" i="25"/>
  <c r="AO73" i="25"/>
  <c r="AO74" i="25"/>
  <c r="AO76" i="25"/>
  <c r="AO77" i="25"/>
  <c r="AO78" i="25"/>
  <c r="AO79" i="25"/>
  <c r="AO80" i="25"/>
  <c r="AO82" i="25"/>
  <c r="AO83" i="25"/>
  <c r="AO84" i="25"/>
  <c r="AO85" i="25"/>
  <c r="AO86" i="25"/>
  <c r="AO88" i="25"/>
  <c r="AO89" i="25"/>
  <c r="AO90" i="25"/>
  <c r="AO91" i="25"/>
  <c r="AO92" i="25"/>
  <c r="AO94" i="25"/>
  <c r="AO95" i="25"/>
  <c r="AO96" i="25"/>
  <c r="AO97" i="25"/>
  <c r="AO98" i="25"/>
  <c r="AO100" i="25"/>
  <c r="AO101" i="25"/>
  <c r="AO102" i="25"/>
  <c r="AO103" i="25"/>
  <c r="AO104" i="25"/>
  <c r="AO106" i="25"/>
  <c r="AO107" i="25"/>
  <c r="AO108" i="25"/>
  <c r="AO109" i="25"/>
  <c r="AO110" i="25"/>
  <c r="AO112" i="25"/>
  <c r="AO113" i="25"/>
  <c r="AO114" i="25"/>
  <c r="AO115" i="25"/>
  <c r="AO116" i="25"/>
  <c r="AO118" i="25"/>
  <c r="AO119" i="25"/>
  <c r="AO120" i="25"/>
  <c r="AO121" i="25"/>
  <c r="AO122" i="25"/>
  <c r="AO124" i="25"/>
  <c r="AO125" i="25"/>
  <c r="AO126" i="25"/>
  <c r="AO127" i="25"/>
  <c r="AO128" i="25"/>
  <c r="AO130" i="25"/>
  <c r="AO131" i="25"/>
  <c r="AO132" i="25"/>
  <c r="AO133" i="25"/>
  <c r="AO134" i="25"/>
  <c r="AO136" i="25"/>
  <c r="AO137" i="25"/>
  <c r="AO138" i="25"/>
  <c r="AO139" i="25"/>
  <c r="AO140" i="25"/>
  <c r="AO142" i="25"/>
  <c r="AO143" i="25"/>
  <c r="AO144" i="25"/>
  <c r="AO145" i="25"/>
  <c r="AO146" i="25"/>
  <c r="AO148" i="25"/>
  <c r="AO149" i="25"/>
  <c r="AO150" i="25"/>
  <c r="AO151" i="25"/>
  <c r="AO152" i="25"/>
  <c r="AO154" i="25"/>
  <c r="AO155" i="25"/>
  <c r="AO156" i="25"/>
  <c r="AO157" i="25"/>
  <c r="AO158" i="25"/>
  <c r="AO160" i="25"/>
  <c r="AO161" i="25"/>
  <c r="AO162" i="25"/>
  <c r="AO163" i="25"/>
  <c r="AO164" i="25"/>
  <c r="AO166" i="25"/>
  <c r="AO167" i="25"/>
  <c r="AO168" i="25"/>
  <c r="AO169" i="25"/>
  <c r="AO170" i="25"/>
  <c r="AO172" i="25"/>
  <c r="AO173" i="25"/>
  <c r="AO174" i="25"/>
  <c r="AO175" i="25"/>
  <c r="AO176" i="25"/>
  <c r="AO178" i="25"/>
  <c r="AO179" i="25"/>
  <c r="AO180" i="25"/>
  <c r="AO181" i="25"/>
  <c r="AO182" i="25"/>
  <c r="AO184" i="25"/>
  <c r="AO185" i="25"/>
  <c r="AO186" i="25"/>
  <c r="AO187" i="25"/>
  <c r="AO190" i="25"/>
  <c r="AO191" i="25"/>
  <c r="AO192" i="25"/>
  <c r="AO193" i="25"/>
  <c r="AO196" i="25"/>
  <c r="AO197" i="25"/>
  <c r="AO198" i="25"/>
  <c r="AO199" i="25"/>
  <c r="AO202" i="25"/>
  <c r="AO203" i="25"/>
  <c r="AO204" i="25"/>
  <c r="AO205" i="25"/>
  <c r="AO208" i="25"/>
  <c r="AO209" i="25"/>
  <c r="AO210" i="25"/>
  <c r="AO211" i="25"/>
  <c r="AO214" i="25"/>
  <c r="AO215" i="25"/>
  <c r="AO216" i="25"/>
  <c r="AO217" i="25"/>
  <c r="AO220" i="25"/>
  <c r="AO221" i="25"/>
  <c r="AO222" i="25"/>
  <c r="AO223" i="25"/>
  <c r="AO226" i="25"/>
  <c r="AO227" i="25"/>
  <c r="AO228" i="25"/>
  <c r="AO229" i="25"/>
  <c r="AO232" i="25"/>
  <c r="AO233" i="25"/>
  <c r="AO234" i="25"/>
  <c r="AO235" i="25"/>
  <c r="AO238" i="25"/>
  <c r="AO239" i="25"/>
  <c r="AO240" i="25"/>
  <c r="AO241" i="25"/>
  <c r="AO244" i="25"/>
  <c r="AO245" i="25"/>
  <c r="AO246" i="25"/>
  <c r="AO247" i="25"/>
  <c r="AO250" i="25"/>
  <c r="AO251" i="25"/>
  <c r="AO252" i="25"/>
  <c r="AO253" i="25"/>
  <c r="AO256" i="25"/>
  <c r="AO257" i="25"/>
  <c r="AO258" i="25"/>
  <c r="AO259" i="25"/>
  <c r="AO262" i="25"/>
  <c r="AO263" i="25"/>
  <c r="AO264" i="25"/>
  <c r="AO265" i="25"/>
  <c r="AO268" i="25"/>
  <c r="AO269" i="25"/>
  <c r="AO270" i="25"/>
  <c r="AO271" i="25"/>
  <c r="AO274" i="25"/>
  <c r="AO275" i="25"/>
  <c r="AO276" i="25"/>
  <c r="AO277" i="25"/>
  <c r="AO280" i="25"/>
  <c r="AO281" i="25"/>
  <c r="AO282" i="25"/>
  <c r="AO283" i="25"/>
  <c r="AO286" i="25"/>
  <c r="AO287" i="25"/>
  <c r="AO288" i="25"/>
  <c r="AO289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I34" i="25"/>
  <c r="AI35" i="25"/>
  <c r="AI36" i="25"/>
  <c r="AI37" i="25"/>
  <c r="AI38" i="25"/>
  <c r="AI39" i="25"/>
  <c r="AI40" i="25"/>
  <c r="AI41" i="25"/>
  <c r="AI42" i="25"/>
  <c r="AI43" i="25"/>
  <c r="AI44" i="25"/>
  <c r="AI45" i="25"/>
  <c r="AI46" i="25"/>
  <c r="AI47" i="25"/>
  <c r="AI48" i="25"/>
  <c r="AI49" i="25"/>
  <c r="AI50" i="25"/>
  <c r="AI51" i="25"/>
  <c r="AI52" i="25"/>
  <c r="AI53" i="25"/>
  <c r="AI54" i="25"/>
  <c r="AI55" i="25"/>
  <c r="AI56" i="25"/>
  <c r="AI57" i="25"/>
  <c r="AI58" i="25"/>
  <c r="AI59" i="25"/>
  <c r="AI60" i="25"/>
  <c r="AI61" i="25"/>
  <c r="AI62" i="25"/>
  <c r="AI63" i="25"/>
  <c r="AI64" i="25"/>
  <c r="AI65" i="25"/>
  <c r="AI66" i="25"/>
  <c r="AI67" i="25"/>
  <c r="AI68" i="25"/>
  <c r="AI69" i="25"/>
  <c r="AI70" i="25"/>
  <c r="AI71" i="25"/>
  <c r="AI72" i="25"/>
  <c r="AI73" i="25"/>
  <c r="AI74" i="25"/>
  <c r="AI75" i="25"/>
  <c r="AI76" i="25"/>
  <c r="AI77" i="25"/>
  <c r="AI78" i="25"/>
  <c r="AI79" i="25"/>
  <c r="AI80" i="25"/>
  <c r="AI81" i="25"/>
  <c r="AI82" i="25"/>
  <c r="AI83" i="25"/>
  <c r="AI84" i="25"/>
  <c r="AI85" i="25"/>
  <c r="AI86" i="25"/>
  <c r="AI87" i="25"/>
  <c r="AI88" i="25"/>
  <c r="AI89" i="25"/>
  <c r="AI90" i="25"/>
  <c r="AI91" i="25"/>
  <c r="AI92" i="25"/>
  <c r="AI93" i="25"/>
  <c r="AI94" i="25"/>
  <c r="AI95" i="25"/>
  <c r="AI96" i="25"/>
  <c r="AI97" i="25"/>
  <c r="AI98" i="25"/>
  <c r="AI99" i="25"/>
  <c r="AI100" i="25"/>
  <c r="AI101" i="25"/>
  <c r="AI102" i="25"/>
  <c r="AI103" i="25"/>
  <c r="AI104" i="25"/>
  <c r="AI105" i="25"/>
  <c r="AI106" i="25"/>
  <c r="AI107" i="25"/>
  <c r="AI108" i="25"/>
  <c r="AI109" i="25"/>
  <c r="AI110" i="25"/>
  <c r="AI111" i="25"/>
  <c r="AI112" i="25"/>
  <c r="AI113" i="25"/>
  <c r="AI114" i="25"/>
  <c r="AI115" i="25"/>
  <c r="AI116" i="25"/>
  <c r="AI117" i="25"/>
  <c r="AI118" i="25"/>
  <c r="AI119" i="25"/>
  <c r="AI120" i="25"/>
  <c r="AI121" i="25"/>
  <c r="AI122" i="25"/>
  <c r="AI123" i="25"/>
  <c r="AI124" i="25"/>
  <c r="AI125" i="25"/>
  <c r="AI126" i="25"/>
  <c r="AI127" i="25"/>
  <c r="AI128" i="25"/>
  <c r="AI129" i="25"/>
  <c r="AI130" i="25"/>
  <c r="AI131" i="25"/>
  <c r="AI132" i="25"/>
  <c r="AI133" i="25"/>
  <c r="AI134" i="25"/>
  <c r="AI135" i="25"/>
  <c r="AI136" i="25"/>
  <c r="AI137" i="25"/>
  <c r="AI138" i="25"/>
  <c r="AI139" i="25"/>
  <c r="AI140" i="25"/>
  <c r="AI141" i="25"/>
  <c r="AI142" i="25"/>
  <c r="AI143" i="25"/>
  <c r="AI144" i="25"/>
  <c r="AI145" i="25"/>
  <c r="AI146" i="25"/>
  <c r="AI147" i="25"/>
  <c r="AI148" i="25"/>
  <c r="AI149" i="25"/>
  <c r="AI150" i="25"/>
  <c r="AI151" i="25"/>
  <c r="AI152" i="25"/>
  <c r="AI153" i="25"/>
  <c r="AI154" i="25"/>
  <c r="AI155" i="25"/>
  <c r="AI156" i="25"/>
  <c r="AI157" i="25"/>
  <c r="AI158" i="25"/>
  <c r="AI159" i="25"/>
  <c r="AI160" i="25"/>
  <c r="AI161" i="25"/>
  <c r="AI162" i="25"/>
  <c r="AI163" i="25"/>
  <c r="AI164" i="25"/>
  <c r="AI165" i="25"/>
  <c r="AI166" i="25"/>
  <c r="AI167" i="25"/>
  <c r="AI168" i="25"/>
  <c r="AI169" i="25"/>
  <c r="AI170" i="25"/>
  <c r="AI171" i="25"/>
  <c r="AI172" i="25"/>
  <c r="AI173" i="25"/>
  <c r="AI174" i="25"/>
  <c r="AI175" i="25"/>
  <c r="AI176" i="25"/>
  <c r="AI177" i="25"/>
  <c r="AI178" i="25"/>
  <c r="AI179" i="25"/>
  <c r="AI180" i="25"/>
  <c r="AI182" i="25"/>
  <c r="AI183" i="25"/>
  <c r="AI184" i="25"/>
  <c r="AI185" i="25"/>
  <c r="AI186" i="25"/>
  <c r="AI188" i="25"/>
  <c r="AI189" i="25"/>
  <c r="AI190" i="25"/>
  <c r="AI191" i="25"/>
  <c r="AI192" i="25"/>
  <c r="AI194" i="25"/>
  <c r="AI195" i="25"/>
  <c r="AI196" i="25"/>
  <c r="AI197" i="25"/>
  <c r="AI198" i="25"/>
  <c r="AI200" i="25"/>
  <c r="AI201" i="25"/>
  <c r="AI202" i="25"/>
  <c r="AI203" i="25"/>
  <c r="AI204" i="25"/>
  <c r="AI206" i="25"/>
  <c r="AI207" i="25"/>
  <c r="AI208" i="25"/>
  <c r="AI209" i="25"/>
  <c r="AI210" i="25"/>
  <c r="AI212" i="25"/>
  <c r="AI213" i="25"/>
  <c r="AI214" i="25"/>
  <c r="AI215" i="25"/>
  <c r="AI216" i="25"/>
  <c r="AI218" i="25"/>
  <c r="AI219" i="25"/>
  <c r="AI220" i="25"/>
  <c r="AI221" i="25"/>
  <c r="AI222" i="25"/>
  <c r="AI224" i="25"/>
  <c r="AI225" i="25"/>
  <c r="AI226" i="25"/>
  <c r="AI227" i="25"/>
  <c r="AI228" i="25"/>
  <c r="AI230" i="25"/>
  <c r="AI231" i="25"/>
  <c r="AI232" i="25"/>
  <c r="AI233" i="25"/>
  <c r="AI234" i="25"/>
  <c r="AI235" i="25"/>
  <c r="AI236" i="25"/>
  <c r="AI237" i="25"/>
  <c r="AI238" i="25"/>
  <c r="AI239" i="25"/>
  <c r="AI240" i="25"/>
  <c r="AI241" i="25"/>
  <c r="AI242" i="25"/>
  <c r="AI243" i="25"/>
  <c r="AI244" i="25"/>
  <c r="AI245" i="25"/>
  <c r="AI246" i="25"/>
  <c r="AI247" i="25"/>
  <c r="AI248" i="25"/>
  <c r="AI249" i="25"/>
  <c r="AI250" i="25"/>
  <c r="AI251" i="25"/>
  <c r="AI252" i="25"/>
  <c r="AI253" i="25"/>
  <c r="AI254" i="25"/>
  <c r="AI255" i="25"/>
  <c r="AI256" i="25"/>
  <c r="AI257" i="25"/>
  <c r="AI258" i="25"/>
  <c r="AI259" i="25"/>
  <c r="AI260" i="25"/>
  <c r="AI261" i="25"/>
  <c r="AI262" i="25"/>
  <c r="AI263" i="25"/>
  <c r="AI264" i="25"/>
  <c r="AI265" i="25"/>
  <c r="AI266" i="25"/>
  <c r="AI267" i="25"/>
  <c r="AI268" i="25"/>
  <c r="AI269" i="25"/>
  <c r="AI270" i="25"/>
  <c r="AI271" i="25"/>
  <c r="AI272" i="25"/>
  <c r="AI273" i="25"/>
  <c r="AI274" i="25"/>
  <c r="AI275" i="25"/>
  <c r="AI276" i="25"/>
  <c r="AI277" i="25"/>
  <c r="AI278" i="25"/>
  <c r="AI279" i="25"/>
  <c r="AI280" i="25"/>
  <c r="AI281" i="25"/>
  <c r="AI282" i="25"/>
  <c r="AI283" i="25"/>
  <c r="AI284" i="25"/>
  <c r="AI285" i="25"/>
  <c r="AI286" i="25"/>
  <c r="AI287" i="25"/>
  <c r="AI288" i="25"/>
  <c r="AI289" i="25"/>
  <c r="AI290" i="25"/>
  <c r="AH290" i="25"/>
  <c r="AH288" i="25"/>
  <c r="AH287" i="25"/>
  <c r="AH286" i="25"/>
  <c r="AH285" i="25"/>
  <c r="AH284" i="25"/>
  <c r="AH282" i="25"/>
  <c r="AH281" i="25"/>
  <c r="AH280" i="25"/>
  <c r="AH279" i="25"/>
  <c r="AH278" i="25"/>
  <c r="AH276" i="25"/>
  <c r="AH275" i="25"/>
  <c r="AH274" i="25"/>
  <c r="AH273" i="25"/>
  <c r="AH272" i="25"/>
  <c r="AH270" i="25"/>
  <c r="AH269" i="25"/>
  <c r="AH268" i="25"/>
  <c r="AH267" i="25"/>
  <c r="AH266" i="25"/>
  <c r="AH264" i="25"/>
  <c r="AH263" i="25"/>
  <c r="AH262" i="25"/>
  <c r="AH261" i="25"/>
  <c r="AH260" i="25"/>
  <c r="AH258" i="25"/>
  <c r="AH257" i="25"/>
  <c r="AH256" i="25"/>
  <c r="AH255" i="25"/>
  <c r="AH254" i="25"/>
  <c r="AH252" i="25"/>
  <c r="AH251" i="25"/>
  <c r="AH250" i="25"/>
  <c r="AH249" i="25"/>
  <c r="AH248" i="25"/>
  <c r="AH246" i="25"/>
  <c r="AH245" i="25"/>
  <c r="AH244" i="25"/>
  <c r="AH243" i="25"/>
  <c r="AH242" i="25"/>
  <c r="AH240" i="25"/>
  <c r="AH239" i="25"/>
  <c r="AH238" i="25"/>
  <c r="AH237" i="25"/>
  <c r="AH236" i="25"/>
  <c r="AH234" i="25"/>
  <c r="AH233" i="25"/>
  <c r="AH232" i="25"/>
  <c r="AH231" i="25"/>
  <c r="AH230" i="25"/>
  <c r="AH228" i="25"/>
  <c r="AH227" i="25"/>
  <c r="AH226" i="25"/>
  <c r="AH225" i="25"/>
  <c r="AH224" i="25"/>
  <c r="AH223" i="25"/>
  <c r="AH222" i="25"/>
  <c r="AH221" i="25"/>
  <c r="AH220" i="25"/>
  <c r="AH219" i="25"/>
  <c r="AH218" i="25"/>
  <c r="AH217" i="25"/>
  <c r="AH216" i="25"/>
  <c r="AH215" i="25"/>
  <c r="AH214" i="25"/>
  <c r="AH213" i="25"/>
  <c r="AH212" i="25"/>
  <c r="AH211" i="25"/>
  <c r="AH210" i="25"/>
  <c r="AH209" i="25"/>
  <c r="AH208" i="25"/>
  <c r="AH207" i="25"/>
  <c r="AH206" i="25"/>
  <c r="AH205" i="25"/>
  <c r="AH204" i="25"/>
  <c r="AH203" i="25"/>
  <c r="AH202" i="25"/>
  <c r="AH201" i="25"/>
  <c r="AH200" i="25"/>
  <c r="AH199" i="25"/>
  <c r="AH198" i="25"/>
  <c r="AH197" i="25"/>
  <c r="AH196" i="25"/>
  <c r="AH195" i="25"/>
  <c r="AH194" i="25"/>
  <c r="AH193" i="25"/>
  <c r="AH192" i="25"/>
  <c r="AH191" i="25"/>
  <c r="AH190" i="25"/>
  <c r="AH189" i="25"/>
  <c r="AH188" i="25"/>
  <c r="AH187" i="25"/>
  <c r="AH186" i="25"/>
  <c r="AH185" i="25"/>
  <c r="AH184" i="25"/>
  <c r="AH183" i="25"/>
  <c r="AH182" i="25"/>
  <c r="AH181" i="25"/>
  <c r="AH180" i="25"/>
  <c r="AH179" i="25"/>
  <c r="AH178" i="25"/>
  <c r="AH177" i="25"/>
  <c r="AH176" i="25"/>
  <c r="AH175" i="25"/>
  <c r="AH174" i="25"/>
  <c r="AH173" i="25"/>
  <c r="AH172" i="25"/>
  <c r="AH171" i="25"/>
  <c r="AH170" i="25"/>
  <c r="AH169" i="25"/>
  <c r="AH168" i="25"/>
  <c r="AH167" i="25"/>
  <c r="AH166" i="25"/>
  <c r="AH165" i="25"/>
  <c r="AH164" i="25"/>
  <c r="AH163" i="25"/>
  <c r="AH162" i="25"/>
  <c r="AH161" i="25"/>
  <c r="AH160" i="25"/>
  <c r="AH159" i="25"/>
  <c r="AH158" i="25"/>
  <c r="AH157" i="25"/>
  <c r="AH156" i="25"/>
  <c r="AH155" i="25"/>
  <c r="AH154" i="25"/>
  <c r="AH153" i="25"/>
  <c r="AH152" i="25"/>
  <c r="AH151" i="25"/>
  <c r="AH150" i="25"/>
  <c r="AH149" i="25"/>
  <c r="AH148" i="25"/>
  <c r="AH147" i="25"/>
  <c r="AH146" i="25"/>
  <c r="AH145" i="25"/>
  <c r="AH144" i="25"/>
  <c r="AH143" i="25"/>
  <c r="AH142" i="25"/>
  <c r="AH141" i="25"/>
  <c r="AH140" i="25"/>
  <c r="AH139" i="25"/>
  <c r="AH138" i="25"/>
  <c r="AH137" i="25"/>
  <c r="AH136" i="25"/>
  <c r="AH135" i="25"/>
  <c r="AH134" i="25"/>
  <c r="AH133" i="25"/>
  <c r="AH132" i="25"/>
  <c r="AH131" i="25"/>
  <c r="AH130" i="25"/>
  <c r="AH129" i="25"/>
  <c r="AH128" i="25"/>
  <c r="AH127" i="25"/>
  <c r="AH126" i="25"/>
  <c r="AH125" i="25"/>
  <c r="AH124" i="25"/>
  <c r="AH123" i="25"/>
  <c r="AH122" i="25"/>
  <c r="AH121" i="25"/>
  <c r="AH120" i="25"/>
  <c r="AH119" i="25"/>
  <c r="AH117" i="25"/>
  <c r="AH116" i="25"/>
  <c r="AH115" i="25"/>
  <c r="AH114" i="25"/>
  <c r="AH113" i="25"/>
  <c r="AH111" i="25"/>
  <c r="AH110" i="25"/>
  <c r="AH109" i="25"/>
  <c r="AH108" i="25"/>
  <c r="AH107" i="25"/>
  <c r="AH105" i="25"/>
  <c r="AH104" i="25"/>
  <c r="AH103" i="25"/>
  <c r="AH102" i="25"/>
  <c r="AH101" i="25"/>
  <c r="AH99" i="25"/>
  <c r="AH98" i="25"/>
  <c r="AH97" i="25"/>
  <c r="AH96" i="25"/>
  <c r="AH95" i="25"/>
  <c r="AH93" i="25"/>
  <c r="AH92" i="25"/>
  <c r="AH91" i="25"/>
  <c r="AH90" i="25"/>
  <c r="AH89" i="25"/>
  <c r="AH87" i="25"/>
  <c r="AH86" i="25"/>
  <c r="AH85" i="25"/>
  <c r="AH84" i="25"/>
  <c r="AH83" i="25"/>
  <c r="AH81" i="25"/>
  <c r="AH80" i="25"/>
  <c r="AH79" i="25"/>
  <c r="AH78" i="25"/>
  <c r="AH77" i="25"/>
  <c r="AH75" i="25"/>
  <c r="AH74" i="25"/>
  <c r="AH73" i="25"/>
  <c r="AH72" i="25"/>
  <c r="AH71" i="25"/>
  <c r="AH69" i="25"/>
  <c r="AH68" i="25"/>
  <c r="AH67" i="25"/>
  <c r="AH66" i="25"/>
  <c r="AH65" i="25"/>
  <c r="AH63" i="25"/>
  <c r="AH62" i="25"/>
  <c r="AH61" i="25"/>
  <c r="AH60" i="25"/>
  <c r="AH59" i="25"/>
  <c r="AH57" i="25"/>
  <c r="AH56" i="25"/>
  <c r="AH55" i="25"/>
  <c r="AH54" i="25"/>
  <c r="AH53" i="25"/>
  <c r="AH51" i="25"/>
  <c r="AH50" i="25"/>
  <c r="AH49" i="25"/>
  <c r="AH48" i="25"/>
  <c r="AH47" i="25"/>
  <c r="AH45" i="25"/>
  <c r="AH44" i="25"/>
  <c r="AH43" i="25"/>
  <c r="AH42" i="25"/>
  <c r="AH41" i="25"/>
  <c r="AH39" i="25"/>
  <c r="AH38" i="25"/>
  <c r="AH37" i="25"/>
  <c r="AH36" i="25"/>
  <c r="AH35" i="25"/>
  <c r="AH33" i="25"/>
  <c r="AH32" i="25"/>
  <c r="AH31" i="25"/>
  <c r="AH30" i="25"/>
  <c r="AH29" i="25"/>
  <c r="AH27" i="25"/>
  <c r="AH26" i="25"/>
  <c r="AH25" i="25"/>
  <c r="AH24" i="25"/>
  <c r="AH23" i="25"/>
  <c r="AH21" i="25"/>
  <c r="AH20" i="25"/>
  <c r="AH19" i="25"/>
  <c r="AH18" i="25"/>
  <c r="AH17" i="25"/>
  <c r="AH15" i="25"/>
  <c r="AH14" i="25"/>
  <c r="AH13" i="25"/>
  <c r="AH12" i="25"/>
  <c r="AH11" i="25"/>
  <c r="AH9" i="25"/>
  <c r="AH8" i="25"/>
  <c r="AH7" i="25"/>
  <c r="AH6" i="25"/>
  <c r="AH5" i="25"/>
  <c r="AH3" i="25"/>
  <c r="AG290" i="25"/>
  <c r="AG284" i="25"/>
  <c r="AG278" i="25"/>
  <c r="AG272" i="25"/>
  <c r="AG266" i="25"/>
  <c r="AG260" i="25"/>
  <c r="AG254" i="25"/>
  <c r="AG248" i="25"/>
  <c r="AG242" i="25"/>
  <c r="AG236" i="25"/>
  <c r="AG230" i="25"/>
  <c r="AG224" i="25"/>
  <c r="AG218" i="25"/>
  <c r="AG212" i="25"/>
  <c r="AG206" i="25"/>
  <c r="AG200" i="25"/>
  <c r="AG194" i="25"/>
  <c r="AG188" i="25"/>
  <c r="AG182" i="25"/>
  <c r="AG176" i="25"/>
  <c r="AG175" i="25"/>
  <c r="AG174" i="25"/>
  <c r="AG173" i="25"/>
  <c r="AG172" i="25"/>
  <c r="AG171" i="25"/>
  <c r="AG170" i="25"/>
  <c r="AG169" i="25"/>
  <c r="AG168" i="25"/>
  <c r="AG167" i="25"/>
  <c r="AG166" i="25"/>
  <c r="AG165" i="25"/>
  <c r="AG164" i="25"/>
  <c r="AG163" i="25"/>
  <c r="AG162" i="25"/>
  <c r="AG161" i="25"/>
  <c r="AG160" i="25"/>
  <c r="AG159" i="25"/>
  <c r="AG158" i="25"/>
  <c r="AG157" i="25"/>
  <c r="AG156" i="25"/>
  <c r="AG155" i="25"/>
  <c r="AG154" i="25"/>
  <c r="AG153" i="25"/>
  <c r="AG152" i="25"/>
  <c r="AG151" i="25"/>
  <c r="AG150" i="25"/>
  <c r="AG149" i="25"/>
  <c r="AG148" i="25"/>
  <c r="AG147" i="25"/>
  <c r="AG146" i="25"/>
  <c r="AG145" i="25"/>
  <c r="AG144" i="25"/>
  <c r="AG143" i="25"/>
  <c r="AG142" i="25"/>
  <c r="AG141" i="25"/>
  <c r="AG140" i="25"/>
  <c r="AG139" i="25"/>
  <c r="AG138" i="25"/>
  <c r="AG137" i="25"/>
  <c r="AG136" i="25"/>
  <c r="AG135" i="25"/>
  <c r="AG134" i="25"/>
  <c r="AG133" i="25"/>
  <c r="AG132" i="25"/>
  <c r="AG131" i="25"/>
  <c r="AG130" i="25"/>
  <c r="AG129" i="25"/>
  <c r="AG128" i="25"/>
  <c r="AG127" i="25"/>
  <c r="AG126" i="25"/>
  <c r="AG125" i="25"/>
  <c r="AG124" i="25"/>
  <c r="AG123" i="25"/>
  <c r="AG117" i="25"/>
  <c r="AG111" i="25"/>
  <c r="AG105" i="25"/>
  <c r="AG99" i="25"/>
  <c r="AG93" i="25"/>
  <c r="AG87" i="25"/>
  <c r="AG81" i="25"/>
  <c r="AG75" i="25"/>
  <c r="AG69" i="25"/>
  <c r="AG63" i="25"/>
  <c r="AG57" i="25"/>
  <c r="AG51" i="25"/>
  <c r="AG45" i="25"/>
  <c r="AG39" i="25"/>
  <c r="AG33" i="25"/>
  <c r="AG27" i="25"/>
  <c r="AG21" i="25"/>
  <c r="AG15" i="25"/>
  <c r="AG9" i="25"/>
  <c r="AG3" i="25"/>
  <c r="AA3" i="25" l="1"/>
  <c r="AA4" i="25"/>
  <c r="AA5" i="25"/>
  <c r="AA6" i="25"/>
  <c r="AA7" i="25"/>
  <c r="AA8" i="25"/>
  <c r="AA9" i="25"/>
  <c r="AA10" i="25"/>
  <c r="AA11" i="25"/>
  <c r="AA12" i="25"/>
  <c r="AA13" i="25"/>
  <c r="AA14" i="25"/>
  <c r="AA15" i="25"/>
  <c r="AA16" i="25"/>
  <c r="AA17" i="25"/>
  <c r="AA18" i="25"/>
  <c r="AA19" i="25"/>
  <c r="AA20" i="25"/>
  <c r="AA21" i="25"/>
  <c r="AA22" i="25"/>
  <c r="AA23" i="25"/>
  <c r="AA24" i="25"/>
  <c r="AA25" i="25"/>
  <c r="AA26" i="25"/>
  <c r="AA27" i="25"/>
  <c r="AA28" i="25"/>
  <c r="AA29" i="25"/>
  <c r="AA30" i="25"/>
  <c r="AA31" i="25"/>
  <c r="AA32" i="25"/>
  <c r="AA33" i="25"/>
  <c r="AA34" i="25"/>
  <c r="AA35" i="25"/>
  <c r="AA36" i="25"/>
  <c r="AA37" i="25"/>
  <c r="AA38" i="25"/>
  <c r="AA39" i="25"/>
  <c r="AA40" i="25"/>
  <c r="AA41" i="25"/>
  <c r="AA42" i="25"/>
  <c r="AA43" i="25"/>
  <c r="AA44" i="25"/>
  <c r="AA45" i="25"/>
  <c r="AA46" i="25"/>
  <c r="AA47" i="25"/>
  <c r="AA48" i="25"/>
  <c r="AA49" i="25"/>
  <c r="AA50" i="25"/>
  <c r="AA51" i="25"/>
  <c r="AA52" i="25"/>
  <c r="AA53" i="25"/>
  <c r="AA54" i="25"/>
  <c r="AA55" i="25"/>
  <c r="AA56" i="25"/>
  <c r="AA57" i="25"/>
  <c r="AA58" i="25"/>
  <c r="AA59" i="25"/>
  <c r="AA60" i="25"/>
  <c r="AA61" i="25"/>
  <c r="AA62" i="25"/>
  <c r="AA63" i="25"/>
  <c r="AA64" i="25"/>
  <c r="AA65" i="25"/>
  <c r="AA66" i="25"/>
  <c r="AA67" i="25"/>
  <c r="AA68" i="25"/>
  <c r="AA69" i="25"/>
  <c r="AA70" i="25"/>
  <c r="AA71" i="25"/>
  <c r="AA72" i="25"/>
  <c r="AA73" i="25"/>
  <c r="AA74" i="25"/>
  <c r="AA75" i="25"/>
  <c r="AA76" i="25"/>
  <c r="AA77" i="25"/>
  <c r="AA78" i="25"/>
  <c r="AA79" i="25"/>
  <c r="AA80" i="25"/>
  <c r="AA81" i="25"/>
  <c r="AA82" i="25"/>
  <c r="AA83" i="25"/>
  <c r="AA84" i="25"/>
  <c r="AA85" i="25"/>
  <c r="AA86" i="25"/>
  <c r="AA87" i="25"/>
  <c r="AA88" i="25"/>
  <c r="AA89" i="25"/>
  <c r="AA90" i="25"/>
  <c r="AA91" i="25"/>
  <c r="AA92" i="25"/>
  <c r="AA93" i="25"/>
  <c r="AA94" i="25"/>
  <c r="AA95" i="25"/>
  <c r="AA96" i="25"/>
  <c r="AA97" i="25"/>
  <c r="AA98" i="25"/>
  <c r="AA99" i="25"/>
  <c r="AA100" i="25"/>
  <c r="AA101" i="25"/>
  <c r="AA102" i="25"/>
  <c r="AA103" i="25"/>
  <c r="AA104" i="25"/>
  <c r="AA105" i="25"/>
  <c r="AA106" i="25"/>
  <c r="AA107" i="25"/>
  <c r="AA108" i="25"/>
  <c r="AA109" i="25"/>
  <c r="AA110" i="25"/>
  <c r="AA111" i="25"/>
  <c r="AA112" i="25"/>
  <c r="AA113" i="25"/>
  <c r="AA114" i="25"/>
  <c r="AA115" i="25"/>
  <c r="AA117" i="25"/>
  <c r="AA118" i="25"/>
  <c r="AA119" i="25"/>
  <c r="AA120" i="25"/>
  <c r="AA121" i="25"/>
  <c r="AA123" i="25"/>
  <c r="AA124" i="25"/>
  <c r="AA125" i="25"/>
  <c r="AA126" i="25"/>
  <c r="AA127" i="25"/>
  <c r="AA129" i="25"/>
  <c r="AA130" i="25"/>
  <c r="AA131" i="25"/>
  <c r="AA132" i="25"/>
  <c r="AA133" i="25"/>
  <c r="AA135" i="25"/>
  <c r="AA136" i="25"/>
  <c r="AA137" i="25"/>
  <c r="AA138" i="25"/>
  <c r="AA139" i="25"/>
  <c r="AA141" i="25"/>
  <c r="AA142" i="25"/>
  <c r="AA143" i="25"/>
  <c r="AA144" i="25"/>
  <c r="AA145" i="25"/>
  <c r="AA147" i="25"/>
  <c r="AA148" i="25"/>
  <c r="AA149" i="25"/>
  <c r="AA150" i="25"/>
  <c r="AA151" i="25"/>
  <c r="AA153" i="25"/>
  <c r="AA154" i="25"/>
  <c r="AA155" i="25"/>
  <c r="AA156" i="25"/>
  <c r="AA157" i="25"/>
  <c r="AA159" i="25"/>
  <c r="AA160" i="25"/>
  <c r="AA161" i="25"/>
  <c r="AA162" i="25"/>
  <c r="AA163" i="25"/>
  <c r="AA165" i="25"/>
  <c r="AA166" i="25"/>
  <c r="AA167" i="25"/>
  <c r="AA168" i="25"/>
  <c r="AA169" i="25"/>
  <c r="AA171" i="25"/>
  <c r="AA172" i="25"/>
  <c r="AA173" i="25"/>
  <c r="AA174" i="25"/>
  <c r="AA175" i="25"/>
  <c r="AA177" i="25"/>
  <c r="AA178" i="25"/>
  <c r="AA179" i="25"/>
  <c r="AA180" i="25"/>
  <c r="AA183" i="25"/>
  <c r="AA184" i="25"/>
  <c r="AA185" i="25"/>
  <c r="AA186" i="25"/>
  <c r="AA188" i="25"/>
  <c r="AA189" i="25"/>
  <c r="AA190" i="25"/>
  <c r="AA191" i="25"/>
  <c r="AA192" i="25"/>
  <c r="AA194" i="25"/>
  <c r="AA195" i="25"/>
  <c r="AA196" i="25"/>
  <c r="AA197" i="25"/>
  <c r="AA198" i="25"/>
  <c r="AA200" i="25"/>
  <c r="AA201" i="25"/>
  <c r="AA202" i="25"/>
  <c r="AA203" i="25"/>
  <c r="AA204" i="25"/>
  <c r="AA206" i="25"/>
  <c r="AA207" i="25"/>
  <c r="AA208" i="25"/>
  <c r="AA209" i="25"/>
  <c r="AA210" i="25"/>
  <c r="AA212" i="25"/>
  <c r="AA213" i="25"/>
  <c r="AA214" i="25"/>
  <c r="AA215" i="25"/>
  <c r="AA216" i="25"/>
  <c r="AA218" i="25"/>
  <c r="AA219" i="25"/>
  <c r="AA220" i="25"/>
  <c r="AA221" i="25"/>
  <c r="AA222" i="25"/>
  <c r="AA224" i="25"/>
  <c r="AA225" i="25"/>
  <c r="AA226" i="25"/>
  <c r="AA227" i="25"/>
  <c r="AA228" i="25"/>
  <c r="AA230" i="25"/>
  <c r="AA231" i="25"/>
  <c r="AA232" i="25"/>
  <c r="AA233" i="25"/>
  <c r="AA234" i="25"/>
  <c r="AA235" i="25"/>
  <c r="AA236" i="25"/>
  <c r="AA237" i="25"/>
  <c r="AA238" i="25"/>
  <c r="AA239" i="25"/>
  <c r="AA240" i="25"/>
  <c r="AA241" i="25"/>
  <c r="AA242" i="25"/>
  <c r="AA243" i="25"/>
  <c r="AA244" i="25"/>
  <c r="AA245" i="25"/>
  <c r="AA246" i="25"/>
  <c r="AA247" i="25"/>
  <c r="AA248" i="25"/>
  <c r="AA249" i="25"/>
  <c r="AA250" i="25"/>
  <c r="AA251" i="25"/>
  <c r="AA252" i="25"/>
  <c r="AA253" i="25"/>
  <c r="AA254" i="25"/>
  <c r="AA255" i="25"/>
  <c r="AA256" i="25"/>
  <c r="AA257" i="25"/>
  <c r="AA258" i="25"/>
  <c r="AA259" i="25"/>
  <c r="AA260" i="25"/>
  <c r="AA261" i="25"/>
  <c r="AA262" i="25"/>
  <c r="AA263" i="25"/>
  <c r="AA264" i="25"/>
  <c r="AA265" i="25"/>
  <c r="AA266" i="25"/>
  <c r="AA267" i="25"/>
  <c r="AA268" i="25"/>
  <c r="AA269" i="25"/>
  <c r="AA270" i="25"/>
  <c r="AA271" i="25"/>
  <c r="AA272" i="25"/>
  <c r="AA273" i="25"/>
  <c r="AA274" i="25"/>
  <c r="AA275" i="25"/>
  <c r="AA276" i="25"/>
  <c r="AA277" i="25"/>
  <c r="AA278" i="25"/>
  <c r="AA279" i="25"/>
  <c r="AA280" i="25"/>
  <c r="AA281" i="25"/>
  <c r="AA282" i="25"/>
  <c r="AA283" i="25"/>
  <c r="AA284" i="25"/>
  <c r="AA285" i="25"/>
  <c r="AA286" i="25"/>
  <c r="AA287" i="25"/>
  <c r="AA288" i="25"/>
  <c r="AA289" i="25"/>
  <c r="AA290" i="25"/>
  <c r="AB289" i="25" l="1"/>
  <c r="AB288" i="25"/>
  <c r="AB287" i="25"/>
  <c r="AB283" i="25"/>
  <c r="AB282" i="25"/>
  <c r="AB281" i="25"/>
  <c r="AB277" i="25"/>
  <c r="AB276" i="25"/>
  <c r="AB275" i="25"/>
  <c r="AB271" i="25"/>
  <c r="AB270" i="25"/>
  <c r="AB269" i="25"/>
  <c r="AB265" i="25"/>
  <c r="AB264" i="25"/>
  <c r="AB263" i="25"/>
  <c r="AB259" i="25"/>
  <c r="AB258" i="25"/>
  <c r="AB257" i="25"/>
  <c r="AB253" i="25"/>
  <c r="AB252" i="25"/>
  <c r="AB251" i="25"/>
  <c r="AB247" i="25"/>
  <c r="AB246" i="25"/>
  <c r="AB245" i="25"/>
  <c r="AB241" i="25"/>
  <c r="AB240" i="25"/>
  <c r="AB239" i="25"/>
  <c r="AB235" i="25"/>
  <c r="AB234" i="25"/>
  <c r="AB233" i="25"/>
  <c r="AB229" i="25"/>
  <c r="AB228" i="25"/>
  <c r="AB227" i="25"/>
  <c r="AB223" i="25"/>
  <c r="AB222" i="25"/>
  <c r="AB221" i="25"/>
  <c r="AB217" i="25"/>
  <c r="AB216" i="25"/>
  <c r="AB215" i="25"/>
  <c r="AB211" i="25"/>
  <c r="AB210" i="25"/>
  <c r="AB209" i="25"/>
  <c r="AB205" i="25"/>
  <c r="AB204" i="25"/>
  <c r="AB203" i="25"/>
  <c r="AB199" i="25"/>
  <c r="AB198" i="25"/>
  <c r="AB197" i="25"/>
  <c r="AB193" i="25"/>
  <c r="AB192" i="25"/>
  <c r="AB191" i="25"/>
  <c r="AB187" i="25"/>
  <c r="AB186" i="25"/>
  <c r="AB185" i="25"/>
  <c r="AB176" i="25"/>
  <c r="AB170" i="25"/>
  <c r="AB164" i="25"/>
  <c r="AB158" i="25"/>
  <c r="AB152" i="25"/>
  <c r="AB146" i="25"/>
  <c r="AB140" i="25"/>
  <c r="AB134" i="25"/>
  <c r="AB128" i="25"/>
  <c r="AB122" i="25"/>
  <c r="AB116" i="25"/>
  <c r="AB108" i="25"/>
  <c r="AB107" i="25"/>
  <c r="AB102" i="25"/>
  <c r="AB101" i="25"/>
  <c r="AB96" i="25"/>
  <c r="AB95" i="25"/>
  <c r="AB90" i="25"/>
  <c r="AB89" i="25"/>
  <c r="AB84" i="25"/>
  <c r="AB83" i="25"/>
  <c r="AB78" i="25"/>
  <c r="AB77" i="25"/>
  <c r="AB72" i="25"/>
  <c r="AB71" i="25"/>
  <c r="AB66" i="25"/>
  <c r="AB65" i="25"/>
  <c r="AB60" i="25"/>
  <c r="AB59" i="25"/>
  <c r="AB54" i="25"/>
  <c r="AB53" i="25"/>
  <c r="AB48" i="25"/>
  <c r="AB47" i="25"/>
  <c r="AB42" i="25"/>
  <c r="AB41" i="25"/>
  <c r="AB36" i="25"/>
  <c r="AB35" i="25"/>
  <c r="AB30" i="25"/>
  <c r="AB29" i="25"/>
  <c r="AB24" i="25"/>
  <c r="AB23" i="25"/>
  <c r="AB18" i="25"/>
  <c r="AB17" i="25"/>
  <c r="AB12" i="25"/>
  <c r="AB11" i="25"/>
  <c r="AB6" i="25"/>
  <c r="AB5" i="25"/>
  <c r="U290" i="25" l="1"/>
  <c r="G290" i="25"/>
  <c r="F290" i="25"/>
  <c r="Y290" i="25" s="1"/>
  <c r="E290" i="25"/>
  <c r="AL290" i="25" s="1"/>
  <c r="D290" i="25"/>
  <c r="B290" i="25"/>
  <c r="U289" i="25"/>
  <c r="G289" i="25"/>
  <c r="F289" i="25"/>
  <c r="Y289" i="25" s="1"/>
  <c r="E289" i="25"/>
  <c r="D289" i="25"/>
  <c r="B289" i="25"/>
  <c r="U288" i="25"/>
  <c r="G288" i="25"/>
  <c r="F288" i="25"/>
  <c r="E288" i="25"/>
  <c r="AC288" i="25" s="1"/>
  <c r="D288" i="25"/>
  <c r="B288" i="25"/>
  <c r="U287" i="25"/>
  <c r="G287" i="25"/>
  <c r="F287" i="25"/>
  <c r="Y287" i="25" s="1"/>
  <c r="E287" i="25"/>
  <c r="D287" i="25"/>
  <c r="B287" i="25"/>
  <c r="U286" i="25"/>
  <c r="G286" i="25"/>
  <c r="F286" i="25"/>
  <c r="Y286" i="25" s="1"/>
  <c r="E286" i="25"/>
  <c r="AB286" i="25" s="1"/>
  <c r="D286" i="25"/>
  <c r="B286" i="25"/>
  <c r="U285" i="25"/>
  <c r="G285" i="25"/>
  <c r="F285" i="25"/>
  <c r="Y285" i="25" s="1"/>
  <c r="E285" i="25"/>
  <c r="AN285" i="25" s="1"/>
  <c r="D285" i="25"/>
  <c r="B285" i="25"/>
  <c r="U284" i="25"/>
  <c r="G284" i="25"/>
  <c r="Z284" i="25" s="1"/>
  <c r="F284" i="25"/>
  <c r="Y284" i="25" s="1"/>
  <c r="E284" i="25"/>
  <c r="AM284" i="25" s="1"/>
  <c r="D284" i="25"/>
  <c r="B284" i="25"/>
  <c r="U283" i="25"/>
  <c r="G283" i="25"/>
  <c r="F283" i="25"/>
  <c r="Y283" i="25" s="1"/>
  <c r="E283" i="25"/>
  <c r="D283" i="25"/>
  <c r="B283" i="25"/>
  <c r="U282" i="25"/>
  <c r="G282" i="25"/>
  <c r="F282" i="25"/>
  <c r="E282" i="25"/>
  <c r="AC282" i="25" s="1"/>
  <c r="D282" i="25"/>
  <c r="B282" i="25"/>
  <c r="U281" i="25"/>
  <c r="G281" i="25"/>
  <c r="F281" i="25"/>
  <c r="Y281" i="25" s="1"/>
  <c r="E281" i="25"/>
  <c r="D281" i="25"/>
  <c r="B281" i="25"/>
  <c r="U280" i="25"/>
  <c r="G280" i="25"/>
  <c r="F280" i="25"/>
  <c r="Y280" i="25" s="1"/>
  <c r="E280" i="25"/>
  <c r="AB280" i="25" s="1"/>
  <c r="D280" i="25"/>
  <c r="B280" i="25"/>
  <c r="U279" i="25"/>
  <c r="G279" i="25"/>
  <c r="F279" i="25"/>
  <c r="Y279" i="25" s="1"/>
  <c r="E279" i="25"/>
  <c r="AN279" i="25" s="1"/>
  <c r="D279" i="25"/>
  <c r="B279" i="25"/>
  <c r="U278" i="25"/>
  <c r="G278" i="25"/>
  <c r="Z278" i="25" s="1"/>
  <c r="F278" i="25"/>
  <c r="Y278" i="25" s="1"/>
  <c r="E278" i="25"/>
  <c r="AL278" i="25" s="1"/>
  <c r="D278" i="25"/>
  <c r="B278" i="25"/>
  <c r="U277" i="25"/>
  <c r="G277" i="25"/>
  <c r="F277" i="25"/>
  <c r="Y277" i="25" s="1"/>
  <c r="E277" i="25"/>
  <c r="D277" i="25"/>
  <c r="B277" i="25"/>
  <c r="U276" i="25"/>
  <c r="G276" i="25"/>
  <c r="F276" i="25"/>
  <c r="E276" i="25"/>
  <c r="AC276" i="25" s="1"/>
  <c r="D276" i="25"/>
  <c r="B276" i="25"/>
  <c r="U275" i="25"/>
  <c r="G275" i="25"/>
  <c r="F275" i="25"/>
  <c r="Y275" i="25" s="1"/>
  <c r="E275" i="25"/>
  <c r="D275" i="25"/>
  <c r="B275" i="25"/>
  <c r="U274" i="25"/>
  <c r="G274" i="25"/>
  <c r="F274" i="25"/>
  <c r="Y274" i="25" s="1"/>
  <c r="E274" i="25"/>
  <c r="AB274" i="25" s="1"/>
  <c r="D274" i="25"/>
  <c r="B274" i="25"/>
  <c r="U273" i="25"/>
  <c r="G273" i="25"/>
  <c r="F273" i="25"/>
  <c r="Y273" i="25" s="1"/>
  <c r="E273" i="25"/>
  <c r="AN273" i="25" s="1"/>
  <c r="D273" i="25"/>
  <c r="B273" i="25"/>
  <c r="U272" i="25"/>
  <c r="G272" i="25"/>
  <c r="Z272" i="25" s="1"/>
  <c r="F272" i="25"/>
  <c r="Y272" i="25" s="1"/>
  <c r="E272" i="25"/>
  <c r="AM272" i="25" s="1"/>
  <c r="D272" i="25"/>
  <c r="B272" i="25"/>
  <c r="U271" i="25"/>
  <c r="G271" i="25"/>
  <c r="F271" i="25"/>
  <c r="Y271" i="25" s="1"/>
  <c r="E271" i="25"/>
  <c r="D271" i="25"/>
  <c r="B271" i="25"/>
  <c r="U270" i="25"/>
  <c r="G270" i="25"/>
  <c r="F270" i="25"/>
  <c r="E270" i="25"/>
  <c r="AC270" i="25" s="1"/>
  <c r="D270" i="25"/>
  <c r="B270" i="25"/>
  <c r="U269" i="25"/>
  <c r="G269" i="25"/>
  <c r="F269" i="25"/>
  <c r="Y269" i="25" s="1"/>
  <c r="E269" i="25"/>
  <c r="D269" i="25"/>
  <c r="B269" i="25"/>
  <c r="U268" i="25"/>
  <c r="G268" i="25"/>
  <c r="F268" i="25"/>
  <c r="Y268" i="25" s="1"/>
  <c r="E268" i="25"/>
  <c r="AB268" i="25" s="1"/>
  <c r="D268" i="25"/>
  <c r="B268" i="25"/>
  <c r="U267" i="25"/>
  <c r="G267" i="25"/>
  <c r="F267" i="25"/>
  <c r="Y267" i="25" s="1"/>
  <c r="E267" i="25"/>
  <c r="AN267" i="25" s="1"/>
  <c r="D267" i="25"/>
  <c r="B267" i="25"/>
  <c r="U266" i="25"/>
  <c r="G266" i="25"/>
  <c r="Z266" i="25" s="1"/>
  <c r="F266" i="25"/>
  <c r="Y266" i="25" s="1"/>
  <c r="E266" i="25"/>
  <c r="AM266" i="25" s="1"/>
  <c r="D266" i="25"/>
  <c r="B266" i="25"/>
  <c r="U265" i="25"/>
  <c r="G265" i="25"/>
  <c r="F265" i="25"/>
  <c r="Y265" i="25" s="1"/>
  <c r="E265" i="25"/>
  <c r="D265" i="25"/>
  <c r="B265" i="25"/>
  <c r="U264" i="25"/>
  <c r="G264" i="25"/>
  <c r="F264" i="25"/>
  <c r="E264" i="25"/>
  <c r="AC264" i="25" s="1"/>
  <c r="D264" i="25"/>
  <c r="B264" i="25"/>
  <c r="U263" i="25"/>
  <c r="G263" i="25"/>
  <c r="F263" i="25"/>
  <c r="Y263" i="25" s="1"/>
  <c r="E263" i="25"/>
  <c r="D263" i="25"/>
  <c r="B263" i="25"/>
  <c r="U262" i="25"/>
  <c r="G262" i="25"/>
  <c r="F262" i="25"/>
  <c r="Y262" i="25" s="1"/>
  <c r="E262" i="25"/>
  <c r="AB262" i="25" s="1"/>
  <c r="D262" i="25"/>
  <c r="B262" i="25"/>
  <c r="U261" i="25"/>
  <c r="G261" i="25"/>
  <c r="F261" i="25"/>
  <c r="Y261" i="25" s="1"/>
  <c r="E261" i="25"/>
  <c r="AN261" i="25" s="1"/>
  <c r="D261" i="25"/>
  <c r="B261" i="25"/>
  <c r="U260" i="25"/>
  <c r="G260" i="25"/>
  <c r="Z260" i="25" s="1"/>
  <c r="F260" i="25"/>
  <c r="Y260" i="25" s="1"/>
  <c r="E260" i="25"/>
  <c r="AL260" i="25" s="1"/>
  <c r="D260" i="25"/>
  <c r="B260" i="25"/>
  <c r="U259" i="25"/>
  <c r="G259" i="25"/>
  <c r="F259" i="25"/>
  <c r="Y259" i="25" s="1"/>
  <c r="E259" i="25"/>
  <c r="D259" i="25"/>
  <c r="B259" i="25"/>
  <c r="U258" i="25"/>
  <c r="G258" i="25"/>
  <c r="F258" i="25"/>
  <c r="E258" i="25"/>
  <c r="AC258" i="25" s="1"/>
  <c r="D258" i="25"/>
  <c r="B258" i="25"/>
  <c r="U257" i="25"/>
  <c r="G257" i="25"/>
  <c r="F257" i="25"/>
  <c r="Y257" i="25" s="1"/>
  <c r="E257" i="25"/>
  <c r="D257" i="25"/>
  <c r="B257" i="25"/>
  <c r="U256" i="25"/>
  <c r="G256" i="25"/>
  <c r="F256" i="25"/>
  <c r="Y256" i="25" s="1"/>
  <c r="E256" i="25"/>
  <c r="AB256" i="25" s="1"/>
  <c r="D256" i="25"/>
  <c r="B256" i="25"/>
  <c r="U255" i="25"/>
  <c r="G255" i="25"/>
  <c r="F255" i="25"/>
  <c r="Y255" i="25" s="1"/>
  <c r="E255" i="25"/>
  <c r="AN255" i="25" s="1"/>
  <c r="D255" i="25"/>
  <c r="B255" i="25"/>
  <c r="U254" i="25"/>
  <c r="G254" i="25"/>
  <c r="F254" i="25"/>
  <c r="Y254" i="25" s="1"/>
  <c r="E254" i="25"/>
  <c r="AM254" i="25" s="1"/>
  <c r="D254" i="25"/>
  <c r="B254" i="25"/>
  <c r="U253" i="25"/>
  <c r="G253" i="25"/>
  <c r="F253" i="25"/>
  <c r="Y253" i="25" s="1"/>
  <c r="E253" i="25"/>
  <c r="AM253" i="25" s="1"/>
  <c r="D253" i="25"/>
  <c r="B253" i="25"/>
  <c r="U252" i="25"/>
  <c r="G252" i="25"/>
  <c r="F252" i="25"/>
  <c r="E252" i="25"/>
  <c r="AC252" i="25" s="1"/>
  <c r="D252" i="25"/>
  <c r="B252" i="25"/>
  <c r="U251" i="25"/>
  <c r="G251" i="25"/>
  <c r="F251" i="25"/>
  <c r="Y251" i="25" s="1"/>
  <c r="E251" i="25"/>
  <c r="D251" i="25"/>
  <c r="B251" i="25"/>
  <c r="U250" i="25"/>
  <c r="G250" i="25"/>
  <c r="F250" i="25"/>
  <c r="Y250" i="25" s="1"/>
  <c r="E250" i="25"/>
  <c r="AB250" i="25" s="1"/>
  <c r="D250" i="25"/>
  <c r="B250" i="25"/>
  <c r="U249" i="25"/>
  <c r="G249" i="25"/>
  <c r="F249" i="25"/>
  <c r="Y249" i="25" s="1"/>
  <c r="E249" i="25"/>
  <c r="AN249" i="25" s="1"/>
  <c r="D249" i="25"/>
  <c r="B249" i="25"/>
  <c r="U248" i="25"/>
  <c r="G248" i="25"/>
  <c r="F248" i="25"/>
  <c r="Y248" i="25" s="1"/>
  <c r="E248" i="25"/>
  <c r="AM248" i="25" s="1"/>
  <c r="D248" i="25"/>
  <c r="B248" i="25"/>
  <c r="U247" i="25"/>
  <c r="G247" i="25"/>
  <c r="F247" i="25"/>
  <c r="Y247" i="25" s="1"/>
  <c r="E247" i="25"/>
  <c r="D247" i="25"/>
  <c r="B247" i="25"/>
  <c r="U246" i="25"/>
  <c r="G246" i="25"/>
  <c r="F246" i="25"/>
  <c r="E246" i="25"/>
  <c r="AC246" i="25" s="1"/>
  <c r="D246" i="25"/>
  <c r="B246" i="25"/>
  <c r="U245" i="25"/>
  <c r="G245" i="25"/>
  <c r="F245" i="25"/>
  <c r="Y245" i="25" s="1"/>
  <c r="E245" i="25"/>
  <c r="D245" i="25"/>
  <c r="B245" i="25"/>
  <c r="U244" i="25"/>
  <c r="G244" i="25"/>
  <c r="F244" i="25"/>
  <c r="Y244" i="25" s="1"/>
  <c r="E244" i="25"/>
  <c r="AB244" i="25" s="1"/>
  <c r="D244" i="25"/>
  <c r="B244" i="25"/>
  <c r="U243" i="25"/>
  <c r="G243" i="25"/>
  <c r="F243" i="25"/>
  <c r="Y243" i="25" s="1"/>
  <c r="E243" i="25"/>
  <c r="AN243" i="25" s="1"/>
  <c r="D243" i="25"/>
  <c r="B243" i="25"/>
  <c r="U242" i="25"/>
  <c r="G242" i="25"/>
  <c r="F242" i="25"/>
  <c r="Y242" i="25" s="1"/>
  <c r="E242" i="25"/>
  <c r="AL242" i="25" s="1"/>
  <c r="D242" i="25"/>
  <c r="B242" i="25"/>
  <c r="U241" i="25"/>
  <c r="G241" i="25"/>
  <c r="F241" i="25"/>
  <c r="Y241" i="25" s="1"/>
  <c r="E241" i="25"/>
  <c r="D241" i="25"/>
  <c r="B241" i="25"/>
  <c r="U240" i="25"/>
  <c r="G240" i="25"/>
  <c r="F240" i="25"/>
  <c r="E240" i="25"/>
  <c r="AC240" i="25" s="1"/>
  <c r="D240" i="25"/>
  <c r="B240" i="25"/>
  <c r="U239" i="25"/>
  <c r="G239" i="25"/>
  <c r="F239" i="25"/>
  <c r="Y239" i="25" s="1"/>
  <c r="E239" i="25"/>
  <c r="D239" i="25"/>
  <c r="B239" i="25"/>
  <c r="U238" i="25"/>
  <c r="G238" i="25"/>
  <c r="F238" i="25"/>
  <c r="Y238" i="25" s="1"/>
  <c r="E238" i="25"/>
  <c r="AB238" i="25" s="1"/>
  <c r="D238" i="25"/>
  <c r="B238" i="25"/>
  <c r="U237" i="25"/>
  <c r="G237" i="25"/>
  <c r="F237" i="25"/>
  <c r="Y237" i="25" s="1"/>
  <c r="E237" i="25"/>
  <c r="AN237" i="25" s="1"/>
  <c r="D237" i="25"/>
  <c r="B237" i="25"/>
  <c r="U236" i="25"/>
  <c r="G236" i="25"/>
  <c r="F236" i="25"/>
  <c r="Y236" i="25" s="1"/>
  <c r="E236" i="25"/>
  <c r="AM236" i="25" s="1"/>
  <c r="D236" i="25"/>
  <c r="B236" i="25"/>
  <c r="U235" i="25"/>
  <c r="G235" i="25"/>
  <c r="F235" i="25"/>
  <c r="Y235" i="25" s="1"/>
  <c r="E235" i="25"/>
  <c r="D235" i="25"/>
  <c r="B235" i="25"/>
  <c r="U234" i="25"/>
  <c r="G234" i="25"/>
  <c r="F234" i="25"/>
  <c r="E234" i="25"/>
  <c r="AC234" i="25" s="1"/>
  <c r="D234" i="25"/>
  <c r="B234" i="25"/>
  <c r="U233" i="25"/>
  <c r="G233" i="25"/>
  <c r="F233" i="25"/>
  <c r="Y233" i="25" s="1"/>
  <c r="E233" i="25"/>
  <c r="D233" i="25"/>
  <c r="B233" i="25"/>
  <c r="U232" i="25"/>
  <c r="G232" i="25"/>
  <c r="F232" i="25"/>
  <c r="Y232" i="25" s="1"/>
  <c r="E232" i="25"/>
  <c r="AB232" i="25" s="1"/>
  <c r="D232" i="25"/>
  <c r="B232" i="25"/>
  <c r="U231" i="25"/>
  <c r="G231" i="25"/>
  <c r="F231" i="25"/>
  <c r="Y231" i="25" s="1"/>
  <c r="E231" i="25"/>
  <c r="AN231" i="25" s="1"/>
  <c r="D231" i="25"/>
  <c r="B231" i="25"/>
  <c r="U230" i="25"/>
  <c r="G230" i="25"/>
  <c r="F230" i="25"/>
  <c r="Y230" i="25" s="1"/>
  <c r="E230" i="25"/>
  <c r="AL230" i="25" s="1"/>
  <c r="D230" i="25"/>
  <c r="B230" i="25"/>
  <c r="U229" i="25"/>
  <c r="G229" i="25"/>
  <c r="F229" i="25"/>
  <c r="Y229" i="25" s="1"/>
  <c r="E229" i="25"/>
  <c r="D229" i="25"/>
  <c r="B229" i="25"/>
  <c r="U228" i="25"/>
  <c r="G228" i="25"/>
  <c r="Z228" i="25" s="1"/>
  <c r="F228" i="25"/>
  <c r="E228" i="25"/>
  <c r="D228" i="25"/>
  <c r="B228" i="25"/>
  <c r="U227" i="25"/>
  <c r="G227" i="25"/>
  <c r="F227" i="25"/>
  <c r="Y227" i="25" s="1"/>
  <c r="E227" i="25"/>
  <c r="D227" i="25"/>
  <c r="B227" i="25"/>
  <c r="U226" i="25"/>
  <c r="G226" i="25"/>
  <c r="F226" i="25"/>
  <c r="Y226" i="25" s="1"/>
  <c r="E226" i="25"/>
  <c r="AB226" i="25" s="1"/>
  <c r="D226" i="25"/>
  <c r="B226" i="25"/>
  <c r="U225" i="25"/>
  <c r="G225" i="25"/>
  <c r="F225" i="25"/>
  <c r="Y225" i="25" s="1"/>
  <c r="E225" i="25"/>
  <c r="AN225" i="25" s="1"/>
  <c r="D225" i="25"/>
  <c r="B225" i="25"/>
  <c r="U224" i="25"/>
  <c r="G224" i="25"/>
  <c r="F224" i="25"/>
  <c r="Y224" i="25" s="1"/>
  <c r="E224" i="25"/>
  <c r="AM224" i="25" s="1"/>
  <c r="D224" i="25"/>
  <c r="B224" i="25"/>
  <c r="U223" i="25"/>
  <c r="G223" i="25"/>
  <c r="Z223" i="25" s="1"/>
  <c r="F223" i="25"/>
  <c r="Y223" i="25" s="1"/>
  <c r="E223" i="25"/>
  <c r="D223" i="25"/>
  <c r="B223" i="25"/>
  <c r="U222" i="25"/>
  <c r="G222" i="25"/>
  <c r="Z222" i="25" s="1"/>
  <c r="F222" i="25"/>
  <c r="E222" i="25"/>
  <c r="D222" i="25"/>
  <c r="B222" i="25"/>
  <c r="U221" i="25"/>
  <c r="G221" i="25"/>
  <c r="F221" i="25"/>
  <c r="Y221" i="25" s="1"/>
  <c r="E221" i="25"/>
  <c r="D221" i="25"/>
  <c r="B221" i="25"/>
  <c r="U220" i="25"/>
  <c r="G220" i="25"/>
  <c r="F220" i="25"/>
  <c r="Y220" i="25" s="1"/>
  <c r="E220" i="25"/>
  <c r="AB220" i="25" s="1"/>
  <c r="D220" i="25"/>
  <c r="B220" i="25"/>
  <c r="U219" i="25"/>
  <c r="G219" i="25"/>
  <c r="F219" i="25"/>
  <c r="Y219" i="25" s="1"/>
  <c r="E219" i="25"/>
  <c r="AN219" i="25" s="1"/>
  <c r="D219" i="25"/>
  <c r="B219" i="25"/>
  <c r="U218" i="25"/>
  <c r="G218" i="25"/>
  <c r="F218" i="25"/>
  <c r="Y218" i="25" s="1"/>
  <c r="E218" i="25"/>
  <c r="AL218" i="25" s="1"/>
  <c r="D218" i="25"/>
  <c r="B218" i="25"/>
  <c r="U217" i="25"/>
  <c r="G217" i="25"/>
  <c r="Z217" i="25" s="1"/>
  <c r="F217" i="25"/>
  <c r="Y217" i="25" s="1"/>
  <c r="E217" i="25"/>
  <c r="D217" i="25"/>
  <c r="B217" i="25"/>
  <c r="U216" i="25"/>
  <c r="G216" i="25"/>
  <c r="Z216" i="25" s="1"/>
  <c r="F216" i="25"/>
  <c r="E216" i="25"/>
  <c r="D216" i="25"/>
  <c r="B216" i="25"/>
  <c r="U215" i="25"/>
  <c r="G215" i="25"/>
  <c r="F215" i="25"/>
  <c r="Y215" i="25" s="1"/>
  <c r="E215" i="25"/>
  <c r="D215" i="25"/>
  <c r="B215" i="25"/>
  <c r="U214" i="25"/>
  <c r="G214" i="25"/>
  <c r="F214" i="25"/>
  <c r="Y214" i="25" s="1"/>
  <c r="E214" i="25"/>
  <c r="AB214" i="25" s="1"/>
  <c r="D214" i="25"/>
  <c r="B214" i="25"/>
  <c r="U213" i="25"/>
  <c r="G213" i="25"/>
  <c r="F213" i="25"/>
  <c r="Y213" i="25" s="1"/>
  <c r="E213" i="25"/>
  <c r="AN213" i="25" s="1"/>
  <c r="D213" i="25"/>
  <c r="B213" i="25"/>
  <c r="U212" i="25"/>
  <c r="G212" i="25"/>
  <c r="F212" i="25"/>
  <c r="Y212" i="25" s="1"/>
  <c r="E212" i="25"/>
  <c r="AM212" i="25" s="1"/>
  <c r="D212" i="25"/>
  <c r="B212" i="25"/>
  <c r="U211" i="25"/>
  <c r="G211" i="25"/>
  <c r="Z211" i="25" s="1"/>
  <c r="F211" i="25"/>
  <c r="Y211" i="25" s="1"/>
  <c r="E211" i="25"/>
  <c r="D211" i="25"/>
  <c r="B211" i="25"/>
  <c r="U210" i="25"/>
  <c r="G210" i="25"/>
  <c r="Z210" i="25" s="1"/>
  <c r="F210" i="25"/>
  <c r="E210" i="25"/>
  <c r="D210" i="25"/>
  <c r="B210" i="25"/>
  <c r="U209" i="25"/>
  <c r="G209" i="25"/>
  <c r="F209" i="25"/>
  <c r="Y209" i="25" s="1"/>
  <c r="E209" i="25"/>
  <c r="D209" i="25"/>
  <c r="B209" i="25"/>
  <c r="U208" i="25"/>
  <c r="G208" i="25"/>
  <c r="F208" i="25"/>
  <c r="Y208" i="25" s="1"/>
  <c r="E208" i="25"/>
  <c r="AB208" i="25" s="1"/>
  <c r="D208" i="25"/>
  <c r="B208" i="25"/>
  <c r="U207" i="25"/>
  <c r="G207" i="25"/>
  <c r="F207" i="25"/>
  <c r="Y207" i="25" s="1"/>
  <c r="E207" i="25"/>
  <c r="AN207" i="25" s="1"/>
  <c r="D207" i="25"/>
  <c r="B207" i="25"/>
  <c r="U206" i="25"/>
  <c r="G206" i="25"/>
  <c r="F206" i="25"/>
  <c r="Y206" i="25" s="1"/>
  <c r="E206" i="25"/>
  <c r="AM206" i="25" s="1"/>
  <c r="D206" i="25"/>
  <c r="B206" i="25"/>
  <c r="U205" i="25"/>
  <c r="G205" i="25"/>
  <c r="Z205" i="25" s="1"/>
  <c r="F205" i="25"/>
  <c r="Y205" i="25" s="1"/>
  <c r="E205" i="25"/>
  <c r="D205" i="25"/>
  <c r="B205" i="25"/>
  <c r="U204" i="25"/>
  <c r="G204" i="25"/>
  <c r="Z204" i="25" s="1"/>
  <c r="F204" i="25"/>
  <c r="E204" i="25"/>
  <c r="D204" i="25"/>
  <c r="B204" i="25"/>
  <c r="U203" i="25"/>
  <c r="G203" i="25"/>
  <c r="F203" i="25"/>
  <c r="Y203" i="25" s="1"/>
  <c r="E203" i="25"/>
  <c r="D203" i="25"/>
  <c r="B203" i="25"/>
  <c r="U202" i="25"/>
  <c r="G202" i="25"/>
  <c r="F202" i="25"/>
  <c r="Y202" i="25" s="1"/>
  <c r="E202" i="25"/>
  <c r="AB202" i="25" s="1"/>
  <c r="D202" i="25"/>
  <c r="B202" i="25"/>
  <c r="U201" i="25"/>
  <c r="G201" i="25"/>
  <c r="F201" i="25"/>
  <c r="Y201" i="25" s="1"/>
  <c r="E201" i="25"/>
  <c r="AN201" i="25" s="1"/>
  <c r="D201" i="25"/>
  <c r="B201" i="25"/>
  <c r="U200" i="25"/>
  <c r="G200" i="25"/>
  <c r="F200" i="25"/>
  <c r="Y200" i="25" s="1"/>
  <c r="E200" i="25"/>
  <c r="AL200" i="25" s="1"/>
  <c r="D200" i="25"/>
  <c r="B200" i="25"/>
  <c r="U199" i="25"/>
  <c r="G199" i="25"/>
  <c r="Z199" i="25" s="1"/>
  <c r="F199" i="25"/>
  <c r="Y199" i="25" s="1"/>
  <c r="E199" i="25"/>
  <c r="AM199" i="25" s="1"/>
  <c r="D199" i="25"/>
  <c r="B199" i="25"/>
  <c r="U198" i="25"/>
  <c r="G198" i="25"/>
  <c r="Z198" i="25" s="1"/>
  <c r="F198" i="25"/>
  <c r="E198" i="25"/>
  <c r="D198" i="25"/>
  <c r="B198" i="25"/>
  <c r="U197" i="25"/>
  <c r="G197" i="25"/>
  <c r="F197" i="25"/>
  <c r="Y197" i="25" s="1"/>
  <c r="E197" i="25"/>
  <c r="D197" i="25"/>
  <c r="B197" i="25"/>
  <c r="U196" i="25"/>
  <c r="G196" i="25"/>
  <c r="F196" i="25"/>
  <c r="Y196" i="25" s="1"/>
  <c r="E196" i="25"/>
  <c r="AB196" i="25" s="1"/>
  <c r="D196" i="25"/>
  <c r="B196" i="25"/>
  <c r="U195" i="25"/>
  <c r="G195" i="25"/>
  <c r="F195" i="25"/>
  <c r="Y195" i="25" s="1"/>
  <c r="E195" i="25"/>
  <c r="AN195" i="25" s="1"/>
  <c r="D195" i="25"/>
  <c r="B195" i="25"/>
  <c r="U194" i="25"/>
  <c r="G194" i="25"/>
  <c r="F194" i="25"/>
  <c r="Y194" i="25" s="1"/>
  <c r="E194" i="25"/>
  <c r="AM194" i="25" s="1"/>
  <c r="D194" i="25"/>
  <c r="B194" i="25"/>
  <c r="U193" i="25"/>
  <c r="G193" i="25"/>
  <c r="Z193" i="25" s="1"/>
  <c r="F193" i="25"/>
  <c r="Y193" i="25" s="1"/>
  <c r="E193" i="25"/>
  <c r="AM193" i="25" s="1"/>
  <c r="D193" i="25"/>
  <c r="B193" i="25"/>
  <c r="U192" i="25"/>
  <c r="G192" i="25"/>
  <c r="Z192" i="25" s="1"/>
  <c r="F192" i="25"/>
  <c r="E192" i="25"/>
  <c r="D192" i="25"/>
  <c r="B192" i="25"/>
  <c r="U191" i="25"/>
  <c r="G191" i="25"/>
  <c r="F191" i="25"/>
  <c r="Y191" i="25" s="1"/>
  <c r="E191" i="25"/>
  <c r="D191" i="25"/>
  <c r="B191" i="25"/>
  <c r="U190" i="25"/>
  <c r="G190" i="25"/>
  <c r="F190" i="25"/>
  <c r="Y190" i="25" s="1"/>
  <c r="E190" i="25"/>
  <c r="AB190" i="25" s="1"/>
  <c r="D190" i="25"/>
  <c r="B190" i="25"/>
  <c r="U189" i="25"/>
  <c r="G189" i="25"/>
  <c r="F189" i="25"/>
  <c r="Y189" i="25" s="1"/>
  <c r="E189" i="25"/>
  <c r="AN189" i="25" s="1"/>
  <c r="D189" i="25"/>
  <c r="B189" i="25"/>
  <c r="U188" i="25"/>
  <c r="G188" i="25"/>
  <c r="F188" i="25"/>
  <c r="Y188" i="25" s="1"/>
  <c r="E188" i="25"/>
  <c r="AL188" i="25" s="1"/>
  <c r="D188" i="25"/>
  <c r="B188" i="25"/>
  <c r="U187" i="25"/>
  <c r="G187" i="25"/>
  <c r="Z187" i="25" s="1"/>
  <c r="F187" i="25"/>
  <c r="Y187" i="25" s="1"/>
  <c r="E187" i="25"/>
  <c r="AM187" i="25" s="1"/>
  <c r="D187" i="25"/>
  <c r="B187" i="25"/>
  <c r="U186" i="25"/>
  <c r="G186" i="25"/>
  <c r="Z186" i="25" s="1"/>
  <c r="F186" i="25"/>
  <c r="E186" i="25"/>
  <c r="D186" i="25"/>
  <c r="B186" i="25"/>
  <c r="U185" i="25"/>
  <c r="G185" i="25"/>
  <c r="F185" i="25"/>
  <c r="Y185" i="25" s="1"/>
  <c r="E185" i="25"/>
  <c r="AL185" i="25" s="1"/>
  <c r="D185" i="25"/>
  <c r="B185" i="25"/>
  <c r="U184" i="25"/>
  <c r="G184" i="25"/>
  <c r="F184" i="25"/>
  <c r="Y184" i="25" s="1"/>
  <c r="E184" i="25"/>
  <c r="AB184" i="25" s="1"/>
  <c r="D184" i="25"/>
  <c r="B184" i="25"/>
  <c r="U183" i="25"/>
  <c r="G183" i="25"/>
  <c r="F183" i="25"/>
  <c r="Y183" i="25" s="1"/>
  <c r="E183" i="25"/>
  <c r="AN183" i="25" s="1"/>
  <c r="D183" i="25"/>
  <c r="B183" i="25"/>
  <c r="U182" i="25"/>
  <c r="G182" i="25"/>
  <c r="F182" i="25"/>
  <c r="E182" i="25"/>
  <c r="AK182" i="25" s="1"/>
  <c r="D182" i="25"/>
  <c r="B182" i="25"/>
  <c r="U181" i="25"/>
  <c r="G181" i="25"/>
  <c r="F181" i="25"/>
  <c r="E181" i="25"/>
  <c r="D181" i="25"/>
  <c r="B181" i="25"/>
  <c r="U180" i="25"/>
  <c r="G180" i="25"/>
  <c r="F180" i="25"/>
  <c r="Y180" i="25" s="1"/>
  <c r="E180" i="25"/>
  <c r="D180" i="25"/>
  <c r="B180" i="25"/>
  <c r="U179" i="25"/>
  <c r="G179" i="25"/>
  <c r="F179" i="25"/>
  <c r="Y179" i="25" s="1"/>
  <c r="E179" i="25"/>
  <c r="D179" i="25"/>
  <c r="B179" i="25"/>
  <c r="U178" i="25"/>
  <c r="G178" i="25"/>
  <c r="F178" i="25"/>
  <c r="Y178" i="25" s="1"/>
  <c r="E178" i="25"/>
  <c r="AB178" i="25" s="1"/>
  <c r="D178" i="25"/>
  <c r="B178" i="25"/>
  <c r="U177" i="25"/>
  <c r="G177" i="25"/>
  <c r="F177" i="25"/>
  <c r="E177" i="25"/>
  <c r="AK177" i="25" s="1"/>
  <c r="D177" i="25"/>
  <c r="B177" i="25"/>
  <c r="U176" i="25"/>
  <c r="G176" i="25"/>
  <c r="F176" i="25"/>
  <c r="E176" i="25"/>
  <c r="AK176" i="25" s="1"/>
  <c r="D176" i="25"/>
  <c r="B176" i="25"/>
  <c r="U175" i="25"/>
  <c r="G175" i="25"/>
  <c r="F175" i="25"/>
  <c r="E175" i="25"/>
  <c r="D175" i="25"/>
  <c r="B175" i="25"/>
  <c r="U174" i="25"/>
  <c r="G174" i="25"/>
  <c r="F174" i="25"/>
  <c r="Y174" i="25" s="1"/>
  <c r="E174" i="25"/>
  <c r="D174" i="25"/>
  <c r="B174" i="25"/>
  <c r="U173" i="25"/>
  <c r="G173" i="25"/>
  <c r="F173" i="25"/>
  <c r="Y173" i="25" s="1"/>
  <c r="E173" i="25"/>
  <c r="AL173" i="25" s="1"/>
  <c r="D173" i="25"/>
  <c r="B173" i="25"/>
  <c r="U172" i="25"/>
  <c r="G172" i="25"/>
  <c r="F172" i="25"/>
  <c r="Y172" i="25" s="1"/>
  <c r="E172" i="25"/>
  <c r="AB172" i="25" s="1"/>
  <c r="D172" i="25"/>
  <c r="B172" i="25"/>
  <c r="U171" i="25"/>
  <c r="G171" i="25"/>
  <c r="F171" i="25"/>
  <c r="E171" i="25"/>
  <c r="AK171" i="25" s="1"/>
  <c r="D171" i="25"/>
  <c r="B171" i="25"/>
  <c r="U170" i="25"/>
  <c r="G170" i="25"/>
  <c r="F170" i="25"/>
  <c r="E170" i="25"/>
  <c r="AK170" i="25" s="1"/>
  <c r="D170" i="25"/>
  <c r="B170" i="25"/>
  <c r="U169" i="25"/>
  <c r="G169" i="25"/>
  <c r="F169" i="25"/>
  <c r="E169" i="25"/>
  <c r="D169" i="25"/>
  <c r="B169" i="25"/>
  <c r="U168" i="25"/>
  <c r="G168" i="25"/>
  <c r="F168" i="25"/>
  <c r="Y168" i="25" s="1"/>
  <c r="E168" i="25"/>
  <c r="D168" i="25"/>
  <c r="B168" i="25"/>
  <c r="U167" i="25"/>
  <c r="G167" i="25"/>
  <c r="F167" i="25"/>
  <c r="Y167" i="25" s="1"/>
  <c r="E167" i="25"/>
  <c r="D167" i="25"/>
  <c r="B167" i="25"/>
  <c r="U166" i="25"/>
  <c r="G166" i="25"/>
  <c r="F166" i="25"/>
  <c r="Y166" i="25" s="1"/>
  <c r="E166" i="25"/>
  <c r="AB166" i="25" s="1"/>
  <c r="D166" i="25"/>
  <c r="B166" i="25"/>
  <c r="U165" i="25"/>
  <c r="G165" i="25"/>
  <c r="F165" i="25"/>
  <c r="E165" i="25"/>
  <c r="AK165" i="25" s="1"/>
  <c r="D165" i="25"/>
  <c r="B165" i="25"/>
  <c r="U164" i="25"/>
  <c r="G164" i="25"/>
  <c r="F164" i="25"/>
  <c r="E164" i="25"/>
  <c r="AK164" i="25" s="1"/>
  <c r="D164" i="25"/>
  <c r="B164" i="25"/>
  <c r="U163" i="25"/>
  <c r="G163" i="25"/>
  <c r="F163" i="25"/>
  <c r="E163" i="25"/>
  <c r="D163" i="25"/>
  <c r="B163" i="25"/>
  <c r="U162" i="25"/>
  <c r="G162" i="25"/>
  <c r="F162" i="25"/>
  <c r="Y162" i="25" s="1"/>
  <c r="E162" i="25"/>
  <c r="D162" i="25"/>
  <c r="B162" i="25"/>
  <c r="U161" i="25"/>
  <c r="G161" i="25"/>
  <c r="F161" i="25"/>
  <c r="Y161" i="25" s="1"/>
  <c r="E161" i="25"/>
  <c r="D161" i="25"/>
  <c r="B161" i="25"/>
  <c r="U160" i="25"/>
  <c r="G160" i="25"/>
  <c r="F160" i="25"/>
  <c r="Y160" i="25" s="1"/>
  <c r="E160" i="25"/>
  <c r="AB160" i="25" s="1"/>
  <c r="D160" i="25"/>
  <c r="B160" i="25"/>
  <c r="U159" i="25"/>
  <c r="G159" i="25"/>
  <c r="F159" i="25"/>
  <c r="E159" i="25"/>
  <c r="AK159" i="25" s="1"/>
  <c r="D159" i="25"/>
  <c r="B159" i="25"/>
  <c r="U158" i="25"/>
  <c r="G158" i="25"/>
  <c r="F158" i="25"/>
  <c r="E158" i="25"/>
  <c r="AK158" i="25" s="1"/>
  <c r="D158" i="25"/>
  <c r="B158" i="25"/>
  <c r="U157" i="25"/>
  <c r="G157" i="25"/>
  <c r="F157" i="25"/>
  <c r="E157" i="25"/>
  <c r="D157" i="25"/>
  <c r="B157" i="25"/>
  <c r="U156" i="25"/>
  <c r="G156" i="25"/>
  <c r="F156" i="25"/>
  <c r="Y156" i="25" s="1"/>
  <c r="E156" i="25"/>
  <c r="D156" i="25"/>
  <c r="B156" i="25"/>
  <c r="U155" i="25"/>
  <c r="G155" i="25"/>
  <c r="F155" i="25"/>
  <c r="Y155" i="25" s="1"/>
  <c r="E155" i="25"/>
  <c r="AL155" i="25" s="1"/>
  <c r="D155" i="25"/>
  <c r="B155" i="25"/>
  <c r="U154" i="25"/>
  <c r="G154" i="25"/>
  <c r="F154" i="25"/>
  <c r="Y154" i="25" s="1"/>
  <c r="E154" i="25"/>
  <c r="AB154" i="25" s="1"/>
  <c r="D154" i="25"/>
  <c r="B154" i="25"/>
  <c r="U153" i="25"/>
  <c r="G153" i="25"/>
  <c r="F153" i="25"/>
  <c r="E153" i="25"/>
  <c r="AK153" i="25" s="1"/>
  <c r="D153" i="25"/>
  <c r="B153" i="25"/>
  <c r="U152" i="25"/>
  <c r="G152" i="25"/>
  <c r="F152" i="25"/>
  <c r="E152" i="25"/>
  <c r="AK152" i="25" s="1"/>
  <c r="D152" i="25"/>
  <c r="B152" i="25"/>
  <c r="U151" i="25"/>
  <c r="G151" i="25"/>
  <c r="F151" i="25"/>
  <c r="E151" i="25"/>
  <c r="D151" i="25"/>
  <c r="B151" i="25"/>
  <c r="U150" i="25"/>
  <c r="G150" i="25"/>
  <c r="F150" i="25"/>
  <c r="Y150" i="25" s="1"/>
  <c r="E150" i="25"/>
  <c r="D150" i="25"/>
  <c r="B150" i="25"/>
  <c r="U149" i="25"/>
  <c r="G149" i="25"/>
  <c r="F149" i="25"/>
  <c r="Y149" i="25" s="1"/>
  <c r="E149" i="25"/>
  <c r="AL149" i="25" s="1"/>
  <c r="D149" i="25"/>
  <c r="B149" i="25"/>
  <c r="U148" i="25"/>
  <c r="G148" i="25"/>
  <c r="F148" i="25"/>
  <c r="Y148" i="25" s="1"/>
  <c r="E148" i="25"/>
  <c r="AB148" i="25" s="1"/>
  <c r="D148" i="25"/>
  <c r="B148" i="25"/>
  <c r="U147" i="25"/>
  <c r="G147" i="25"/>
  <c r="F147" i="25"/>
  <c r="E147" i="25"/>
  <c r="AK147" i="25" s="1"/>
  <c r="D147" i="25"/>
  <c r="B147" i="25"/>
  <c r="U146" i="25"/>
  <c r="G146" i="25"/>
  <c r="F146" i="25"/>
  <c r="E146" i="25"/>
  <c r="AK146" i="25" s="1"/>
  <c r="D146" i="25"/>
  <c r="B146" i="25"/>
  <c r="U145" i="25"/>
  <c r="G145" i="25"/>
  <c r="F145" i="25"/>
  <c r="E145" i="25"/>
  <c r="D145" i="25"/>
  <c r="B145" i="25"/>
  <c r="U144" i="25"/>
  <c r="G144" i="25"/>
  <c r="F144" i="25"/>
  <c r="Y144" i="25" s="1"/>
  <c r="E144" i="25"/>
  <c r="D144" i="25"/>
  <c r="B144" i="25"/>
  <c r="U143" i="25"/>
  <c r="G143" i="25"/>
  <c r="F143" i="25"/>
  <c r="Y143" i="25" s="1"/>
  <c r="E143" i="25"/>
  <c r="D143" i="25"/>
  <c r="B143" i="25"/>
  <c r="U142" i="25"/>
  <c r="G142" i="25"/>
  <c r="F142" i="25"/>
  <c r="Y142" i="25" s="1"/>
  <c r="E142" i="25"/>
  <c r="AB142" i="25" s="1"/>
  <c r="D142" i="25"/>
  <c r="B142" i="25"/>
  <c r="U141" i="25"/>
  <c r="G141" i="25"/>
  <c r="F141" i="25"/>
  <c r="E141" i="25"/>
  <c r="AK141" i="25" s="1"/>
  <c r="D141" i="25"/>
  <c r="B141" i="25"/>
  <c r="U140" i="25"/>
  <c r="G140" i="25"/>
  <c r="F140" i="25"/>
  <c r="E140" i="25"/>
  <c r="AK140" i="25" s="1"/>
  <c r="D140" i="25"/>
  <c r="B140" i="25"/>
  <c r="U139" i="25"/>
  <c r="G139" i="25"/>
  <c r="F139" i="25"/>
  <c r="E139" i="25"/>
  <c r="D139" i="25"/>
  <c r="B139" i="25"/>
  <c r="U138" i="25"/>
  <c r="G138" i="25"/>
  <c r="F138" i="25"/>
  <c r="Y138" i="25" s="1"/>
  <c r="E138" i="25"/>
  <c r="D138" i="25"/>
  <c r="B138" i="25"/>
  <c r="U137" i="25"/>
  <c r="G137" i="25"/>
  <c r="F137" i="25"/>
  <c r="Y137" i="25" s="1"/>
  <c r="E137" i="25"/>
  <c r="AL137" i="25" s="1"/>
  <c r="D137" i="25"/>
  <c r="B137" i="25"/>
  <c r="U136" i="25"/>
  <c r="G136" i="25"/>
  <c r="F136" i="25"/>
  <c r="Y136" i="25" s="1"/>
  <c r="E136" i="25"/>
  <c r="AB136" i="25" s="1"/>
  <c r="D136" i="25"/>
  <c r="B136" i="25"/>
  <c r="U135" i="25"/>
  <c r="G135" i="25"/>
  <c r="F135" i="25"/>
  <c r="E135" i="25"/>
  <c r="AK135" i="25" s="1"/>
  <c r="D135" i="25"/>
  <c r="B135" i="25"/>
  <c r="U134" i="25"/>
  <c r="G134" i="25"/>
  <c r="F134" i="25"/>
  <c r="E134" i="25"/>
  <c r="AK134" i="25" s="1"/>
  <c r="D134" i="25"/>
  <c r="B134" i="25"/>
  <c r="U133" i="25"/>
  <c r="G133" i="25"/>
  <c r="F133" i="25"/>
  <c r="E133" i="25"/>
  <c r="D133" i="25"/>
  <c r="B133" i="25"/>
  <c r="U132" i="25"/>
  <c r="G132" i="25"/>
  <c r="F132" i="25"/>
  <c r="Y132" i="25" s="1"/>
  <c r="E132" i="25"/>
  <c r="D132" i="25"/>
  <c r="B132" i="25"/>
  <c r="U131" i="25"/>
  <c r="G131" i="25"/>
  <c r="F131" i="25"/>
  <c r="Y131" i="25" s="1"/>
  <c r="E131" i="25"/>
  <c r="D131" i="25"/>
  <c r="B131" i="25"/>
  <c r="U130" i="25"/>
  <c r="G130" i="25"/>
  <c r="F130" i="25"/>
  <c r="Y130" i="25" s="1"/>
  <c r="E130" i="25"/>
  <c r="AB130" i="25" s="1"/>
  <c r="D130" i="25"/>
  <c r="B130" i="25"/>
  <c r="U129" i="25"/>
  <c r="G129" i="25"/>
  <c r="F129" i="25"/>
  <c r="E129" i="25"/>
  <c r="AK129" i="25" s="1"/>
  <c r="D129" i="25"/>
  <c r="B129" i="25"/>
  <c r="U128" i="25"/>
  <c r="G128" i="25"/>
  <c r="F128" i="25"/>
  <c r="E128" i="25"/>
  <c r="AK128" i="25" s="1"/>
  <c r="D128" i="25"/>
  <c r="B128" i="25"/>
  <c r="U127" i="25"/>
  <c r="G127" i="25"/>
  <c r="F127" i="25"/>
  <c r="E127" i="25"/>
  <c r="D127" i="25"/>
  <c r="B127" i="25"/>
  <c r="U126" i="25"/>
  <c r="G126" i="25"/>
  <c r="F126" i="25"/>
  <c r="Y126" i="25" s="1"/>
  <c r="E126" i="25"/>
  <c r="D126" i="25"/>
  <c r="B126" i="25"/>
  <c r="U125" i="25"/>
  <c r="G125" i="25"/>
  <c r="F125" i="25"/>
  <c r="Y125" i="25" s="1"/>
  <c r="E125" i="25"/>
  <c r="AL125" i="25" s="1"/>
  <c r="D125" i="25"/>
  <c r="B125" i="25"/>
  <c r="U124" i="25"/>
  <c r="G124" i="25"/>
  <c r="F124" i="25"/>
  <c r="Y124" i="25" s="1"/>
  <c r="E124" i="25"/>
  <c r="AB124" i="25" s="1"/>
  <c r="D124" i="25"/>
  <c r="B124" i="25"/>
  <c r="U123" i="25"/>
  <c r="G123" i="25"/>
  <c r="F123" i="25"/>
  <c r="E123" i="25"/>
  <c r="AK123" i="25" s="1"/>
  <c r="D123" i="25"/>
  <c r="B123" i="25"/>
  <c r="U122" i="25"/>
  <c r="G122" i="25"/>
  <c r="F122" i="25"/>
  <c r="E122" i="25"/>
  <c r="D122" i="25"/>
  <c r="B122" i="25"/>
  <c r="U121" i="25"/>
  <c r="G121" i="25"/>
  <c r="F121" i="25"/>
  <c r="E121" i="25"/>
  <c r="AB121" i="25" s="1"/>
  <c r="D121" i="25"/>
  <c r="B121" i="25"/>
  <c r="U120" i="25"/>
  <c r="G120" i="25"/>
  <c r="F120" i="25"/>
  <c r="Y120" i="25" s="1"/>
  <c r="E120" i="25"/>
  <c r="D120" i="25"/>
  <c r="B120" i="25"/>
  <c r="U119" i="25"/>
  <c r="G119" i="25"/>
  <c r="F119" i="25"/>
  <c r="Y119" i="25" s="1"/>
  <c r="E119" i="25"/>
  <c r="AL119" i="25" s="1"/>
  <c r="D119" i="25"/>
  <c r="B119" i="25"/>
  <c r="U118" i="25"/>
  <c r="G118" i="25"/>
  <c r="F118" i="25"/>
  <c r="Y118" i="25" s="1"/>
  <c r="E118" i="25"/>
  <c r="AB118" i="25" s="1"/>
  <c r="D118" i="25"/>
  <c r="B118" i="25"/>
  <c r="U117" i="25"/>
  <c r="G117" i="25"/>
  <c r="F117" i="25"/>
  <c r="E117" i="25"/>
  <c r="AK117" i="25" s="1"/>
  <c r="D117" i="25"/>
  <c r="B117" i="25"/>
  <c r="U116" i="25"/>
  <c r="G116" i="25"/>
  <c r="F116" i="25"/>
  <c r="E116" i="25"/>
  <c r="D116" i="25"/>
  <c r="B116" i="25"/>
  <c r="U115" i="25"/>
  <c r="G115" i="25"/>
  <c r="F115" i="25"/>
  <c r="E115" i="25"/>
  <c r="AN115" i="25" s="1"/>
  <c r="D115" i="25"/>
  <c r="B115" i="25"/>
  <c r="U114" i="25"/>
  <c r="G114" i="25"/>
  <c r="F114" i="25"/>
  <c r="Y114" i="25" s="1"/>
  <c r="E114" i="25"/>
  <c r="D114" i="25"/>
  <c r="B114" i="25"/>
  <c r="U113" i="25"/>
  <c r="G113" i="25"/>
  <c r="F113" i="25"/>
  <c r="Y113" i="25" s="1"/>
  <c r="E113" i="25"/>
  <c r="AM113" i="25" s="1"/>
  <c r="D113" i="25"/>
  <c r="B113" i="25"/>
  <c r="U112" i="25"/>
  <c r="G112" i="25"/>
  <c r="F112" i="25"/>
  <c r="Y112" i="25" s="1"/>
  <c r="E112" i="25"/>
  <c r="AB112" i="25" s="1"/>
  <c r="D112" i="25"/>
  <c r="B112" i="25"/>
  <c r="U111" i="25"/>
  <c r="G111" i="25"/>
  <c r="F111" i="25"/>
  <c r="E111" i="25"/>
  <c r="AM111" i="25" s="1"/>
  <c r="D111" i="25"/>
  <c r="B111" i="25"/>
  <c r="U110" i="25"/>
  <c r="G110" i="25"/>
  <c r="F110" i="25"/>
  <c r="Y110" i="25" s="1"/>
  <c r="E110" i="25"/>
  <c r="D110" i="25"/>
  <c r="B110" i="25"/>
  <c r="U109" i="25"/>
  <c r="G109" i="25"/>
  <c r="F109" i="25"/>
  <c r="Y109" i="25" s="1"/>
  <c r="E109" i="25"/>
  <c r="AB109" i="25" s="1"/>
  <c r="D109" i="25"/>
  <c r="B109" i="25"/>
  <c r="U108" i="25"/>
  <c r="G108" i="25"/>
  <c r="F108" i="25"/>
  <c r="Y108" i="25" s="1"/>
  <c r="E108" i="25"/>
  <c r="D108" i="25"/>
  <c r="B108" i="25"/>
  <c r="U107" i="25"/>
  <c r="G107" i="25"/>
  <c r="F107" i="25"/>
  <c r="Y107" i="25" s="1"/>
  <c r="E107" i="25"/>
  <c r="AC107" i="25" s="1"/>
  <c r="D107" i="25"/>
  <c r="B107" i="25"/>
  <c r="U106" i="25"/>
  <c r="G106" i="25"/>
  <c r="F106" i="25"/>
  <c r="Y106" i="25" s="1"/>
  <c r="E106" i="25"/>
  <c r="D106" i="25"/>
  <c r="B106" i="25"/>
  <c r="U105" i="25"/>
  <c r="G105" i="25"/>
  <c r="F105" i="25"/>
  <c r="Y105" i="25" s="1"/>
  <c r="E105" i="25"/>
  <c r="AL105" i="25" s="1"/>
  <c r="D105" i="25"/>
  <c r="B105" i="25"/>
  <c r="U104" i="25"/>
  <c r="G104" i="25"/>
  <c r="F104" i="25"/>
  <c r="Y104" i="25" s="1"/>
  <c r="E104" i="25"/>
  <c r="D104" i="25"/>
  <c r="B104" i="25"/>
  <c r="I290" i="3"/>
  <c r="S290" i="3" s="1"/>
  <c r="U290" i="3" s="1"/>
  <c r="I289" i="3"/>
  <c r="S289" i="3" s="1"/>
  <c r="U289" i="3" s="1"/>
  <c r="T289" i="25" s="1"/>
  <c r="I288" i="3"/>
  <c r="S288" i="3" s="1"/>
  <c r="I287" i="3"/>
  <c r="S287" i="3" s="1"/>
  <c r="U287" i="3" s="1"/>
  <c r="T287" i="25" s="1"/>
  <c r="I286" i="3"/>
  <c r="S286" i="3" s="1"/>
  <c r="I285" i="3"/>
  <c r="S285" i="3" s="1"/>
  <c r="I284" i="3"/>
  <c r="S284" i="3" s="1"/>
  <c r="I283" i="3"/>
  <c r="S283" i="3" s="1"/>
  <c r="U283" i="3" s="1"/>
  <c r="I282" i="3"/>
  <c r="S282" i="3" s="1"/>
  <c r="U282" i="3" s="1"/>
  <c r="I281" i="3"/>
  <c r="S281" i="3" s="1"/>
  <c r="I280" i="3"/>
  <c r="S280" i="3" s="1"/>
  <c r="I279" i="3"/>
  <c r="S279" i="3" s="1"/>
  <c r="U279" i="3" s="1"/>
  <c r="I278" i="3"/>
  <c r="S278" i="3" s="1"/>
  <c r="I277" i="3"/>
  <c r="S277" i="3" s="1"/>
  <c r="I276" i="3"/>
  <c r="S276" i="3" s="1"/>
  <c r="I275" i="3"/>
  <c r="S275" i="3" s="1"/>
  <c r="U275" i="3" s="1"/>
  <c r="I274" i="3"/>
  <c r="S274" i="3" s="1"/>
  <c r="I273" i="3"/>
  <c r="S273" i="3" s="1"/>
  <c r="U273" i="3" s="1"/>
  <c r="I272" i="3"/>
  <c r="S272" i="3" s="1"/>
  <c r="I271" i="3"/>
  <c r="S271" i="3" s="1"/>
  <c r="U271" i="3" s="1"/>
  <c r="I270" i="3"/>
  <c r="S270" i="3" s="1"/>
  <c r="I269" i="3"/>
  <c r="S269" i="3" s="1"/>
  <c r="I268" i="3"/>
  <c r="S268" i="3" s="1"/>
  <c r="I267" i="3"/>
  <c r="S267" i="3" s="1"/>
  <c r="U267" i="3" s="1"/>
  <c r="I266" i="3"/>
  <c r="S266" i="3" s="1"/>
  <c r="U266" i="3" s="1"/>
  <c r="I265" i="3"/>
  <c r="S265" i="3" s="1"/>
  <c r="U265" i="3" s="1"/>
  <c r="I264" i="3"/>
  <c r="S264" i="3" s="1"/>
  <c r="I263" i="3"/>
  <c r="S263" i="3" s="1"/>
  <c r="U263" i="3" s="1"/>
  <c r="I262" i="3"/>
  <c r="S262" i="3" s="1"/>
  <c r="I261" i="3"/>
  <c r="S261" i="3" s="1"/>
  <c r="I260" i="3"/>
  <c r="S260" i="3" s="1"/>
  <c r="I259" i="3"/>
  <c r="S259" i="3" s="1"/>
  <c r="U259" i="3" s="1"/>
  <c r="I258" i="3"/>
  <c r="S258" i="3" s="1"/>
  <c r="U258" i="3" s="1"/>
  <c r="I257" i="3"/>
  <c r="S257" i="3" s="1"/>
  <c r="I256" i="3"/>
  <c r="S256" i="3" s="1"/>
  <c r="I255" i="3"/>
  <c r="S255" i="3" s="1"/>
  <c r="U255" i="3" s="1"/>
  <c r="I254" i="3"/>
  <c r="S254" i="3" s="1"/>
  <c r="I253" i="3"/>
  <c r="S253" i="3" s="1"/>
  <c r="I252" i="3"/>
  <c r="S252" i="3" s="1"/>
  <c r="I251" i="3"/>
  <c r="S251" i="3" s="1"/>
  <c r="U251" i="3" s="1"/>
  <c r="I250" i="3"/>
  <c r="S250" i="3" s="1"/>
  <c r="U250" i="3" s="1"/>
  <c r="I249" i="3"/>
  <c r="S249" i="3" s="1"/>
  <c r="U249" i="3" s="1"/>
  <c r="I248" i="3"/>
  <c r="S248" i="3" s="1"/>
  <c r="I247" i="3"/>
  <c r="S247" i="3" s="1"/>
  <c r="U247" i="3" s="1"/>
  <c r="I246" i="3"/>
  <c r="S246" i="3" s="1"/>
  <c r="I245" i="3"/>
  <c r="S245" i="3" s="1"/>
  <c r="U245" i="3" s="1"/>
  <c r="I244" i="3"/>
  <c r="S244" i="3" s="1"/>
  <c r="I243" i="3"/>
  <c r="S243" i="3" s="1"/>
  <c r="U243" i="3" s="1"/>
  <c r="I242" i="3"/>
  <c r="S242" i="3" s="1"/>
  <c r="I241" i="3"/>
  <c r="S241" i="3" s="1"/>
  <c r="I240" i="3"/>
  <c r="S240" i="3" s="1"/>
  <c r="I239" i="3"/>
  <c r="S239" i="3" s="1"/>
  <c r="U239" i="3" s="1"/>
  <c r="I238" i="3"/>
  <c r="S238" i="3" s="1"/>
  <c r="I237" i="3"/>
  <c r="S237" i="3" s="1"/>
  <c r="C190" i="3"/>
  <c r="C191" i="3"/>
  <c r="C192" i="3"/>
  <c r="C193" i="3"/>
  <c r="C194" i="3"/>
  <c r="I236" i="3"/>
  <c r="S236" i="3" s="1"/>
  <c r="I235" i="3"/>
  <c r="S235" i="3" s="1"/>
  <c r="U235" i="3" s="1"/>
  <c r="I234" i="3"/>
  <c r="S234" i="3" s="1"/>
  <c r="U234" i="3" s="1"/>
  <c r="I233" i="3"/>
  <c r="S233" i="3" s="1"/>
  <c r="U233" i="3" s="1"/>
  <c r="I232" i="3"/>
  <c r="S232" i="3" s="1"/>
  <c r="I231" i="3"/>
  <c r="S231" i="3" s="1"/>
  <c r="U231" i="3" s="1"/>
  <c r="I230" i="3"/>
  <c r="S230" i="3" s="1"/>
  <c r="I229" i="3"/>
  <c r="S229" i="3" s="1"/>
  <c r="U229" i="3" s="1"/>
  <c r="I228" i="3"/>
  <c r="S228" i="3" s="1"/>
  <c r="I227" i="3"/>
  <c r="S227" i="3" s="1"/>
  <c r="U227" i="3" s="1"/>
  <c r="I226" i="3"/>
  <c r="S226" i="3" s="1"/>
  <c r="U226" i="3" s="1"/>
  <c r="I225" i="3"/>
  <c r="S225" i="3" s="1"/>
  <c r="U225" i="3" s="1"/>
  <c r="I224" i="3"/>
  <c r="S224" i="3" s="1"/>
  <c r="I223" i="3"/>
  <c r="S223" i="3" s="1"/>
  <c r="U223" i="3" s="1"/>
  <c r="I222" i="3"/>
  <c r="S222" i="3" s="1"/>
  <c r="I221" i="3"/>
  <c r="S221" i="3" s="1"/>
  <c r="U221" i="3" s="1"/>
  <c r="I220" i="3"/>
  <c r="S220" i="3" s="1"/>
  <c r="I219" i="3"/>
  <c r="S219" i="3" s="1"/>
  <c r="U219" i="3" s="1"/>
  <c r="I218" i="3"/>
  <c r="S218" i="3" s="1"/>
  <c r="U218" i="3" s="1"/>
  <c r="I217" i="3"/>
  <c r="S217" i="3" s="1"/>
  <c r="I216" i="3"/>
  <c r="S216" i="3" s="1"/>
  <c r="I215" i="3"/>
  <c r="S215" i="3" s="1"/>
  <c r="U215" i="3" s="1"/>
  <c r="I214" i="3"/>
  <c r="S214" i="3" s="1"/>
  <c r="I213" i="3"/>
  <c r="S213" i="3" s="1"/>
  <c r="U213" i="3" s="1"/>
  <c r="I212" i="3"/>
  <c r="S212" i="3" s="1"/>
  <c r="I211" i="3"/>
  <c r="S211" i="3" s="1"/>
  <c r="U211" i="3" s="1"/>
  <c r="I210" i="3"/>
  <c r="S210" i="3" s="1"/>
  <c r="U210" i="3" s="1"/>
  <c r="I209" i="3"/>
  <c r="S209" i="3" s="1"/>
  <c r="U209" i="3" s="1"/>
  <c r="I208" i="3"/>
  <c r="S208" i="3" s="1"/>
  <c r="I207" i="3"/>
  <c r="S207" i="3" s="1"/>
  <c r="U207" i="3" s="1"/>
  <c r="I206" i="3"/>
  <c r="S206" i="3" s="1"/>
  <c r="I205" i="3"/>
  <c r="S205" i="3" s="1"/>
  <c r="I204" i="3"/>
  <c r="S204" i="3" s="1"/>
  <c r="I203" i="3"/>
  <c r="S203" i="3" s="1"/>
  <c r="U203" i="3" s="1"/>
  <c r="I202" i="3"/>
  <c r="S202" i="3" s="1"/>
  <c r="U202" i="3" s="1"/>
  <c r="I201" i="3"/>
  <c r="S201" i="3" s="1"/>
  <c r="U201" i="3" s="1"/>
  <c r="I200" i="3"/>
  <c r="S200" i="3" s="1"/>
  <c r="I199" i="3"/>
  <c r="S199" i="3" s="1"/>
  <c r="U199" i="3" s="1"/>
  <c r="I198" i="3"/>
  <c r="S198" i="3" s="1"/>
  <c r="I197" i="3"/>
  <c r="S197" i="3" s="1"/>
  <c r="I196" i="3"/>
  <c r="S196" i="3" s="1"/>
  <c r="I195" i="3"/>
  <c r="S195" i="3" s="1"/>
  <c r="U195" i="3" s="1"/>
  <c r="I194" i="3"/>
  <c r="S194" i="3" s="1"/>
  <c r="U194" i="3" s="1"/>
  <c r="I193" i="3"/>
  <c r="S193" i="3" s="1"/>
  <c r="U193" i="3" s="1"/>
  <c r="I192" i="3"/>
  <c r="S192" i="3" s="1"/>
  <c r="I191" i="3"/>
  <c r="S191" i="3" s="1"/>
  <c r="U191" i="3" s="1"/>
  <c r="I190" i="3"/>
  <c r="S190" i="3" s="1"/>
  <c r="I189" i="3"/>
  <c r="S189" i="3" s="1"/>
  <c r="I164" i="3"/>
  <c r="S164" i="3" s="1"/>
  <c r="I163" i="3"/>
  <c r="S163" i="3" s="1"/>
  <c r="I162" i="3"/>
  <c r="S162" i="3" s="1"/>
  <c r="I161" i="3"/>
  <c r="S161" i="3" s="1"/>
  <c r="U161" i="3" s="1"/>
  <c r="T173" i="25" s="1"/>
  <c r="I160" i="3"/>
  <c r="S160" i="3" s="1"/>
  <c r="U160" i="3" s="1"/>
  <c r="T172" i="25" s="1"/>
  <c r="I159" i="3"/>
  <c r="S159" i="3" s="1"/>
  <c r="U159" i="3" s="1"/>
  <c r="T171" i="25" s="1"/>
  <c r="I158" i="3"/>
  <c r="S158" i="3" s="1"/>
  <c r="I157" i="3"/>
  <c r="S157" i="3" s="1"/>
  <c r="U157" i="3" s="1"/>
  <c r="T169" i="25" s="1"/>
  <c r="I156" i="3"/>
  <c r="S156" i="3" s="1"/>
  <c r="I155" i="3"/>
  <c r="S155" i="3" s="1"/>
  <c r="U155" i="3" s="1"/>
  <c r="T167" i="25" s="1"/>
  <c r="I154" i="3"/>
  <c r="S154" i="3" s="1"/>
  <c r="I153" i="3"/>
  <c r="S153" i="3" s="1"/>
  <c r="U153" i="3" s="1"/>
  <c r="T165" i="25" s="1"/>
  <c r="I152" i="3"/>
  <c r="S152" i="3" s="1"/>
  <c r="U152" i="3" s="1"/>
  <c r="I151" i="3"/>
  <c r="S151" i="3" s="1"/>
  <c r="I150" i="3"/>
  <c r="S150" i="3" s="1"/>
  <c r="I149" i="3"/>
  <c r="S149" i="3" s="1"/>
  <c r="U149" i="3" s="1"/>
  <c r="I148" i="3"/>
  <c r="S148" i="3" s="1"/>
  <c r="I147" i="3"/>
  <c r="S147" i="3" s="1"/>
  <c r="I146" i="3"/>
  <c r="S146" i="3" s="1"/>
  <c r="I145" i="3"/>
  <c r="S145" i="3" s="1"/>
  <c r="U145" i="3" s="1"/>
  <c r="I144" i="3"/>
  <c r="S144" i="3" s="1"/>
  <c r="U144" i="3" s="1"/>
  <c r="I143" i="3"/>
  <c r="S143" i="3" s="1"/>
  <c r="U143" i="3" s="1"/>
  <c r="I142" i="3"/>
  <c r="S142" i="3" s="1"/>
  <c r="I141" i="3"/>
  <c r="S141" i="3" s="1"/>
  <c r="U141" i="3" s="1"/>
  <c r="I140" i="3"/>
  <c r="S140" i="3" s="1"/>
  <c r="I139" i="3"/>
  <c r="S139" i="3" s="1"/>
  <c r="U139" i="3" s="1"/>
  <c r="I138" i="3"/>
  <c r="S138" i="3" s="1"/>
  <c r="I137" i="3"/>
  <c r="S137" i="3" s="1"/>
  <c r="U137" i="3" s="1"/>
  <c r="I136" i="3"/>
  <c r="S136" i="3" s="1"/>
  <c r="U136" i="3" s="1"/>
  <c r="I135" i="3"/>
  <c r="S135" i="3" s="1"/>
  <c r="I134" i="3"/>
  <c r="S134" i="3" s="1"/>
  <c r="I133" i="3"/>
  <c r="S133" i="3" s="1"/>
  <c r="U133" i="3" s="1"/>
  <c r="I132" i="3"/>
  <c r="S132" i="3" s="1"/>
  <c r="I131" i="3"/>
  <c r="S131" i="3" s="1"/>
  <c r="I130" i="3"/>
  <c r="S130" i="3" s="1"/>
  <c r="I129" i="3"/>
  <c r="S129" i="3" s="1"/>
  <c r="U129" i="3" s="1"/>
  <c r="I128" i="3"/>
  <c r="S128" i="3" s="1"/>
  <c r="U128" i="3" s="1"/>
  <c r="I127" i="3"/>
  <c r="S127" i="3" s="1"/>
  <c r="U127" i="3" s="1"/>
  <c r="I126" i="3"/>
  <c r="S126" i="3" s="1"/>
  <c r="I125" i="3"/>
  <c r="S125" i="3" s="1"/>
  <c r="U125" i="3" s="1"/>
  <c r="I124" i="3"/>
  <c r="S124" i="3" s="1"/>
  <c r="I123" i="3"/>
  <c r="S123" i="3" s="1"/>
  <c r="I122" i="3"/>
  <c r="S122" i="3" s="1"/>
  <c r="U122" i="3" s="1"/>
  <c r="I121" i="3"/>
  <c r="S121" i="3" s="1"/>
  <c r="U121" i="3" s="1"/>
  <c r="I120" i="3"/>
  <c r="S120" i="3" s="1"/>
  <c r="U120" i="3" s="1"/>
  <c r="I119" i="3"/>
  <c r="S119" i="3" s="1"/>
  <c r="U119" i="3" s="1"/>
  <c r="I118" i="3"/>
  <c r="S118" i="3" s="1"/>
  <c r="I117" i="3"/>
  <c r="S117" i="3" s="1"/>
  <c r="U117" i="3" s="1"/>
  <c r="C118" i="3"/>
  <c r="C119" i="3"/>
  <c r="C120" i="3"/>
  <c r="C121" i="3"/>
  <c r="C122" i="3"/>
  <c r="I111" i="3"/>
  <c r="S111" i="3" s="1"/>
  <c r="U111" i="3" s="1"/>
  <c r="I112" i="3"/>
  <c r="S112" i="3" s="1"/>
  <c r="U112" i="3" s="1"/>
  <c r="T112" i="25" s="1"/>
  <c r="I113" i="3"/>
  <c r="S113" i="3" s="1"/>
  <c r="U113" i="3" s="1"/>
  <c r="I114" i="3"/>
  <c r="S114" i="3" s="1"/>
  <c r="U114" i="3" s="1"/>
  <c r="I115" i="3"/>
  <c r="S115" i="3" s="1"/>
  <c r="U115" i="3" s="1"/>
  <c r="I116" i="3"/>
  <c r="S116" i="3" s="1"/>
  <c r="I183" i="3"/>
  <c r="S183" i="3" s="1"/>
  <c r="U183" i="3" s="1"/>
  <c r="T177" i="25" s="1"/>
  <c r="I184" i="3"/>
  <c r="S184" i="3" s="1"/>
  <c r="I185" i="3"/>
  <c r="S185" i="3" s="1"/>
  <c r="U185" i="3" s="1"/>
  <c r="T179" i="25" s="1"/>
  <c r="I186" i="3"/>
  <c r="S186" i="3" s="1"/>
  <c r="U186" i="3" s="1"/>
  <c r="T180" i="25" s="1"/>
  <c r="I187" i="3"/>
  <c r="S187" i="3" s="1"/>
  <c r="U187" i="3" s="1"/>
  <c r="I188" i="3"/>
  <c r="S188" i="3" s="1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BG111" i="3"/>
  <c r="BG112" i="3"/>
  <c r="BG113" i="3"/>
  <c r="BG114" i="3"/>
  <c r="BG115" i="3"/>
  <c r="BG116" i="3"/>
  <c r="BG117" i="3"/>
  <c r="BG118" i="3"/>
  <c r="BG119" i="3"/>
  <c r="BG120" i="3"/>
  <c r="BG121" i="3"/>
  <c r="BG122" i="3"/>
  <c r="BG123" i="3"/>
  <c r="BG124" i="3"/>
  <c r="BG125" i="3"/>
  <c r="BG126" i="3"/>
  <c r="BG127" i="3"/>
  <c r="BG128" i="3"/>
  <c r="BG129" i="3"/>
  <c r="BG130" i="3"/>
  <c r="BG131" i="3"/>
  <c r="BG132" i="3"/>
  <c r="BG133" i="3"/>
  <c r="BG134" i="3"/>
  <c r="BG135" i="3"/>
  <c r="BG136" i="3"/>
  <c r="BG137" i="3"/>
  <c r="BG138" i="3"/>
  <c r="BG139" i="3"/>
  <c r="BG140" i="3"/>
  <c r="BG141" i="3"/>
  <c r="BG142" i="3"/>
  <c r="BG143" i="3"/>
  <c r="BG144" i="3"/>
  <c r="BG145" i="3"/>
  <c r="BG146" i="3"/>
  <c r="BG147" i="3"/>
  <c r="BG148" i="3"/>
  <c r="BG149" i="3"/>
  <c r="BG150" i="3"/>
  <c r="BG151" i="3"/>
  <c r="BG152" i="3"/>
  <c r="BG153" i="3"/>
  <c r="BG154" i="3"/>
  <c r="BG155" i="3"/>
  <c r="BG156" i="3"/>
  <c r="BG157" i="3"/>
  <c r="BG158" i="3"/>
  <c r="BG159" i="3"/>
  <c r="BG160" i="3"/>
  <c r="BG161" i="3"/>
  <c r="BG162" i="3"/>
  <c r="BG163" i="3"/>
  <c r="BG164" i="3"/>
  <c r="BG183" i="3"/>
  <c r="BG184" i="3"/>
  <c r="BG185" i="3"/>
  <c r="BG186" i="3"/>
  <c r="BG187" i="3"/>
  <c r="BG188" i="3"/>
  <c r="BG189" i="3"/>
  <c r="BG190" i="3"/>
  <c r="BG191" i="3"/>
  <c r="BG192" i="3"/>
  <c r="BG193" i="3"/>
  <c r="BG194" i="3"/>
  <c r="BG195" i="3"/>
  <c r="BG196" i="3"/>
  <c r="BG197" i="3"/>
  <c r="BG198" i="3"/>
  <c r="BG199" i="3"/>
  <c r="BG200" i="3"/>
  <c r="BG201" i="3"/>
  <c r="BG202" i="3"/>
  <c r="BG203" i="3"/>
  <c r="BG204" i="3"/>
  <c r="BG205" i="3"/>
  <c r="BG206" i="3"/>
  <c r="BG207" i="3"/>
  <c r="BG208" i="3"/>
  <c r="BG209" i="3"/>
  <c r="BG210" i="3"/>
  <c r="BG211" i="3"/>
  <c r="BG212" i="3"/>
  <c r="BG213" i="3"/>
  <c r="BG214" i="3"/>
  <c r="BG215" i="3"/>
  <c r="BG216" i="3"/>
  <c r="BG217" i="3"/>
  <c r="BG218" i="3"/>
  <c r="BG219" i="3"/>
  <c r="BG220" i="3"/>
  <c r="BG221" i="3"/>
  <c r="BG222" i="3"/>
  <c r="BG223" i="3"/>
  <c r="BG224" i="3"/>
  <c r="BG225" i="3"/>
  <c r="BG226" i="3"/>
  <c r="BG227" i="3"/>
  <c r="BG228" i="3"/>
  <c r="BG229" i="3"/>
  <c r="BG230" i="3"/>
  <c r="BG231" i="3"/>
  <c r="BG232" i="3"/>
  <c r="BG233" i="3"/>
  <c r="BG234" i="3"/>
  <c r="BG235" i="3"/>
  <c r="BG236" i="3"/>
  <c r="BG237" i="3"/>
  <c r="BG238" i="3"/>
  <c r="BG239" i="3"/>
  <c r="BG240" i="3"/>
  <c r="BG241" i="3"/>
  <c r="BG242" i="3"/>
  <c r="BG243" i="3"/>
  <c r="BG244" i="3"/>
  <c r="BG245" i="3"/>
  <c r="BG246" i="3"/>
  <c r="BG247" i="3"/>
  <c r="BG248" i="3"/>
  <c r="BG249" i="3"/>
  <c r="BG250" i="3"/>
  <c r="BG251" i="3"/>
  <c r="BG252" i="3"/>
  <c r="BG253" i="3"/>
  <c r="BG254" i="3"/>
  <c r="BG255" i="3"/>
  <c r="BG256" i="3"/>
  <c r="BG257" i="3"/>
  <c r="BG258" i="3"/>
  <c r="BG259" i="3"/>
  <c r="BG260" i="3"/>
  <c r="BG261" i="3"/>
  <c r="BG262" i="3"/>
  <c r="BG263" i="3"/>
  <c r="BG264" i="3"/>
  <c r="BG265" i="3"/>
  <c r="BG266" i="3"/>
  <c r="BG267" i="3"/>
  <c r="BG268" i="3"/>
  <c r="BG269" i="3"/>
  <c r="BG270" i="3"/>
  <c r="BG271" i="3"/>
  <c r="BG272" i="3"/>
  <c r="BG273" i="3"/>
  <c r="BG274" i="3"/>
  <c r="BG275" i="3"/>
  <c r="BG276" i="3"/>
  <c r="BG277" i="3"/>
  <c r="BG278" i="3"/>
  <c r="BG279" i="3"/>
  <c r="BG280" i="3"/>
  <c r="BG281" i="3"/>
  <c r="BG282" i="3"/>
  <c r="BG283" i="3"/>
  <c r="BG284" i="3"/>
  <c r="BG285" i="3"/>
  <c r="BG286" i="3"/>
  <c r="BG287" i="3"/>
  <c r="BG288" i="3"/>
  <c r="BG289" i="3"/>
  <c r="BG290" i="3"/>
  <c r="R105" i="3"/>
  <c r="R106" i="3"/>
  <c r="R107" i="3"/>
  <c r="R108" i="3"/>
  <c r="R109" i="3"/>
  <c r="R110" i="3"/>
  <c r="BG105" i="3"/>
  <c r="BG106" i="3"/>
  <c r="BG107" i="3"/>
  <c r="BG108" i="3"/>
  <c r="BG109" i="3"/>
  <c r="BG110" i="3"/>
  <c r="I110" i="3"/>
  <c r="S110" i="3" s="1"/>
  <c r="I109" i="3"/>
  <c r="S109" i="3" s="1"/>
  <c r="I108" i="3"/>
  <c r="S108" i="3" s="1"/>
  <c r="I107" i="3"/>
  <c r="S107" i="3" s="1"/>
  <c r="I106" i="3"/>
  <c r="S106" i="3" s="1"/>
  <c r="U106" i="3" s="1"/>
  <c r="T106" i="25" s="1"/>
  <c r="I105" i="3"/>
  <c r="S105" i="3" s="1"/>
  <c r="R104" i="3"/>
  <c r="BG104" i="3"/>
  <c r="I104" i="3"/>
  <c r="S104" i="3" s="1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AM229" i="25" l="1"/>
  <c r="AC229" i="25"/>
  <c r="AM106" i="25"/>
  <c r="AG106" i="25"/>
  <c r="AB104" i="25"/>
  <c r="AN104" i="25"/>
  <c r="AB110" i="25"/>
  <c r="AN110" i="25"/>
  <c r="AC205" i="25"/>
  <c r="AM205" i="25"/>
  <c r="AC277" i="25"/>
  <c r="AM277" i="25"/>
  <c r="AC211" i="25"/>
  <c r="AM211" i="25"/>
  <c r="AC235" i="25"/>
  <c r="AM235" i="25"/>
  <c r="AC259" i="25"/>
  <c r="AM259" i="25"/>
  <c r="AC283" i="25"/>
  <c r="AM283" i="25"/>
  <c r="AA116" i="25"/>
  <c r="AM116" i="25"/>
  <c r="AC217" i="25"/>
  <c r="AM217" i="25"/>
  <c r="AC241" i="25"/>
  <c r="AM241" i="25"/>
  <c r="AC265" i="25"/>
  <c r="AM265" i="25"/>
  <c r="AC289" i="25"/>
  <c r="AM289" i="25"/>
  <c r="AC223" i="25"/>
  <c r="AM223" i="25"/>
  <c r="AC247" i="25"/>
  <c r="AM247" i="25"/>
  <c r="AC271" i="25"/>
  <c r="AM271" i="25"/>
  <c r="AA122" i="25"/>
  <c r="AK122" i="25"/>
  <c r="AC123" i="25"/>
  <c r="AN123" i="25"/>
  <c r="AC147" i="25"/>
  <c r="AN147" i="25"/>
  <c r="AC171" i="25"/>
  <c r="AN171" i="25"/>
  <c r="AC165" i="25"/>
  <c r="AN165" i="25"/>
  <c r="AC129" i="25"/>
  <c r="AN129" i="25"/>
  <c r="AB177" i="25"/>
  <c r="AN177" i="25"/>
  <c r="AC141" i="25"/>
  <c r="AN141" i="25"/>
  <c r="AC153" i="25"/>
  <c r="AN153" i="25"/>
  <c r="AC159" i="25"/>
  <c r="AN159" i="25"/>
  <c r="AC117" i="25"/>
  <c r="AN117" i="25"/>
  <c r="AC111" i="25"/>
  <c r="AN111" i="25"/>
  <c r="AC135" i="25"/>
  <c r="AN135" i="25"/>
  <c r="AJ132" i="25"/>
  <c r="AL132" i="25"/>
  <c r="AJ156" i="25"/>
  <c r="AL156" i="25"/>
  <c r="AB180" i="25"/>
  <c r="AL180" i="25"/>
  <c r="AK212" i="25"/>
  <c r="AL212" i="25"/>
  <c r="AK236" i="25"/>
  <c r="AL236" i="25"/>
  <c r="AK284" i="25"/>
  <c r="AL284" i="25"/>
  <c r="AB115" i="25"/>
  <c r="AL115" i="25"/>
  <c r="AB179" i="25"/>
  <c r="AL179" i="25"/>
  <c r="AB114" i="25"/>
  <c r="AL114" i="25"/>
  <c r="AJ138" i="25"/>
  <c r="AL138" i="25"/>
  <c r="AJ162" i="25"/>
  <c r="AL162" i="25"/>
  <c r="AK194" i="25"/>
  <c r="AL194" i="25"/>
  <c r="AK266" i="25"/>
  <c r="AL266" i="25"/>
  <c r="AK113" i="25"/>
  <c r="AL113" i="25"/>
  <c r="AJ161" i="25"/>
  <c r="AL161" i="25"/>
  <c r="AB120" i="25"/>
  <c r="AL120" i="25"/>
  <c r="AJ144" i="25"/>
  <c r="AL144" i="25"/>
  <c r="AJ168" i="25"/>
  <c r="AL168" i="25"/>
  <c r="AK224" i="25"/>
  <c r="AL224" i="25"/>
  <c r="AK248" i="25"/>
  <c r="AL248" i="25"/>
  <c r="AK272" i="25"/>
  <c r="AL272" i="25"/>
  <c r="AJ131" i="25"/>
  <c r="AL131" i="25"/>
  <c r="AJ143" i="25"/>
  <c r="AL143" i="25"/>
  <c r="AJ167" i="25"/>
  <c r="AL167" i="25"/>
  <c r="AJ126" i="25"/>
  <c r="AL126" i="25"/>
  <c r="AJ150" i="25"/>
  <c r="AL150" i="25"/>
  <c r="AJ174" i="25"/>
  <c r="AL174" i="25"/>
  <c r="AK206" i="25"/>
  <c r="AL206" i="25"/>
  <c r="AK254" i="25"/>
  <c r="AL254" i="25"/>
  <c r="AJ125" i="25"/>
  <c r="AK125" i="25"/>
  <c r="AJ149" i="25"/>
  <c r="AK149" i="25"/>
  <c r="AJ155" i="25"/>
  <c r="AK155" i="25"/>
  <c r="AJ137" i="25"/>
  <c r="AK137" i="25"/>
  <c r="AJ173" i="25"/>
  <c r="AK173" i="25"/>
  <c r="AC189" i="25"/>
  <c r="AB189" i="25"/>
  <c r="AC213" i="25"/>
  <c r="AB213" i="25"/>
  <c r="AC237" i="25"/>
  <c r="AB237" i="25"/>
  <c r="AC261" i="25"/>
  <c r="AB261" i="25"/>
  <c r="AC285" i="25"/>
  <c r="AB285" i="25"/>
  <c r="AC195" i="25"/>
  <c r="AB195" i="25"/>
  <c r="AC219" i="25"/>
  <c r="AB219" i="25"/>
  <c r="AC243" i="25"/>
  <c r="AB243" i="25"/>
  <c r="AC267" i="25"/>
  <c r="AB267" i="25"/>
  <c r="AC201" i="25"/>
  <c r="AB201" i="25"/>
  <c r="AC225" i="25"/>
  <c r="AB225" i="25"/>
  <c r="AC249" i="25"/>
  <c r="AB249" i="25"/>
  <c r="AC273" i="25"/>
  <c r="AB273" i="25"/>
  <c r="AC183" i="25"/>
  <c r="AB183" i="25"/>
  <c r="AC207" i="25"/>
  <c r="AB207" i="25"/>
  <c r="AC231" i="25"/>
  <c r="AB231" i="25"/>
  <c r="AC255" i="25"/>
  <c r="AB255" i="25"/>
  <c r="AC279" i="25"/>
  <c r="AB279" i="25"/>
  <c r="AC106" i="25"/>
  <c r="AB106" i="25"/>
  <c r="AJ188" i="25"/>
  <c r="AO188" i="25"/>
  <c r="AJ260" i="25"/>
  <c r="AO260" i="25"/>
  <c r="AJ284" i="25"/>
  <c r="AO284" i="25"/>
  <c r="AJ194" i="25"/>
  <c r="AO194" i="25"/>
  <c r="AJ218" i="25"/>
  <c r="AO218" i="25"/>
  <c r="AJ242" i="25"/>
  <c r="AO242" i="25"/>
  <c r="AJ266" i="25"/>
  <c r="AO266" i="25"/>
  <c r="AJ290" i="25"/>
  <c r="AO290" i="25"/>
  <c r="AJ212" i="25"/>
  <c r="AO212" i="25"/>
  <c r="AJ200" i="25"/>
  <c r="AO200" i="25"/>
  <c r="AJ224" i="25"/>
  <c r="AO224" i="25"/>
  <c r="AJ248" i="25"/>
  <c r="AO248" i="25"/>
  <c r="AJ272" i="25"/>
  <c r="AO272" i="25"/>
  <c r="AJ236" i="25"/>
  <c r="AO236" i="25"/>
  <c r="AJ206" i="25"/>
  <c r="AO206" i="25"/>
  <c r="AJ230" i="25"/>
  <c r="AO230" i="25"/>
  <c r="AJ254" i="25"/>
  <c r="AO254" i="25"/>
  <c r="AJ278" i="25"/>
  <c r="AO278" i="25"/>
  <c r="C200" i="3"/>
  <c r="C200" i="25" s="1"/>
  <c r="C199" i="3"/>
  <c r="C199" i="25" s="1"/>
  <c r="C198" i="3"/>
  <c r="C128" i="3"/>
  <c r="C128" i="25" s="1"/>
  <c r="C126" i="3"/>
  <c r="C126" i="25" s="1"/>
  <c r="C127" i="3"/>
  <c r="C197" i="3"/>
  <c r="C197" i="25" s="1"/>
  <c r="C125" i="3"/>
  <c r="C125" i="25" s="1"/>
  <c r="C124" i="3"/>
  <c r="C124" i="25" s="1"/>
  <c r="Z258" i="25"/>
  <c r="Z264" i="25"/>
  <c r="Z270" i="25"/>
  <c r="Z276" i="25"/>
  <c r="Z282" i="25"/>
  <c r="Z255" i="25"/>
  <c r="Z261" i="25"/>
  <c r="Z267" i="25"/>
  <c r="Z273" i="25"/>
  <c r="Z279" i="25"/>
  <c r="Z249" i="25"/>
  <c r="Z246" i="25"/>
  <c r="Z252" i="25"/>
  <c r="Z231" i="25"/>
  <c r="Z237" i="25"/>
  <c r="Z243" i="25"/>
  <c r="Z254" i="25"/>
  <c r="Z236" i="25"/>
  <c r="Z242" i="25"/>
  <c r="Z248" i="25"/>
  <c r="Z234" i="25"/>
  <c r="Z240" i="25"/>
  <c r="Y222" i="25"/>
  <c r="Z230" i="25"/>
  <c r="Z225" i="25"/>
  <c r="Z224" i="25"/>
  <c r="Z219" i="25"/>
  <c r="Z218" i="25"/>
  <c r="Z213" i="25"/>
  <c r="Y192" i="25"/>
  <c r="Y198" i="25"/>
  <c r="Y204" i="25"/>
  <c r="Y210" i="25"/>
  <c r="Y216" i="25"/>
  <c r="Z212" i="25"/>
  <c r="Z207" i="25"/>
  <c r="Z206" i="25"/>
  <c r="Z201" i="25"/>
  <c r="Z200" i="25"/>
  <c r="Z195" i="25"/>
  <c r="Z194" i="25"/>
  <c r="Z189" i="25"/>
  <c r="Y186" i="25"/>
  <c r="Z188" i="25"/>
  <c r="Z183" i="25"/>
  <c r="Y116" i="25"/>
  <c r="AI229" i="25"/>
  <c r="AA229" i="25"/>
  <c r="AC228" i="25"/>
  <c r="AJ228" i="25"/>
  <c r="Y122" i="25"/>
  <c r="Y177" i="25"/>
  <c r="Y181" i="25"/>
  <c r="Y182" i="25"/>
  <c r="AC181" i="25"/>
  <c r="AJ181" i="25"/>
  <c r="AB181" i="25"/>
  <c r="AJ182" i="25"/>
  <c r="AC182" i="25"/>
  <c r="AA182" i="25"/>
  <c r="T213" i="25"/>
  <c r="T221" i="25"/>
  <c r="T141" i="25"/>
  <c r="T229" i="25"/>
  <c r="T133" i="25"/>
  <c r="T149" i="25"/>
  <c r="T157" i="25"/>
  <c r="AC113" i="25"/>
  <c r="AJ113" i="25"/>
  <c r="AB113" i="25"/>
  <c r="AC112" i="25"/>
  <c r="AJ112" i="25"/>
  <c r="AC119" i="25"/>
  <c r="AJ119" i="25"/>
  <c r="AB119" i="25"/>
  <c r="AC118" i="25"/>
  <c r="AJ118" i="25"/>
  <c r="T187" i="25"/>
  <c r="T239" i="25"/>
  <c r="Z177" i="25"/>
  <c r="Z180" i="25"/>
  <c r="Z181" i="25"/>
  <c r="Z182" i="25"/>
  <c r="T185" i="25"/>
  <c r="T195" i="25"/>
  <c r="T203" i="25"/>
  <c r="T219" i="25"/>
  <c r="T227" i="25"/>
  <c r="T127" i="25"/>
  <c r="Y111" i="25"/>
  <c r="Y117" i="25"/>
  <c r="T139" i="25"/>
  <c r="T155" i="25"/>
  <c r="T193" i="25"/>
  <c r="T201" i="25"/>
  <c r="T243" i="25"/>
  <c r="T259" i="25"/>
  <c r="T267" i="25"/>
  <c r="T283" i="25"/>
  <c r="T209" i="25"/>
  <c r="Y121" i="25"/>
  <c r="T125" i="25"/>
  <c r="T129" i="25"/>
  <c r="T137" i="25"/>
  <c r="T145" i="25"/>
  <c r="T153" i="25"/>
  <c r="T161" i="25"/>
  <c r="T207" i="25"/>
  <c r="T215" i="25"/>
  <c r="T223" i="25"/>
  <c r="T233" i="25"/>
  <c r="T249" i="25"/>
  <c r="T265" i="25"/>
  <c r="T273" i="25"/>
  <c r="T225" i="25"/>
  <c r="T245" i="25"/>
  <c r="Y115" i="25"/>
  <c r="Z110" i="25"/>
  <c r="Z107" i="25"/>
  <c r="Z106" i="25"/>
  <c r="Z105" i="25"/>
  <c r="Z104" i="25"/>
  <c r="Z111" i="25"/>
  <c r="Z119" i="25"/>
  <c r="Z122" i="25"/>
  <c r="Z113" i="25"/>
  <c r="Z285" i="25"/>
  <c r="Z118" i="25"/>
  <c r="Z290" i="25"/>
  <c r="Z288" i="25"/>
  <c r="Z112" i="25"/>
  <c r="Z117" i="25"/>
  <c r="Z116" i="25"/>
  <c r="AJ151" i="25"/>
  <c r="AC151" i="25"/>
  <c r="AJ175" i="25"/>
  <c r="AC175" i="25"/>
  <c r="AJ197" i="25"/>
  <c r="AC197" i="25"/>
  <c r="AJ221" i="25"/>
  <c r="AC221" i="25"/>
  <c r="AJ245" i="25"/>
  <c r="AC245" i="25"/>
  <c r="AJ269" i="25"/>
  <c r="AC269" i="25"/>
  <c r="AJ104" i="25"/>
  <c r="AC104" i="25"/>
  <c r="AJ120" i="25"/>
  <c r="AC120" i="25"/>
  <c r="AJ134" i="25"/>
  <c r="AC134" i="25"/>
  <c r="AJ142" i="25"/>
  <c r="AC142" i="25"/>
  <c r="AJ158" i="25"/>
  <c r="AC158" i="25"/>
  <c r="AJ166" i="25"/>
  <c r="AC166" i="25"/>
  <c r="AJ196" i="25"/>
  <c r="AC196" i="25"/>
  <c r="AJ204" i="25"/>
  <c r="AC204" i="25"/>
  <c r="AJ220" i="25"/>
  <c r="AC220" i="25"/>
  <c r="AJ244" i="25"/>
  <c r="AC244" i="25"/>
  <c r="AJ268" i="25"/>
  <c r="AC268" i="25"/>
  <c r="AJ121" i="25"/>
  <c r="AC121" i="25"/>
  <c r="AJ133" i="25"/>
  <c r="AC133" i="25"/>
  <c r="AJ157" i="25"/>
  <c r="AC157" i="25"/>
  <c r="AJ203" i="25"/>
  <c r="AC203" i="25"/>
  <c r="AJ227" i="25"/>
  <c r="AC227" i="25"/>
  <c r="AJ251" i="25"/>
  <c r="AC251" i="25"/>
  <c r="AJ275" i="25"/>
  <c r="AC275" i="25"/>
  <c r="AJ110" i="25"/>
  <c r="AC110" i="25"/>
  <c r="AJ140" i="25"/>
  <c r="AC140" i="25"/>
  <c r="AJ148" i="25"/>
  <c r="AC148" i="25"/>
  <c r="AJ164" i="25"/>
  <c r="AC164" i="25"/>
  <c r="AJ172" i="25"/>
  <c r="AC172" i="25"/>
  <c r="AJ186" i="25"/>
  <c r="AC186" i="25"/>
  <c r="AJ202" i="25"/>
  <c r="AC202" i="25"/>
  <c r="AJ210" i="25"/>
  <c r="AC210" i="25"/>
  <c r="AJ226" i="25"/>
  <c r="AC226" i="25"/>
  <c r="AJ250" i="25"/>
  <c r="AC250" i="25"/>
  <c r="AJ274" i="25"/>
  <c r="AC274" i="25"/>
  <c r="AJ139" i="25"/>
  <c r="AC139" i="25"/>
  <c r="AJ163" i="25"/>
  <c r="AC163" i="25"/>
  <c r="AJ185" i="25"/>
  <c r="AC185" i="25"/>
  <c r="AJ209" i="25"/>
  <c r="AC209" i="25"/>
  <c r="AJ233" i="25"/>
  <c r="AC233" i="25"/>
  <c r="AJ257" i="25"/>
  <c r="AC257" i="25"/>
  <c r="AJ281" i="25"/>
  <c r="AC281" i="25"/>
  <c r="AJ109" i="25"/>
  <c r="AC109" i="25"/>
  <c r="AJ108" i="25"/>
  <c r="AC108" i="25"/>
  <c r="AJ130" i="25"/>
  <c r="AC130" i="25"/>
  <c r="AJ154" i="25"/>
  <c r="AC154" i="25"/>
  <c r="AJ170" i="25"/>
  <c r="AC170" i="25"/>
  <c r="AJ184" i="25"/>
  <c r="AC184" i="25"/>
  <c r="AJ192" i="25"/>
  <c r="AC192" i="25"/>
  <c r="AJ208" i="25"/>
  <c r="AC208" i="25"/>
  <c r="AJ216" i="25"/>
  <c r="AC216" i="25"/>
  <c r="AJ232" i="25"/>
  <c r="AC232" i="25"/>
  <c r="AJ256" i="25"/>
  <c r="AC256" i="25"/>
  <c r="AJ280" i="25"/>
  <c r="AC280" i="25"/>
  <c r="AJ116" i="25"/>
  <c r="AC116" i="25"/>
  <c r="AJ146" i="25"/>
  <c r="AC146" i="25"/>
  <c r="AJ115" i="25"/>
  <c r="AC115" i="25"/>
  <c r="AJ145" i="25"/>
  <c r="AC145" i="25"/>
  <c r="AJ169" i="25"/>
  <c r="AC169" i="25"/>
  <c r="AJ191" i="25"/>
  <c r="AC191" i="25"/>
  <c r="AJ215" i="25"/>
  <c r="AC215" i="25"/>
  <c r="AJ239" i="25"/>
  <c r="AC239" i="25"/>
  <c r="AJ263" i="25"/>
  <c r="AC263" i="25"/>
  <c r="AJ287" i="25"/>
  <c r="AC287" i="25"/>
  <c r="AJ114" i="25"/>
  <c r="AC114" i="25"/>
  <c r="AJ122" i="25"/>
  <c r="AC122" i="25"/>
  <c r="AJ124" i="25"/>
  <c r="AC124" i="25"/>
  <c r="AJ127" i="25"/>
  <c r="AC127" i="25"/>
  <c r="AJ128" i="25"/>
  <c r="AC128" i="25"/>
  <c r="AJ136" i="25"/>
  <c r="AC136" i="25"/>
  <c r="AJ152" i="25"/>
  <c r="AC152" i="25"/>
  <c r="AJ160" i="25"/>
  <c r="AC160" i="25"/>
  <c r="AJ176" i="25"/>
  <c r="AC176" i="25"/>
  <c r="AJ177" i="25"/>
  <c r="AC177" i="25"/>
  <c r="AJ178" i="25"/>
  <c r="AC178" i="25"/>
  <c r="AJ179" i="25"/>
  <c r="AC179" i="25"/>
  <c r="AJ180" i="25"/>
  <c r="AC180" i="25"/>
  <c r="AJ190" i="25"/>
  <c r="AC190" i="25"/>
  <c r="AJ198" i="25"/>
  <c r="AC198" i="25"/>
  <c r="AJ214" i="25"/>
  <c r="AC214" i="25"/>
  <c r="AJ222" i="25"/>
  <c r="AC222" i="25"/>
  <c r="AJ238" i="25"/>
  <c r="AC238" i="25"/>
  <c r="AJ262" i="25"/>
  <c r="AC262" i="25"/>
  <c r="AJ286" i="25"/>
  <c r="AC286" i="25"/>
  <c r="AO105" i="25"/>
  <c r="AJ105" i="25"/>
  <c r="AO261" i="25"/>
  <c r="AJ261" i="25"/>
  <c r="AO111" i="25"/>
  <c r="AJ111" i="25"/>
  <c r="AO141" i="25"/>
  <c r="AJ141" i="25"/>
  <c r="AO165" i="25"/>
  <c r="AJ165" i="25"/>
  <c r="AO195" i="25"/>
  <c r="AJ195" i="25"/>
  <c r="AO219" i="25"/>
  <c r="AJ219" i="25"/>
  <c r="AO243" i="25"/>
  <c r="AJ243" i="25"/>
  <c r="Y252" i="25"/>
  <c r="AO267" i="25"/>
  <c r="AJ267" i="25"/>
  <c r="Y276" i="25"/>
  <c r="AO135" i="25"/>
  <c r="AJ135" i="25"/>
  <c r="AO159" i="25"/>
  <c r="AJ159" i="25"/>
  <c r="AO237" i="25"/>
  <c r="AJ237" i="25"/>
  <c r="AO189" i="25"/>
  <c r="AJ189" i="25"/>
  <c r="AO213" i="25"/>
  <c r="AJ213" i="25"/>
  <c r="AO285" i="25"/>
  <c r="AJ285" i="25"/>
  <c r="AO117" i="25"/>
  <c r="AJ117" i="25"/>
  <c r="AO147" i="25"/>
  <c r="AJ147" i="25"/>
  <c r="AO171" i="25"/>
  <c r="AJ171" i="25"/>
  <c r="AO201" i="25"/>
  <c r="AJ201" i="25"/>
  <c r="AO225" i="25"/>
  <c r="AJ225" i="25"/>
  <c r="AO249" i="25"/>
  <c r="AJ249" i="25"/>
  <c r="AO273" i="25"/>
  <c r="AJ273" i="25"/>
  <c r="AO129" i="25"/>
  <c r="AJ129" i="25"/>
  <c r="AO153" i="25"/>
  <c r="AJ153" i="25"/>
  <c r="AO183" i="25"/>
  <c r="AJ183" i="25"/>
  <c r="AO207" i="25"/>
  <c r="AJ207" i="25"/>
  <c r="AO231" i="25"/>
  <c r="AJ231" i="25"/>
  <c r="AO255" i="25"/>
  <c r="AJ255" i="25"/>
  <c r="AO279" i="25"/>
  <c r="AJ279" i="25"/>
  <c r="AO123" i="25"/>
  <c r="AJ123" i="25"/>
  <c r="Y135" i="25"/>
  <c r="Y159" i="25"/>
  <c r="Y134" i="25"/>
  <c r="Y158" i="25"/>
  <c r="Y228" i="25"/>
  <c r="Y139" i="25"/>
  <c r="Y147" i="25"/>
  <c r="Y163" i="25"/>
  <c r="Y171" i="25"/>
  <c r="Y146" i="25"/>
  <c r="Y170" i="25"/>
  <c r="Y240" i="25"/>
  <c r="Y264" i="25"/>
  <c r="Y288" i="25"/>
  <c r="Y129" i="25"/>
  <c r="Y145" i="25"/>
  <c r="Y123" i="25"/>
  <c r="Y127" i="25"/>
  <c r="Y128" i="25"/>
  <c r="Y152" i="25"/>
  <c r="Y176" i="25"/>
  <c r="Y246" i="25"/>
  <c r="Y270" i="25"/>
  <c r="Y151" i="25"/>
  <c r="Y175" i="25"/>
  <c r="Y165" i="25"/>
  <c r="Y133" i="25"/>
  <c r="Y141" i="25"/>
  <c r="Y157" i="25"/>
  <c r="Y140" i="25"/>
  <c r="Y164" i="25"/>
  <c r="Y234" i="25"/>
  <c r="Y258" i="25"/>
  <c r="Y282" i="25"/>
  <c r="Y153" i="25"/>
  <c r="Y169" i="25"/>
  <c r="AO177" i="25"/>
  <c r="T181" i="25"/>
  <c r="AD229" i="25"/>
  <c r="AD276" i="25"/>
  <c r="AD119" i="25"/>
  <c r="AD187" i="25"/>
  <c r="AD211" i="25"/>
  <c r="AD235" i="25"/>
  <c r="AD259" i="25"/>
  <c r="AD283" i="25"/>
  <c r="AD113" i="25"/>
  <c r="AD228" i="25"/>
  <c r="AD118" i="25"/>
  <c r="AD234" i="25"/>
  <c r="AD258" i="25"/>
  <c r="AD282" i="25"/>
  <c r="AD277" i="25"/>
  <c r="AD112" i="25"/>
  <c r="AD193" i="25"/>
  <c r="AD217" i="25"/>
  <c r="AD241" i="25"/>
  <c r="AD265" i="25"/>
  <c r="AD289" i="25"/>
  <c r="AD252" i="25"/>
  <c r="AD240" i="25"/>
  <c r="AD264" i="25"/>
  <c r="AD288" i="25"/>
  <c r="AD107" i="25"/>
  <c r="AD199" i="25"/>
  <c r="AD223" i="25"/>
  <c r="AD247" i="25"/>
  <c r="AD271" i="25"/>
  <c r="AD205" i="25"/>
  <c r="AD253" i="25"/>
  <c r="AD106" i="25"/>
  <c r="AD181" i="25"/>
  <c r="AD246" i="25"/>
  <c r="AD270" i="25"/>
  <c r="AD197" i="25"/>
  <c r="AD261" i="25"/>
  <c r="AD104" i="25"/>
  <c r="AD120" i="25"/>
  <c r="AD134" i="25"/>
  <c r="AD142" i="25"/>
  <c r="AD150" i="25"/>
  <c r="AD158" i="25"/>
  <c r="AD166" i="25"/>
  <c r="AD174" i="25"/>
  <c r="AD188" i="25"/>
  <c r="AD196" i="25"/>
  <c r="AD204" i="25"/>
  <c r="AD212" i="25"/>
  <c r="AD220" i="25"/>
  <c r="AD236" i="25"/>
  <c r="AD244" i="25"/>
  <c r="AD260" i="25"/>
  <c r="AD268" i="25"/>
  <c r="AD284" i="25"/>
  <c r="AD285" i="25"/>
  <c r="AD111" i="25"/>
  <c r="AD133" i="25"/>
  <c r="AD141" i="25"/>
  <c r="AD149" i="25"/>
  <c r="AD157" i="25"/>
  <c r="AD165" i="25"/>
  <c r="AD173" i="25"/>
  <c r="AD195" i="25"/>
  <c r="AD203" i="25"/>
  <c r="AD219" i="25"/>
  <c r="AD227" i="25"/>
  <c r="AD243" i="25"/>
  <c r="AD251" i="25"/>
  <c r="AD267" i="25"/>
  <c r="AD275" i="25"/>
  <c r="AD135" i="25"/>
  <c r="AD269" i="25"/>
  <c r="AD110" i="25"/>
  <c r="AD132" i="25"/>
  <c r="AD140" i="25"/>
  <c r="AD148" i="25"/>
  <c r="AD156" i="25"/>
  <c r="AD164" i="25"/>
  <c r="AD172" i="25"/>
  <c r="AD186" i="25"/>
  <c r="AD194" i="25"/>
  <c r="AD202" i="25"/>
  <c r="AD210" i="25"/>
  <c r="AD218" i="25"/>
  <c r="AD226" i="25"/>
  <c r="AD242" i="25"/>
  <c r="AD250" i="25"/>
  <c r="AD266" i="25"/>
  <c r="AD274" i="25"/>
  <c r="AD290" i="25"/>
  <c r="AD105" i="25"/>
  <c r="AD143" i="25"/>
  <c r="AD175" i="25"/>
  <c r="AD213" i="25"/>
  <c r="AD109" i="25"/>
  <c r="AD117" i="25"/>
  <c r="AD131" i="25"/>
  <c r="AD139" i="25"/>
  <c r="AD147" i="25"/>
  <c r="AD155" i="25"/>
  <c r="AD163" i="25"/>
  <c r="AD171" i="25"/>
  <c r="AD185" i="25"/>
  <c r="AD201" i="25"/>
  <c r="AD209" i="25"/>
  <c r="AD225" i="25"/>
  <c r="AD233" i="25"/>
  <c r="AD249" i="25"/>
  <c r="AD257" i="25"/>
  <c r="AD273" i="25"/>
  <c r="AD281" i="25"/>
  <c r="AD167" i="25"/>
  <c r="AD221" i="25"/>
  <c r="AD108" i="25"/>
  <c r="AD116" i="25"/>
  <c r="AD130" i="25"/>
  <c r="AD138" i="25"/>
  <c r="AD146" i="25"/>
  <c r="AD154" i="25"/>
  <c r="AD162" i="25"/>
  <c r="AD170" i="25"/>
  <c r="AD184" i="25"/>
  <c r="AD192" i="25"/>
  <c r="AD200" i="25"/>
  <c r="AD208" i="25"/>
  <c r="AD216" i="25"/>
  <c r="AD224" i="25"/>
  <c r="AD232" i="25"/>
  <c r="AD248" i="25"/>
  <c r="AD256" i="25"/>
  <c r="AD272" i="25"/>
  <c r="AD280" i="25"/>
  <c r="AD121" i="25"/>
  <c r="AD159" i="25"/>
  <c r="AD237" i="25"/>
  <c r="AD245" i="25"/>
  <c r="AD115" i="25"/>
  <c r="AD129" i="25"/>
  <c r="AD137" i="25"/>
  <c r="AD145" i="25"/>
  <c r="AD153" i="25"/>
  <c r="AD161" i="25"/>
  <c r="AD169" i="25"/>
  <c r="AD183" i="25"/>
  <c r="AD191" i="25"/>
  <c r="AD207" i="25"/>
  <c r="AD215" i="25"/>
  <c r="AD231" i="25"/>
  <c r="AD239" i="25"/>
  <c r="AD255" i="25"/>
  <c r="AD263" i="25"/>
  <c r="AD279" i="25"/>
  <c r="AD287" i="25"/>
  <c r="AD151" i="25"/>
  <c r="AD189" i="25"/>
  <c r="AD114" i="25"/>
  <c r="AD122" i="25"/>
  <c r="AD123" i="25"/>
  <c r="AD124" i="25"/>
  <c r="AD125" i="25"/>
  <c r="AD126" i="25"/>
  <c r="AD127" i="25"/>
  <c r="AD128" i="25"/>
  <c r="AD136" i="25"/>
  <c r="AD144" i="25"/>
  <c r="AD152" i="25"/>
  <c r="AD160" i="25"/>
  <c r="AD168" i="25"/>
  <c r="AD176" i="25"/>
  <c r="AD178" i="25"/>
  <c r="AD179" i="25"/>
  <c r="AD180" i="25"/>
  <c r="AD182" i="25"/>
  <c r="AD190" i="25"/>
  <c r="AD198" i="25"/>
  <c r="AD206" i="25"/>
  <c r="AD214" i="25"/>
  <c r="AD222" i="25"/>
  <c r="AD230" i="25"/>
  <c r="AD238" i="25"/>
  <c r="AD254" i="25"/>
  <c r="AD262" i="25"/>
  <c r="AD278" i="25"/>
  <c r="AD286" i="25"/>
  <c r="AD177" i="25"/>
  <c r="V108" i="25"/>
  <c r="W108" i="25" s="1"/>
  <c r="AG108" i="25"/>
  <c r="V106" i="25"/>
  <c r="W106" i="25" s="1"/>
  <c r="AH106" i="25"/>
  <c r="V136" i="25"/>
  <c r="W136" i="25" s="1"/>
  <c r="V152" i="25"/>
  <c r="W152" i="25" s="1"/>
  <c r="AA152" i="25"/>
  <c r="V160" i="25"/>
  <c r="W160" i="25" s="1"/>
  <c r="V113" i="25"/>
  <c r="W113" i="25" s="1"/>
  <c r="AG113" i="25"/>
  <c r="V121" i="25"/>
  <c r="W121" i="25" s="1"/>
  <c r="AG121" i="25"/>
  <c r="V189" i="25"/>
  <c r="W189" i="25" s="1"/>
  <c r="AG189" i="25"/>
  <c r="V197" i="25"/>
  <c r="W197" i="25" s="1"/>
  <c r="AG197" i="25"/>
  <c r="V205" i="25"/>
  <c r="W205" i="25" s="1"/>
  <c r="AI205" i="25"/>
  <c r="AG205" i="25"/>
  <c r="AA205" i="25"/>
  <c r="V213" i="25"/>
  <c r="W213" i="25" s="1"/>
  <c r="AG213" i="25"/>
  <c r="V221" i="25"/>
  <c r="W221" i="25" s="1"/>
  <c r="AG221" i="25"/>
  <c r="V229" i="25"/>
  <c r="W229" i="25" s="1"/>
  <c r="AG229" i="25"/>
  <c r="AH229" i="25"/>
  <c r="V237" i="25"/>
  <c r="W237" i="25" s="1"/>
  <c r="AG237" i="25"/>
  <c r="V245" i="25"/>
  <c r="W245" i="25" s="1"/>
  <c r="AG245" i="25"/>
  <c r="V253" i="25"/>
  <c r="W253" i="25" s="1"/>
  <c r="AH253" i="25"/>
  <c r="AG253" i="25"/>
  <c r="V261" i="25"/>
  <c r="W261" i="25" s="1"/>
  <c r="AG261" i="25"/>
  <c r="V269" i="25"/>
  <c r="W269" i="25" s="1"/>
  <c r="AG269" i="25"/>
  <c r="V277" i="25"/>
  <c r="W277" i="25" s="1"/>
  <c r="AH277" i="25"/>
  <c r="AG277" i="25"/>
  <c r="V285" i="25"/>
  <c r="W285" i="25" s="1"/>
  <c r="AG285" i="25"/>
  <c r="V115" i="25"/>
  <c r="W115" i="25" s="1"/>
  <c r="AG115" i="25"/>
  <c r="V122" i="25"/>
  <c r="W122" i="25" s="1"/>
  <c r="AG122" i="25"/>
  <c r="V104" i="25"/>
  <c r="W104" i="25" s="1"/>
  <c r="AG104" i="25"/>
  <c r="V112" i="25"/>
  <c r="W112" i="25" s="1"/>
  <c r="AH112" i="25"/>
  <c r="AG112" i="25"/>
  <c r="V120" i="25"/>
  <c r="W120" i="25" s="1"/>
  <c r="AG120" i="25"/>
  <c r="V134" i="25"/>
  <c r="W134" i="25" s="1"/>
  <c r="AA134" i="25"/>
  <c r="V142" i="25"/>
  <c r="W142" i="25" s="1"/>
  <c r="V158" i="25"/>
  <c r="W158" i="25" s="1"/>
  <c r="AA158" i="25"/>
  <c r="V166" i="25"/>
  <c r="W166" i="25" s="1"/>
  <c r="V196" i="25"/>
  <c r="W196" i="25" s="1"/>
  <c r="AG196" i="25"/>
  <c r="V204" i="25"/>
  <c r="W204" i="25" s="1"/>
  <c r="AG204" i="25"/>
  <c r="V220" i="25"/>
  <c r="W220" i="25" s="1"/>
  <c r="AG220" i="25"/>
  <c r="V228" i="25"/>
  <c r="W228" i="25" s="1"/>
  <c r="AG228" i="25"/>
  <c r="V244" i="25"/>
  <c r="W244" i="25" s="1"/>
  <c r="AG244" i="25"/>
  <c r="V252" i="25"/>
  <c r="W252" i="25" s="1"/>
  <c r="AG252" i="25"/>
  <c r="V268" i="25"/>
  <c r="W268" i="25" s="1"/>
  <c r="AG268" i="25"/>
  <c r="V276" i="25"/>
  <c r="W276" i="25" s="1"/>
  <c r="AG276" i="25"/>
  <c r="V116" i="25"/>
  <c r="W116" i="25" s="1"/>
  <c r="AG116" i="25"/>
  <c r="V107" i="25"/>
  <c r="W107" i="25" s="1"/>
  <c r="AG107" i="25"/>
  <c r="V114" i="25"/>
  <c r="W114" i="25" s="1"/>
  <c r="AG114" i="25"/>
  <c r="V119" i="25"/>
  <c r="W119" i="25" s="1"/>
  <c r="AG119" i="25"/>
  <c r="V187" i="25"/>
  <c r="W187" i="25" s="1"/>
  <c r="AI187" i="25"/>
  <c r="AG187" i="25"/>
  <c r="AA187" i="25"/>
  <c r="V195" i="25"/>
  <c r="W195" i="25" s="1"/>
  <c r="AG195" i="25"/>
  <c r="V203" i="25"/>
  <c r="W203" i="25" s="1"/>
  <c r="AG203" i="25"/>
  <c r="V211" i="25"/>
  <c r="W211" i="25" s="1"/>
  <c r="AI211" i="25"/>
  <c r="AG211" i="25"/>
  <c r="AA211" i="25"/>
  <c r="V219" i="25"/>
  <c r="W219" i="25" s="1"/>
  <c r="AG219" i="25"/>
  <c r="V227" i="25"/>
  <c r="W227" i="25" s="1"/>
  <c r="AG227" i="25"/>
  <c r="V235" i="25"/>
  <c r="W235" i="25" s="1"/>
  <c r="AG235" i="25"/>
  <c r="AH235" i="25"/>
  <c r="V243" i="25"/>
  <c r="W243" i="25" s="1"/>
  <c r="AG243" i="25"/>
  <c r="V251" i="25"/>
  <c r="W251" i="25" s="1"/>
  <c r="AG251" i="25"/>
  <c r="V259" i="25"/>
  <c r="W259" i="25" s="1"/>
  <c r="AG259" i="25"/>
  <c r="AH259" i="25"/>
  <c r="V267" i="25"/>
  <c r="W267" i="25" s="1"/>
  <c r="AG267" i="25"/>
  <c r="V275" i="25"/>
  <c r="W275" i="25" s="1"/>
  <c r="AG275" i="25"/>
  <c r="V283" i="25"/>
  <c r="W283" i="25" s="1"/>
  <c r="AG283" i="25"/>
  <c r="AH283" i="25"/>
  <c r="V164" i="25"/>
  <c r="W164" i="25" s="1"/>
  <c r="AA164" i="25"/>
  <c r="V172" i="25"/>
  <c r="W172" i="25" s="1"/>
  <c r="V186" i="25"/>
  <c r="W186" i="25" s="1"/>
  <c r="AG186" i="25"/>
  <c r="V202" i="25"/>
  <c r="W202" i="25" s="1"/>
  <c r="AG202" i="25"/>
  <c r="V210" i="25"/>
  <c r="W210" i="25" s="1"/>
  <c r="AG210" i="25"/>
  <c r="V226" i="25"/>
  <c r="W226" i="25" s="1"/>
  <c r="AG226" i="25"/>
  <c r="V234" i="25"/>
  <c r="W234" i="25" s="1"/>
  <c r="AG234" i="25"/>
  <c r="V250" i="25"/>
  <c r="W250" i="25" s="1"/>
  <c r="AG250" i="25"/>
  <c r="V258" i="25"/>
  <c r="W258" i="25" s="1"/>
  <c r="AG258" i="25"/>
  <c r="V274" i="25"/>
  <c r="W274" i="25" s="1"/>
  <c r="AG274" i="25"/>
  <c r="V282" i="25"/>
  <c r="W282" i="25" s="1"/>
  <c r="AG282" i="25"/>
  <c r="V110" i="25"/>
  <c r="W110" i="25" s="1"/>
  <c r="AG110" i="25"/>
  <c r="V118" i="25"/>
  <c r="W118" i="25" s="1"/>
  <c r="AH118" i="25"/>
  <c r="AG118" i="25"/>
  <c r="V140" i="25"/>
  <c r="W140" i="25" s="1"/>
  <c r="AA140" i="25"/>
  <c r="V148" i="25"/>
  <c r="W148" i="25" s="1"/>
  <c r="V109" i="25"/>
  <c r="W109" i="25" s="1"/>
  <c r="AG109" i="25"/>
  <c r="V185" i="25"/>
  <c r="W185" i="25" s="1"/>
  <c r="AG185" i="25"/>
  <c r="V193" i="25"/>
  <c r="W193" i="25" s="1"/>
  <c r="AG193" i="25"/>
  <c r="AI193" i="25"/>
  <c r="AA193" i="25"/>
  <c r="V201" i="25"/>
  <c r="W201" i="25" s="1"/>
  <c r="AG201" i="25"/>
  <c r="V209" i="25"/>
  <c r="W209" i="25" s="1"/>
  <c r="AG209" i="25"/>
  <c r="V217" i="25"/>
  <c r="W217" i="25" s="1"/>
  <c r="AG217" i="25"/>
  <c r="AI217" i="25"/>
  <c r="AA217" i="25"/>
  <c r="V225" i="25"/>
  <c r="W225" i="25" s="1"/>
  <c r="AG225" i="25"/>
  <c r="V233" i="25"/>
  <c r="W233" i="25" s="1"/>
  <c r="AG233" i="25"/>
  <c r="V241" i="25"/>
  <c r="W241" i="25" s="1"/>
  <c r="AH241" i="25"/>
  <c r="AG241" i="25"/>
  <c r="V249" i="25"/>
  <c r="W249" i="25" s="1"/>
  <c r="AG249" i="25"/>
  <c r="V257" i="25"/>
  <c r="W257" i="25" s="1"/>
  <c r="AG257" i="25"/>
  <c r="V265" i="25"/>
  <c r="W265" i="25" s="1"/>
  <c r="AH265" i="25"/>
  <c r="AG265" i="25"/>
  <c r="V273" i="25"/>
  <c r="W273" i="25" s="1"/>
  <c r="AG273" i="25"/>
  <c r="V281" i="25"/>
  <c r="W281" i="25" s="1"/>
  <c r="AG281" i="25"/>
  <c r="V289" i="25"/>
  <c r="W289" i="25" s="1"/>
  <c r="AH289" i="25"/>
  <c r="AG289" i="25"/>
  <c r="V130" i="25"/>
  <c r="W130" i="25" s="1"/>
  <c r="V146" i="25"/>
  <c r="W146" i="25" s="1"/>
  <c r="AA146" i="25"/>
  <c r="V154" i="25"/>
  <c r="W154" i="25" s="1"/>
  <c r="V170" i="25"/>
  <c r="W170" i="25" s="1"/>
  <c r="AA170" i="25"/>
  <c r="V184" i="25"/>
  <c r="W184" i="25" s="1"/>
  <c r="AG184" i="25"/>
  <c r="V192" i="25"/>
  <c r="W192" i="25" s="1"/>
  <c r="AG192" i="25"/>
  <c r="V208" i="25"/>
  <c r="W208" i="25" s="1"/>
  <c r="AG208" i="25"/>
  <c r="V216" i="25"/>
  <c r="W216" i="25" s="1"/>
  <c r="AG216" i="25"/>
  <c r="V232" i="25"/>
  <c r="W232" i="25" s="1"/>
  <c r="AG232" i="25"/>
  <c r="V240" i="25"/>
  <c r="W240" i="25" s="1"/>
  <c r="AG240" i="25"/>
  <c r="V256" i="25"/>
  <c r="W256" i="25" s="1"/>
  <c r="AG256" i="25"/>
  <c r="V264" i="25"/>
  <c r="W264" i="25" s="1"/>
  <c r="AG264" i="25"/>
  <c r="V280" i="25"/>
  <c r="W280" i="25" s="1"/>
  <c r="AG280" i="25"/>
  <c r="V288" i="25"/>
  <c r="W288" i="25" s="1"/>
  <c r="AG288" i="25"/>
  <c r="V183" i="25"/>
  <c r="W183" i="25" s="1"/>
  <c r="AG183" i="25"/>
  <c r="V191" i="25"/>
  <c r="W191" i="25" s="1"/>
  <c r="AG191" i="25"/>
  <c r="V199" i="25"/>
  <c r="W199" i="25" s="1"/>
  <c r="AG199" i="25"/>
  <c r="AI199" i="25"/>
  <c r="AA199" i="25"/>
  <c r="V207" i="25"/>
  <c r="W207" i="25" s="1"/>
  <c r="AG207" i="25"/>
  <c r="V215" i="25"/>
  <c r="W215" i="25" s="1"/>
  <c r="AG215" i="25"/>
  <c r="V223" i="25"/>
  <c r="W223" i="25" s="1"/>
  <c r="AG223" i="25"/>
  <c r="AI223" i="25"/>
  <c r="AA223" i="25"/>
  <c r="V231" i="25"/>
  <c r="W231" i="25" s="1"/>
  <c r="AG231" i="25"/>
  <c r="V239" i="25"/>
  <c r="W239" i="25" s="1"/>
  <c r="AG239" i="25"/>
  <c r="V247" i="25"/>
  <c r="W247" i="25" s="1"/>
  <c r="AH247" i="25"/>
  <c r="AG247" i="25"/>
  <c r="V255" i="25"/>
  <c r="W255" i="25" s="1"/>
  <c r="AG255" i="25"/>
  <c r="V263" i="25"/>
  <c r="W263" i="25" s="1"/>
  <c r="AG263" i="25"/>
  <c r="V271" i="25"/>
  <c r="W271" i="25" s="1"/>
  <c r="AH271" i="25"/>
  <c r="AG271" i="25"/>
  <c r="V279" i="25"/>
  <c r="W279" i="25" s="1"/>
  <c r="AG279" i="25"/>
  <c r="V287" i="25"/>
  <c r="W287" i="25" s="1"/>
  <c r="AG287" i="25"/>
  <c r="V124" i="25"/>
  <c r="W124" i="25" s="1"/>
  <c r="V128" i="25"/>
  <c r="W128" i="25" s="1"/>
  <c r="AA128" i="25"/>
  <c r="V176" i="25"/>
  <c r="W176" i="25" s="1"/>
  <c r="AA176" i="25"/>
  <c r="V177" i="25"/>
  <c r="W177" i="25" s="1"/>
  <c r="AG177" i="25"/>
  <c r="V178" i="25"/>
  <c r="W178" i="25" s="1"/>
  <c r="AG178" i="25"/>
  <c r="V179" i="25"/>
  <c r="W179" i="25" s="1"/>
  <c r="AG179" i="25"/>
  <c r="V180" i="25"/>
  <c r="W180" i="25" s="1"/>
  <c r="AG180" i="25"/>
  <c r="V181" i="25"/>
  <c r="W181" i="25" s="1"/>
  <c r="AI181" i="25"/>
  <c r="AG181" i="25"/>
  <c r="AA181" i="25"/>
  <c r="V190" i="25"/>
  <c r="W190" i="25" s="1"/>
  <c r="AG190" i="25"/>
  <c r="V198" i="25"/>
  <c r="W198" i="25" s="1"/>
  <c r="AG198" i="25"/>
  <c r="V214" i="25"/>
  <c r="W214" i="25" s="1"/>
  <c r="AG214" i="25"/>
  <c r="V222" i="25"/>
  <c r="W222" i="25" s="1"/>
  <c r="AG222" i="25"/>
  <c r="V238" i="25"/>
  <c r="W238" i="25" s="1"/>
  <c r="AG238" i="25"/>
  <c r="V246" i="25"/>
  <c r="W246" i="25" s="1"/>
  <c r="AG246" i="25"/>
  <c r="V262" i="25"/>
  <c r="W262" i="25" s="1"/>
  <c r="AG262" i="25"/>
  <c r="V270" i="25"/>
  <c r="W270" i="25" s="1"/>
  <c r="AG270" i="25"/>
  <c r="V286" i="25"/>
  <c r="W286" i="25" s="1"/>
  <c r="AG286" i="25"/>
  <c r="V260" i="25"/>
  <c r="W260" i="25" s="1"/>
  <c r="AB260" i="25"/>
  <c r="V284" i="25"/>
  <c r="W284" i="25" s="1"/>
  <c r="AB284" i="25"/>
  <c r="V242" i="25"/>
  <c r="W242" i="25" s="1"/>
  <c r="AB242" i="25"/>
  <c r="V266" i="25"/>
  <c r="W266" i="25" s="1"/>
  <c r="AB266" i="25"/>
  <c r="V290" i="25"/>
  <c r="W290" i="25" s="1"/>
  <c r="AB290" i="25"/>
  <c r="V248" i="25"/>
  <c r="W248" i="25" s="1"/>
  <c r="AB248" i="25"/>
  <c r="V272" i="25"/>
  <c r="W272" i="25" s="1"/>
  <c r="AB272" i="25"/>
  <c r="V230" i="25"/>
  <c r="W230" i="25" s="1"/>
  <c r="AB230" i="25"/>
  <c r="V236" i="25"/>
  <c r="W236" i="25" s="1"/>
  <c r="AB236" i="25"/>
  <c r="V254" i="25"/>
  <c r="W254" i="25" s="1"/>
  <c r="AB254" i="25"/>
  <c r="V278" i="25"/>
  <c r="W278" i="25" s="1"/>
  <c r="AB278" i="25"/>
  <c r="C191" i="25"/>
  <c r="C192" i="25"/>
  <c r="C193" i="25"/>
  <c r="C183" i="25"/>
  <c r="C184" i="25"/>
  <c r="C185" i="25"/>
  <c r="C186" i="25"/>
  <c r="C187" i="25"/>
  <c r="C190" i="25"/>
  <c r="C188" i="25"/>
  <c r="C194" i="25"/>
  <c r="V224" i="25"/>
  <c r="W224" i="25" s="1"/>
  <c r="AB224" i="25"/>
  <c r="V194" i="25"/>
  <c r="W194" i="25" s="1"/>
  <c r="AB194" i="25"/>
  <c r="V218" i="25"/>
  <c r="W218" i="25" s="1"/>
  <c r="AB218" i="25"/>
  <c r="V182" i="25"/>
  <c r="W182" i="25" s="1"/>
  <c r="AB182" i="25"/>
  <c r="V188" i="25"/>
  <c r="W188" i="25" s="1"/>
  <c r="AB188" i="25"/>
  <c r="V200" i="25"/>
  <c r="W200" i="25" s="1"/>
  <c r="AB200" i="25"/>
  <c r="V206" i="25"/>
  <c r="W206" i="25" s="1"/>
  <c r="AB206" i="25"/>
  <c r="V212" i="25"/>
  <c r="W212" i="25" s="1"/>
  <c r="AB212" i="25"/>
  <c r="V127" i="25"/>
  <c r="W127" i="25" s="1"/>
  <c r="AB127" i="25"/>
  <c r="V139" i="25"/>
  <c r="W139" i="25" s="1"/>
  <c r="AB139" i="25"/>
  <c r="V151" i="25"/>
  <c r="W151" i="25" s="1"/>
  <c r="AB151" i="25"/>
  <c r="V157" i="25"/>
  <c r="W157" i="25" s="1"/>
  <c r="AB157" i="25"/>
  <c r="V163" i="25"/>
  <c r="W163" i="25" s="1"/>
  <c r="AB163" i="25"/>
  <c r="V169" i="25"/>
  <c r="W169" i="25" s="1"/>
  <c r="AB169" i="25"/>
  <c r="V175" i="25"/>
  <c r="W175" i="25" s="1"/>
  <c r="AB175" i="25"/>
  <c r="V145" i="25"/>
  <c r="W145" i="25" s="1"/>
  <c r="AB145" i="25"/>
  <c r="V133" i="25"/>
  <c r="W133" i="25" s="1"/>
  <c r="AB133" i="25"/>
  <c r="V144" i="25"/>
  <c r="W144" i="25" s="1"/>
  <c r="AB144" i="25"/>
  <c r="V156" i="25"/>
  <c r="W156" i="25" s="1"/>
  <c r="AB156" i="25"/>
  <c r="V174" i="25"/>
  <c r="W174" i="25" s="1"/>
  <c r="AB174" i="25"/>
  <c r="V126" i="25"/>
  <c r="W126" i="25" s="1"/>
  <c r="AB126" i="25"/>
  <c r="V132" i="25"/>
  <c r="W132" i="25" s="1"/>
  <c r="AB132" i="25"/>
  <c r="V162" i="25"/>
  <c r="W162" i="25" s="1"/>
  <c r="AB162" i="25"/>
  <c r="V138" i="25"/>
  <c r="W138" i="25" s="1"/>
  <c r="AB138" i="25"/>
  <c r="V168" i="25"/>
  <c r="W168" i="25" s="1"/>
  <c r="AB168" i="25"/>
  <c r="V150" i="25"/>
  <c r="W150" i="25" s="1"/>
  <c r="AB150" i="25"/>
  <c r="V137" i="25"/>
  <c r="W137" i="25" s="1"/>
  <c r="AB137" i="25"/>
  <c r="V167" i="25"/>
  <c r="W167" i="25" s="1"/>
  <c r="AB167" i="25"/>
  <c r="V125" i="25"/>
  <c r="W125" i="25" s="1"/>
  <c r="AB125" i="25"/>
  <c r="V143" i="25"/>
  <c r="W143" i="25" s="1"/>
  <c r="AB143" i="25"/>
  <c r="V161" i="25"/>
  <c r="W161" i="25" s="1"/>
  <c r="AB161" i="25"/>
  <c r="V149" i="25"/>
  <c r="W149" i="25" s="1"/>
  <c r="AB149" i="25"/>
  <c r="V173" i="25"/>
  <c r="W173" i="25" s="1"/>
  <c r="AB173" i="25"/>
  <c r="V131" i="25"/>
  <c r="W131" i="25" s="1"/>
  <c r="AB131" i="25"/>
  <c r="V155" i="25"/>
  <c r="W155" i="25" s="1"/>
  <c r="AB155" i="25"/>
  <c r="V135" i="25"/>
  <c r="W135" i="25" s="1"/>
  <c r="AB135" i="25"/>
  <c r="V147" i="25"/>
  <c r="W147" i="25" s="1"/>
  <c r="AB147" i="25"/>
  <c r="V171" i="25"/>
  <c r="W171" i="25" s="1"/>
  <c r="AB171" i="25"/>
  <c r="V123" i="25"/>
  <c r="W123" i="25" s="1"/>
  <c r="AB123" i="25"/>
  <c r="V159" i="25"/>
  <c r="W159" i="25" s="1"/>
  <c r="AB159" i="25"/>
  <c r="V129" i="25"/>
  <c r="W129" i="25" s="1"/>
  <c r="AB129" i="25"/>
  <c r="V153" i="25"/>
  <c r="W153" i="25" s="1"/>
  <c r="AB153" i="25"/>
  <c r="V141" i="25"/>
  <c r="W141" i="25" s="1"/>
  <c r="AB141" i="25"/>
  <c r="V165" i="25"/>
  <c r="W165" i="25" s="1"/>
  <c r="AB165" i="25"/>
  <c r="V105" i="25"/>
  <c r="W105" i="25" s="1"/>
  <c r="AB105" i="25"/>
  <c r="V111" i="25"/>
  <c r="W111" i="25" s="1"/>
  <c r="AB111" i="25"/>
  <c r="V117" i="25"/>
  <c r="W117" i="25" s="1"/>
  <c r="AB117" i="25"/>
  <c r="Z125" i="25"/>
  <c r="Z128" i="25"/>
  <c r="Z131" i="25"/>
  <c r="Z133" i="25"/>
  <c r="Z136" i="25"/>
  <c r="Z138" i="25"/>
  <c r="Z140" i="25"/>
  <c r="Z142" i="25"/>
  <c r="Z144" i="25"/>
  <c r="Z146" i="25"/>
  <c r="Z148" i="25"/>
  <c r="Z150" i="25"/>
  <c r="Z152" i="25"/>
  <c r="Z154" i="25"/>
  <c r="Z157" i="25"/>
  <c r="Z159" i="25"/>
  <c r="Z161" i="25"/>
  <c r="Z163" i="25"/>
  <c r="Z165" i="25"/>
  <c r="Z167" i="25"/>
  <c r="Z169" i="25"/>
  <c r="Z171" i="25"/>
  <c r="Z173" i="25"/>
  <c r="Z175" i="25"/>
  <c r="Z179" i="25"/>
  <c r="Z185" i="25"/>
  <c r="Z191" i="25"/>
  <c r="Z197" i="25"/>
  <c r="Z203" i="25"/>
  <c r="Z209" i="25"/>
  <c r="Z215" i="25"/>
  <c r="Z221" i="25"/>
  <c r="Z227" i="25"/>
  <c r="Z229" i="25"/>
  <c r="Z233" i="25"/>
  <c r="Z235" i="25"/>
  <c r="Z239" i="25"/>
  <c r="Z241" i="25"/>
  <c r="Z245" i="25"/>
  <c r="Z247" i="25"/>
  <c r="Z251" i="25"/>
  <c r="Z253" i="25"/>
  <c r="Z257" i="25"/>
  <c r="Z259" i="25"/>
  <c r="Z263" i="25"/>
  <c r="Z265" i="25"/>
  <c r="Z269" i="25"/>
  <c r="Z271" i="25"/>
  <c r="Z275" i="25"/>
  <c r="Z277" i="25"/>
  <c r="Z281" i="25"/>
  <c r="Z283" i="25"/>
  <c r="Z287" i="25"/>
  <c r="Z289" i="25"/>
  <c r="Z108" i="25"/>
  <c r="Z114" i="25"/>
  <c r="Z120" i="25"/>
  <c r="Z123" i="25"/>
  <c r="Z126" i="25"/>
  <c r="Z129" i="25"/>
  <c r="Z132" i="25"/>
  <c r="Z134" i="25"/>
  <c r="Z137" i="25"/>
  <c r="Z139" i="25"/>
  <c r="Z141" i="25"/>
  <c r="Z143" i="25"/>
  <c r="Z145" i="25"/>
  <c r="Z147" i="25"/>
  <c r="Z149" i="25"/>
  <c r="Z151" i="25"/>
  <c r="Z153" i="25"/>
  <c r="Z155" i="25"/>
  <c r="Z156" i="25"/>
  <c r="Z158" i="25"/>
  <c r="Z160" i="25"/>
  <c r="Z162" i="25"/>
  <c r="Z164" i="25"/>
  <c r="Z166" i="25"/>
  <c r="Z168" i="25"/>
  <c r="Z170" i="25"/>
  <c r="Z172" i="25"/>
  <c r="Z174" i="25"/>
  <c r="Z176" i="25"/>
  <c r="Z178" i="25"/>
  <c r="Z184" i="25"/>
  <c r="Z190" i="25"/>
  <c r="Z196" i="25"/>
  <c r="Z202" i="25"/>
  <c r="Z208" i="25"/>
  <c r="Z214" i="25"/>
  <c r="Z220" i="25"/>
  <c r="Z226" i="25"/>
  <c r="Z232" i="25"/>
  <c r="Z238" i="25"/>
  <c r="Z244" i="25"/>
  <c r="Z250" i="25"/>
  <c r="Z256" i="25"/>
  <c r="Z262" i="25"/>
  <c r="Z268" i="25"/>
  <c r="Z274" i="25"/>
  <c r="Z280" i="25"/>
  <c r="Z286" i="25"/>
  <c r="Z109" i="25"/>
  <c r="Z115" i="25"/>
  <c r="Z121" i="25"/>
  <c r="Z124" i="25"/>
  <c r="Z127" i="25"/>
  <c r="Z130" i="25"/>
  <c r="Z135" i="25"/>
  <c r="X104" i="25"/>
  <c r="X108" i="25"/>
  <c r="X112" i="25"/>
  <c r="X116" i="25"/>
  <c r="X120" i="25"/>
  <c r="X124" i="25"/>
  <c r="X128" i="25"/>
  <c r="X132" i="25"/>
  <c r="X136" i="25"/>
  <c r="X140" i="25"/>
  <c r="X144" i="25"/>
  <c r="X148" i="25"/>
  <c r="X152" i="25"/>
  <c r="X156" i="25"/>
  <c r="X160" i="25"/>
  <c r="X164" i="25"/>
  <c r="X168" i="25"/>
  <c r="X172" i="25"/>
  <c r="X176" i="25"/>
  <c r="X180" i="25"/>
  <c r="X184" i="25"/>
  <c r="X188" i="25"/>
  <c r="X192" i="25"/>
  <c r="X196" i="25"/>
  <c r="X200" i="25"/>
  <c r="X204" i="25"/>
  <c r="X208" i="25"/>
  <c r="X212" i="25"/>
  <c r="X216" i="25"/>
  <c r="X217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X257" i="25"/>
  <c r="X258" i="25"/>
  <c r="X259" i="25"/>
  <c r="X260" i="25"/>
  <c r="X261" i="25"/>
  <c r="X262" i="25"/>
  <c r="X263" i="25"/>
  <c r="X264" i="25"/>
  <c r="X265" i="25"/>
  <c r="X266" i="25"/>
  <c r="X267" i="25"/>
  <c r="X268" i="25"/>
  <c r="X269" i="25"/>
  <c r="X270" i="25"/>
  <c r="X271" i="25"/>
  <c r="X272" i="25"/>
  <c r="X273" i="25"/>
  <c r="X274" i="25"/>
  <c r="X275" i="25"/>
  <c r="X276" i="25"/>
  <c r="X277" i="25"/>
  <c r="X278" i="25"/>
  <c r="X279" i="25"/>
  <c r="X280" i="25"/>
  <c r="X281" i="25"/>
  <c r="X282" i="25"/>
  <c r="X283" i="25"/>
  <c r="X284" i="25"/>
  <c r="X285" i="25"/>
  <c r="X286" i="25"/>
  <c r="X287" i="25"/>
  <c r="X288" i="25"/>
  <c r="X289" i="25"/>
  <c r="X290" i="25"/>
  <c r="X106" i="25"/>
  <c r="X110" i="25"/>
  <c r="X114" i="25"/>
  <c r="X118" i="25"/>
  <c r="X122" i="25"/>
  <c r="X126" i="25"/>
  <c r="X130" i="25"/>
  <c r="X134" i="25"/>
  <c r="X138" i="25"/>
  <c r="X142" i="25"/>
  <c r="X146" i="25"/>
  <c r="X150" i="25"/>
  <c r="X154" i="25"/>
  <c r="X158" i="25"/>
  <c r="X162" i="25"/>
  <c r="X166" i="25"/>
  <c r="X170" i="25"/>
  <c r="X173" i="25"/>
  <c r="X177" i="25"/>
  <c r="X181" i="25"/>
  <c r="X185" i="25"/>
  <c r="X189" i="25"/>
  <c r="X194" i="25"/>
  <c r="X197" i="25"/>
  <c r="X201" i="25"/>
  <c r="X205" i="25"/>
  <c r="X210" i="25"/>
  <c r="X214" i="25"/>
  <c r="X219" i="25"/>
  <c r="X107" i="25"/>
  <c r="X111" i="25"/>
  <c r="X115" i="25"/>
  <c r="X119" i="25"/>
  <c r="X123" i="25"/>
  <c r="X127" i="25"/>
  <c r="X131" i="25"/>
  <c r="X135" i="25"/>
  <c r="X139" i="25"/>
  <c r="X143" i="25"/>
  <c r="X147" i="25"/>
  <c r="X151" i="25"/>
  <c r="X155" i="25"/>
  <c r="X159" i="25"/>
  <c r="X163" i="25"/>
  <c r="X167" i="25"/>
  <c r="X171" i="25"/>
  <c r="X175" i="25"/>
  <c r="X179" i="25"/>
  <c r="X183" i="25"/>
  <c r="X187" i="25"/>
  <c r="X191" i="25"/>
  <c r="X195" i="25"/>
  <c r="X199" i="25"/>
  <c r="X203" i="25"/>
  <c r="X207" i="25"/>
  <c r="X211" i="25"/>
  <c r="X215" i="25"/>
  <c r="X218" i="25"/>
  <c r="X105" i="25"/>
  <c r="X109" i="25"/>
  <c r="X113" i="25"/>
  <c r="X117" i="25"/>
  <c r="X121" i="25"/>
  <c r="X125" i="25"/>
  <c r="X129" i="25"/>
  <c r="X133" i="25"/>
  <c r="X137" i="25"/>
  <c r="X141" i="25"/>
  <c r="X145" i="25"/>
  <c r="X149" i="25"/>
  <c r="X153" i="25"/>
  <c r="X157" i="25"/>
  <c r="X161" i="25"/>
  <c r="X165" i="25"/>
  <c r="X169" i="25"/>
  <c r="X174" i="25"/>
  <c r="X178" i="25"/>
  <c r="X182" i="25"/>
  <c r="X186" i="25"/>
  <c r="X190" i="25"/>
  <c r="X193" i="25"/>
  <c r="X198" i="25"/>
  <c r="X202" i="25"/>
  <c r="X206" i="25"/>
  <c r="X209" i="25"/>
  <c r="X213" i="25"/>
  <c r="X220" i="25"/>
  <c r="T228" i="3"/>
  <c r="T268" i="3"/>
  <c r="T131" i="3"/>
  <c r="T197" i="3"/>
  <c r="T123" i="3"/>
  <c r="T237" i="3"/>
  <c r="T163" i="3"/>
  <c r="T277" i="3"/>
  <c r="U163" i="3"/>
  <c r="T175" i="25" s="1"/>
  <c r="T253" i="3"/>
  <c r="U228" i="3"/>
  <c r="T146" i="3"/>
  <c r="T260" i="3"/>
  <c r="T155" i="3"/>
  <c r="T139" i="3"/>
  <c r="T147" i="3"/>
  <c r="T261" i="3"/>
  <c r="T205" i="3"/>
  <c r="U197" i="3"/>
  <c r="T191" i="25" s="1"/>
  <c r="T285" i="3"/>
  <c r="T189" i="3"/>
  <c r="T269" i="3"/>
  <c r="T209" i="3"/>
  <c r="T221" i="3"/>
  <c r="T257" i="3"/>
  <c r="T122" i="3"/>
  <c r="T273" i="3"/>
  <c r="T115" i="3"/>
  <c r="T229" i="3"/>
  <c r="T289" i="3"/>
  <c r="T265" i="3"/>
  <c r="T225" i="3"/>
  <c r="T185" i="3"/>
  <c r="T127" i="3"/>
  <c r="T111" i="3"/>
  <c r="U269" i="3"/>
  <c r="T263" i="25" s="1"/>
  <c r="T202" i="3"/>
  <c r="U147" i="3"/>
  <c r="T159" i="25" s="1"/>
  <c r="T193" i="3"/>
  <c r="T196" i="3"/>
  <c r="T204" i="3"/>
  <c r="T282" i="3"/>
  <c r="T266" i="3"/>
  <c r="T234" i="3"/>
  <c r="T226" i="3"/>
  <c r="T218" i="3"/>
  <c r="T152" i="3"/>
  <c r="T144" i="3"/>
  <c r="T128" i="3"/>
  <c r="T112" i="3"/>
  <c r="T201" i="3"/>
  <c r="T143" i="3"/>
  <c r="U123" i="3"/>
  <c r="U146" i="3"/>
  <c r="T245" i="3"/>
  <c r="U257" i="3"/>
  <c r="T251" i="25" s="1"/>
  <c r="T258" i="3"/>
  <c r="T210" i="3"/>
  <c r="T194" i="3"/>
  <c r="T136" i="3"/>
  <c r="T120" i="3"/>
  <c r="U268" i="3"/>
  <c r="T290" i="3"/>
  <c r="T242" i="3"/>
  <c r="T186" i="3"/>
  <c r="T241" i="3"/>
  <c r="U285" i="3"/>
  <c r="T274" i="3"/>
  <c r="T151" i="3"/>
  <c r="T119" i="3"/>
  <c r="U261" i="3"/>
  <c r="T255" i="25" s="1"/>
  <c r="T114" i="3"/>
  <c r="T249" i="3"/>
  <c r="U284" i="3"/>
  <c r="T284" i="3"/>
  <c r="T276" i="3"/>
  <c r="U276" i="3"/>
  <c r="U252" i="3"/>
  <c r="T252" i="3"/>
  <c r="T244" i="3"/>
  <c r="U244" i="3"/>
  <c r="U236" i="3"/>
  <c r="T236" i="3"/>
  <c r="T220" i="3"/>
  <c r="U220" i="3"/>
  <c r="T220" i="25" s="1"/>
  <c r="U212" i="3"/>
  <c r="T212" i="3"/>
  <c r="T188" i="3"/>
  <c r="U188" i="3"/>
  <c r="T182" i="25" s="1"/>
  <c r="T162" i="3"/>
  <c r="U162" i="3"/>
  <c r="T154" i="3"/>
  <c r="U154" i="3"/>
  <c r="T166" i="25" s="1"/>
  <c r="T138" i="3"/>
  <c r="U138" i="3"/>
  <c r="T130" i="3"/>
  <c r="U130" i="3"/>
  <c r="U242" i="3"/>
  <c r="U241" i="3"/>
  <c r="U196" i="3"/>
  <c r="U151" i="3"/>
  <c r="T250" i="3"/>
  <c r="T233" i="3"/>
  <c r="T213" i="3"/>
  <c r="T160" i="3"/>
  <c r="U277" i="3"/>
  <c r="T271" i="25" s="1"/>
  <c r="U237" i="3"/>
  <c r="T231" i="25" s="1"/>
  <c r="U131" i="3"/>
  <c r="T159" i="3"/>
  <c r="U205" i="3"/>
  <c r="T199" i="25" s="1"/>
  <c r="U204" i="3"/>
  <c r="U274" i="3"/>
  <c r="U260" i="3"/>
  <c r="T281" i="3"/>
  <c r="T217" i="3"/>
  <c r="T135" i="3"/>
  <c r="T283" i="3"/>
  <c r="T275" i="3"/>
  <c r="T267" i="3"/>
  <c r="T259" i="3"/>
  <c r="T251" i="3"/>
  <c r="T243" i="3"/>
  <c r="T227" i="3"/>
  <c r="T219" i="3"/>
  <c r="T211" i="3"/>
  <c r="T203" i="3"/>
  <c r="T195" i="3"/>
  <c r="T187" i="3"/>
  <c r="T161" i="3"/>
  <c r="T145" i="3"/>
  <c r="T137" i="3"/>
  <c r="T129" i="3"/>
  <c r="T121" i="3"/>
  <c r="T113" i="3"/>
  <c r="U281" i="3"/>
  <c r="T275" i="25" s="1"/>
  <c r="U253" i="3"/>
  <c r="T247" i="25" s="1"/>
  <c r="U217" i="3"/>
  <c r="T211" i="25" s="1"/>
  <c r="U189" i="3"/>
  <c r="T183" i="25" s="1"/>
  <c r="U135" i="3"/>
  <c r="T235" i="3"/>
  <c r="T153" i="3"/>
  <c r="U198" i="3"/>
  <c r="T198" i="3"/>
  <c r="U272" i="3"/>
  <c r="T266" i="25" s="1"/>
  <c r="T272" i="3"/>
  <c r="U248" i="3"/>
  <c r="T248" i="3"/>
  <c r="U232" i="3"/>
  <c r="T226" i="25" s="1"/>
  <c r="T232" i="3"/>
  <c r="U208" i="3"/>
  <c r="T202" i="25" s="1"/>
  <c r="T208" i="3"/>
  <c r="U200" i="3"/>
  <c r="T194" i="25" s="1"/>
  <c r="T200" i="3"/>
  <c r="U192" i="3"/>
  <c r="T186" i="25" s="1"/>
  <c r="T192" i="3"/>
  <c r="U184" i="3"/>
  <c r="T178" i="25" s="1"/>
  <c r="T184" i="3"/>
  <c r="U158" i="3"/>
  <c r="T170" i="25" s="1"/>
  <c r="T158" i="3"/>
  <c r="U150" i="3"/>
  <c r="T150" i="3"/>
  <c r="U118" i="3"/>
  <c r="T118" i="3"/>
  <c r="U262" i="3"/>
  <c r="T262" i="3"/>
  <c r="T290" i="25"/>
  <c r="U256" i="3"/>
  <c r="T250" i="25" s="1"/>
  <c r="T256" i="3"/>
  <c r="U216" i="3"/>
  <c r="T210" i="25" s="1"/>
  <c r="T216" i="3"/>
  <c r="U126" i="3"/>
  <c r="T126" i="25" s="1"/>
  <c r="T126" i="3"/>
  <c r="U280" i="3"/>
  <c r="T280" i="3"/>
  <c r="U134" i="3"/>
  <c r="T134" i="3"/>
  <c r="U116" i="3"/>
  <c r="T128" i="25" s="1"/>
  <c r="T116" i="3"/>
  <c r="U288" i="3"/>
  <c r="T288" i="3"/>
  <c r="U264" i="3"/>
  <c r="T258" i="25" s="1"/>
  <c r="T264" i="3"/>
  <c r="U240" i="3"/>
  <c r="T234" i="25" s="1"/>
  <c r="T240" i="3"/>
  <c r="U224" i="3"/>
  <c r="T218" i="25" s="1"/>
  <c r="T224" i="3"/>
  <c r="U142" i="3"/>
  <c r="T142" i="3"/>
  <c r="U270" i="3"/>
  <c r="T270" i="3"/>
  <c r="U206" i="3"/>
  <c r="T206" i="3"/>
  <c r="U124" i="3"/>
  <c r="T136" i="25" s="1"/>
  <c r="T124" i="3"/>
  <c r="U278" i="3"/>
  <c r="T278" i="3"/>
  <c r="U214" i="3"/>
  <c r="T214" i="3"/>
  <c r="U132" i="3"/>
  <c r="T144" i="25" s="1"/>
  <c r="T132" i="3"/>
  <c r="U286" i="3"/>
  <c r="T286" i="3"/>
  <c r="U222" i="3"/>
  <c r="T222" i="3"/>
  <c r="U140" i="3"/>
  <c r="T152" i="25" s="1"/>
  <c r="T140" i="3"/>
  <c r="U230" i="3"/>
  <c r="T230" i="3"/>
  <c r="U148" i="3"/>
  <c r="T160" i="25" s="1"/>
  <c r="T148" i="3"/>
  <c r="U238" i="3"/>
  <c r="T238" i="3"/>
  <c r="U156" i="3"/>
  <c r="T156" i="3"/>
  <c r="U246" i="3"/>
  <c r="T246" i="3"/>
  <c r="U164" i="3"/>
  <c r="T176" i="25" s="1"/>
  <c r="T164" i="3"/>
  <c r="U254" i="3"/>
  <c r="T254" i="3"/>
  <c r="U190" i="3"/>
  <c r="T190" i="3"/>
  <c r="T287" i="3"/>
  <c r="T279" i="3"/>
  <c r="T271" i="3"/>
  <c r="T263" i="3"/>
  <c r="T255" i="3"/>
  <c r="T247" i="3"/>
  <c r="T239" i="3"/>
  <c r="T231" i="3"/>
  <c r="T223" i="3"/>
  <c r="T215" i="3"/>
  <c r="T207" i="3"/>
  <c r="T199" i="3"/>
  <c r="T191" i="3"/>
  <c r="T183" i="3"/>
  <c r="T157" i="3"/>
  <c r="T149" i="3"/>
  <c r="T141" i="3"/>
  <c r="T133" i="3"/>
  <c r="T125" i="3"/>
  <c r="T117" i="3"/>
  <c r="T119" i="25"/>
  <c r="T122" i="25"/>
  <c r="T120" i="25"/>
  <c r="T117" i="25"/>
  <c r="T121" i="25"/>
  <c r="T113" i="25"/>
  <c r="T114" i="25"/>
  <c r="T111" i="25"/>
  <c r="T115" i="25"/>
  <c r="U105" i="3"/>
  <c r="T105" i="25" s="1"/>
  <c r="T105" i="3"/>
  <c r="T109" i="3"/>
  <c r="U109" i="3"/>
  <c r="T109" i="25" s="1"/>
  <c r="U108" i="3"/>
  <c r="T108" i="25" s="1"/>
  <c r="T108" i="3"/>
  <c r="U107" i="3"/>
  <c r="T107" i="3"/>
  <c r="T110" i="3"/>
  <c r="U110" i="3"/>
  <c r="T110" i="25" s="1"/>
  <c r="T106" i="3"/>
  <c r="T104" i="3"/>
  <c r="U104" i="3"/>
  <c r="T104" i="25" s="1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C10" i="3"/>
  <c r="C11" i="3"/>
  <c r="C12" i="3"/>
  <c r="C13" i="3"/>
  <c r="C14" i="3"/>
  <c r="C9" i="3"/>
  <c r="B2" i="26"/>
  <c r="C2" i="26"/>
  <c r="D2" i="26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I8" i="3"/>
  <c r="T282" i="25" l="1"/>
  <c r="T235" i="25"/>
  <c r="T174" i="25"/>
  <c r="T228" i="25"/>
  <c r="T143" i="25"/>
  <c r="T107" i="25"/>
  <c r="C198" i="25"/>
  <c r="AE198" i="25" s="1"/>
  <c r="T168" i="25"/>
  <c r="C127" i="25"/>
  <c r="C15" i="3"/>
  <c r="C20" i="3"/>
  <c r="C203" i="3"/>
  <c r="C204" i="3"/>
  <c r="C19" i="3"/>
  <c r="C130" i="3"/>
  <c r="C133" i="3"/>
  <c r="C205" i="3"/>
  <c r="C17" i="3"/>
  <c r="C18" i="3"/>
  <c r="C16" i="3"/>
  <c r="C131" i="3"/>
  <c r="C132" i="3"/>
  <c r="C134" i="3"/>
  <c r="C206" i="3"/>
  <c r="Y7" i="22"/>
  <c r="AE125" i="25"/>
  <c r="AP125" i="25" s="1"/>
  <c r="AT125" i="25" s="1"/>
  <c r="AV125" i="25" s="1"/>
  <c r="AE128" i="25"/>
  <c r="AP128" i="25" s="1"/>
  <c r="AT128" i="25" s="1"/>
  <c r="AV128" i="25" s="1"/>
  <c r="AE124" i="25"/>
  <c r="AP124" i="25" s="1"/>
  <c r="AE126" i="25"/>
  <c r="AP126" i="25" s="1"/>
  <c r="AT126" i="25" s="1"/>
  <c r="AV126" i="25" s="1"/>
  <c r="T264" i="25"/>
  <c r="T236" i="25"/>
  <c r="T147" i="25"/>
  <c r="T154" i="25"/>
  <c r="T268" i="25"/>
  <c r="T146" i="25"/>
  <c r="T272" i="25"/>
  <c r="T200" i="25"/>
  <c r="T232" i="25"/>
  <c r="T198" i="25"/>
  <c r="T184" i="25"/>
  <c r="T230" i="25"/>
  <c r="T278" i="25"/>
  <c r="T162" i="25"/>
  <c r="T288" i="25"/>
  <c r="T150" i="25"/>
  <c r="T192" i="25"/>
  <c r="T131" i="25"/>
  <c r="T189" i="25"/>
  <c r="T277" i="25"/>
  <c r="T240" i="25"/>
  <c r="T261" i="25"/>
  <c r="T280" i="25"/>
  <c r="T254" i="25"/>
  <c r="T238" i="25"/>
  <c r="T241" i="25"/>
  <c r="T253" i="25"/>
  <c r="T248" i="25"/>
  <c r="T208" i="25"/>
  <c r="T274" i="25"/>
  <c r="T163" i="25"/>
  <c r="T206" i="25"/>
  <c r="T246" i="25"/>
  <c r="T188" i="25"/>
  <c r="T132" i="25"/>
  <c r="T124" i="25"/>
  <c r="T279" i="25"/>
  <c r="T285" i="25"/>
  <c r="T134" i="25"/>
  <c r="T256" i="25"/>
  <c r="T190" i="25"/>
  <c r="T214" i="25"/>
  <c r="T270" i="25"/>
  <c r="T262" i="25"/>
  <c r="T158" i="25"/>
  <c r="T237" i="25"/>
  <c r="T252" i="25"/>
  <c r="T281" i="25"/>
  <c r="T205" i="25"/>
  <c r="T212" i="25"/>
  <c r="T216" i="25"/>
  <c r="T138" i="25"/>
  <c r="T135" i="25"/>
  <c r="T260" i="25"/>
  <c r="T156" i="25"/>
  <c r="T204" i="25"/>
  <c r="T196" i="25"/>
  <c r="T116" i="25"/>
  <c r="T130" i="25"/>
  <c r="T118" i="25"/>
  <c r="T242" i="25"/>
  <c r="T286" i="25"/>
  <c r="T164" i="25"/>
  <c r="T123" i="25"/>
  <c r="T276" i="25"/>
  <c r="T284" i="25"/>
  <c r="T197" i="25"/>
  <c r="T257" i="25"/>
  <c r="T140" i="25"/>
  <c r="T244" i="25"/>
  <c r="T224" i="25"/>
  <c r="T142" i="25"/>
  <c r="T222" i="25"/>
  <c r="T269" i="25"/>
  <c r="T217" i="25"/>
  <c r="T151" i="25"/>
  <c r="T148" i="25"/>
  <c r="J7" i="22"/>
  <c r="H7" i="22"/>
  <c r="K7" i="22"/>
  <c r="I7" i="22"/>
  <c r="K15" i="22"/>
  <c r="J15" i="22"/>
  <c r="I15" i="22"/>
  <c r="H15" i="22"/>
  <c r="AE185" i="25"/>
  <c r="AE192" i="25"/>
  <c r="AE188" i="25"/>
  <c r="AE199" i="25"/>
  <c r="AE184" i="25"/>
  <c r="AE191" i="25"/>
  <c r="AE183" i="25"/>
  <c r="AE197" i="25"/>
  <c r="AE194" i="25"/>
  <c r="AE187" i="25"/>
  <c r="AE200" i="25"/>
  <c r="AE190" i="25"/>
  <c r="AE186" i="25"/>
  <c r="AE193" i="25"/>
  <c r="E2" i="26"/>
  <c r="S10" i="3"/>
  <c r="S9" i="3"/>
  <c r="AT124" i="25" l="1"/>
  <c r="AV124" i="25" s="1"/>
  <c r="AE127" i="25"/>
  <c r="AP127" i="25" s="1"/>
  <c r="AT127" i="25" s="1"/>
  <c r="AV127" i="25" s="1"/>
  <c r="C22" i="3"/>
  <c r="C139" i="3"/>
  <c r="C133" i="25"/>
  <c r="C209" i="3"/>
  <c r="C203" i="25"/>
  <c r="C24" i="3"/>
  <c r="C136" i="3"/>
  <c r="C130" i="25"/>
  <c r="C212" i="3"/>
  <c r="C206" i="25"/>
  <c r="C138" i="3"/>
  <c r="C132" i="25"/>
  <c r="C23" i="3"/>
  <c r="C25" i="3"/>
  <c r="C26" i="3"/>
  <c r="C134" i="25"/>
  <c r="C137" i="3"/>
  <c r="C131" i="25"/>
  <c r="C211" i="3"/>
  <c r="C205" i="25"/>
  <c r="C210" i="3"/>
  <c r="C204" i="25"/>
  <c r="C21" i="3"/>
  <c r="L7" i="22"/>
  <c r="L15" i="22"/>
  <c r="AP192" i="25"/>
  <c r="AT192" i="25" s="1"/>
  <c r="AV192" i="25" s="1"/>
  <c r="AP186" i="25"/>
  <c r="AT186" i="25" s="1"/>
  <c r="AV186" i="25" s="1"/>
  <c r="AP187" i="25"/>
  <c r="AT187" i="25" s="1"/>
  <c r="AV187" i="25" s="1"/>
  <c r="AP191" i="25"/>
  <c r="AT191" i="25" s="1"/>
  <c r="AV191" i="25" s="1"/>
  <c r="AP200" i="25"/>
  <c r="AT200" i="25" s="1"/>
  <c r="AV200" i="25" s="1"/>
  <c r="AP190" i="25"/>
  <c r="AT190" i="25" s="1"/>
  <c r="AV190" i="25" s="1"/>
  <c r="AP194" i="25"/>
  <c r="AT194" i="25" s="1"/>
  <c r="AV194" i="25" s="1"/>
  <c r="AP198" i="25"/>
  <c r="AT198" i="25" s="1"/>
  <c r="AV198" i="25" s="1"/>
  <c r="AP188" i="25"/>
  <c r="AT188" i="25" s="1"/>
  <c r="AV188" i="25" s="1"/>
  <c r="AP185" i="25"/>
  <c r="AT185" i="25" s="1"/>
  <c r="AV185" i="25" s="1"/>
  <c r="AP193" i="25"/>
  <c r="AT193" i="25" s="1"/>
  <c r="AV193" i="25" s="1"/>
  <c r="AP197" i="25"/>
  <c r="AT197" i="25" s="1"/>
  <c r="AV197" i="25" s="1"/>
  <c r="AP183" i="25"/>
  <c r="AT183" i="25" s="1"/>
  <c r="AV183" i="25" s="1"/>
  <c r="AP199" i="25"/>
  <c r="AT199" i="25" s="1"/>
  <c r="AV199" i="25" s="1"/>
  <c r="AP184" i="25"/>
  <c r="AT184" i="25" s="1"/>
  <c r="AV184" i="25" s="1"/>
  <c r="C121" i="25"/>
  <c r="C115" i="25"/>
  <c r="C111" i="25"/>
  <c r="C118" i="25"/>
  <c r="C112" i="25"/>
  <c r="C120" i="25"/>
  <c r="C114" i="25"/>
  <c r="C119" i="25"/>
  <c r="C113" i="25"/>
  <c r="B3" i="26"/>
  <c r="C3" i="26"/>
  <c r="D3" i="26"/>
  <c r="B4" i="26"/>
  <c r="C4" i="26"/>
  <c r="D4" i="26"/>
  <c r="B5" i="26"/>
  <c r="C5" i="26"/>
  <c r="D5" i="26"/>
  <c r="AE131" i="25" l="1"/>
  <c r="AE133" i="25"/>
  <c r="C27" i="3"/>
  <c r="C218" i="3"/>
  <c r="C212" i="25"/>
  <c r="C30" i="3"/>
  <c r="C30" i="25" s="1"/>
  <c r="AE204" i="25"/>
  <c r="C143" i="3"/>
  <c r="C137" i="25"/>
  <c r="C145" i="3"/>
  <c r="C139" i="25"/>
  <c r="AE134" i="25"/>
  <c r="C29" i="3"/>
  <c r="C29" i="25" s="1"/>
  <c r="C216" i="3"/>
  <c r="C210" i="25"/>
  <c r="AE132" i="25"/>
  <c r="C28" i="3"/>
  <c r="C28" i="25" s="1"/>
  <c r="AE205" i="25"/>
  <c r="AP205" i="25" s="1"/>
  <c r="AT205" i="25" s="1"/>
  <c r="AV205" i="25" s="1"/>
  <c r="AE130" i="25"/>
  <c r="AE203" i="25"/>
  <c r="C144" i="3"/>
  <c r="C138" i="25"/>
  <c r="C217" i="3"/>
  <c r="C211" i="25"/>
  <c r="C32" i="3"/>
  <c r="C32" i="25" s="1"/>
  <c r="AE206" i="25"/>
  <c r="AP206" i="25" s="1"/>
  <c r="AT206" i="25" s="1"/>
  <c r="AV206" i="25" s="1"/>
  <c r="C136" i="25"/>
  <c r="C209" i="25"/>
  <c r="V190" i="3"/>
  <c r="W190" i="3" s="1"/>
  <c r="V191" i="3"/>
  <c r="W191" i="3" s="1"/>
  <c r="V192" i="3"/>
  <c r="X192" i="3" s="1"/>
  <c r="V194" i="3"/>
  <c r="X194" i="3" s="1"/>
  <c r="V193" i="3"/>
  <c r="X193" i="3" s="1"/>
  <c r="V198" i="3"/>
  <c r="X198" i="3" s="1"/>
  <c r="V186" i="3"/>
  <c r="X186" i="3" s="1"/>
  <c r="V200" i="3"/>
  <c r="X200" i="3" s="1"/>
  <c r="V188" i="3"/>
  <c r="X188" i="3" s="1"/>
  <c r="V185" i="3"/>
  <c r="X185" i="3" s="1"/>
  <c r="V183" i="3"/>
  <c r="X183" i="3" s="1"/>
  <c r="V187" i="3"/>
  <c r="X187" i="3" s="1"/>
  <c r="V199" i="3"/>
  <c r="X199" i="3" s="1"/>
  <c r="V184" i="3"/>
  <c r="X184" i="3" s="1"/>
  <c r="V197" i="3"/>
  <c r="W197" i="3" s="1"/>
  <c r="AE111" i="25"/>
  <c r="AE118" i="25"/>
  <c r="AE113" i="25"/>
  <c r="AE119" i="25"/>
  <c r="AE115" i="25"/>
  <c r="AE114" i="25"/>
  <c r="AE121" i="25"/>
  <c r="AE120" i="25"/>
  <c r="AE112" i="25"/>
  <c r="C122" i="25"/>
  <c r="C116" i="25"/>
  <c r="E4" i="26"/>
  <c r="E5" i="26"/>
  <c r="E3" i="26"/>
  <c r="E103" i="25"/>
  <c r="AB103" i="25" s="1"/>
  <c r="D103" i="25"/>
  <c r="B103" i="25"/>
  <c r="E102" i="25"/>
  <c r="AK102" i="25" s="1"/>
  <c r="D102" i="25"/>
  <c r="B102" i="25"/>
  <c r="E101" i="25"/>
  <c r="D101" i="25"/>
  <c r="B101" i="25"/>
  <c r="E100" i="25"/>
  <c r="AM100" i="25" s="1"/>
  <c r="D100" i="25"/>
  <c r="B100" i="25"/>
  <c r="E99" i="25"/>
  <c r="AL99" i="25" s="1"/>
  <c r="D99" i="25"/>
  <c r="B99" i="25"/>
  <c r="E98" i="25"/>
  <c r="D98" i="25"/>
  <c r="B98" i="25"/>
  <c r="E97" i="25"/>
  <c r="AB97" i="25" s="1"/>
  <c r="D97" i="25"/>
  <c r="B97" i="25"/>
  <c r="E96" i="25"/>
  <c r="D96" i="25"/>
  <c r="B96" i="25"/>
  <c r="E95" i="25"/>
  <c r="AC95" i="25" s="1"/>
  <c r="D95" i="25"/>
  <c r="B95" i="25"/>
  <c r="E94" i="25"/>
  <c r="AM94" i="25" s="1"/>
  <c r="D94" i="25"/>
  <c r="B94" i="25"/>
  <c r="E93" i="25"/>
  <c r="AL93" i="25" s="1"/>
  <c r="D93" i="25"/>
  <c r="B93" i="25"/>
  <c r="E92" i="25"/>
  <c r="D92" i="25"/>
  <c r="B92" i="25"/>
  <c r="E91" i="25"/>
  <c r="AB91" i="25" s="1"/>
  <c r="D91" i="25"/>
  <c r="B91" i="25"/>
  <c r="E90" i="25"/>
  <c r="AK90" i="25" s="1"/>
  <c r="D90" i="25"/>
  <c r="B90" i="25"/>
  <c r="E89" i="25"/>
  <c r="D89" i="25"/>
  <c r="B89" i="25"/>
  <c r="E88" i="25"/>
  <c r="AM88" i="25" s="1"/>
  <c r="D88" i="25"/>
  <c r="B88" i="25"/>
  <c r="E87" i="25"/>
  <c r="AL87" i="25" s="1"/>
  <c r="D87" i="25"/>
  <c r="B87" i="25"/>
  <c r="E86" i="25"/>
  <c r="D86" i="25"/>
  <c r="B86" i="25"/>
  <c r="E85" i="25"/>
  <c r="AB85" i="25" s="1"/>
  <c r="D85" i="25"/>
  <c r="B85" i="25"/>
  <c r="E84" i="25"/>
  <c r="AK84" i="25" s="1"/>
  <c r="D84" i="25"/>
  <c r="B84" i="25"/>
  <c r="E83" i="25"/>
  <c r="D83" i="25"/>
  <c r="B83" i="25"/>
  <c r="E82" i="25"/>
  <c r="AM82" i="25" s="1"/>
  <c r="D82" i="25"/>
  <c r="B82" i="25"/>
  <c r="E81" i="25"/>
  <c r="AL81" i="25" s="1"/>
  <c r="D81" i="25"/>
  <c r="B81" i="25"/>
  <c r="E80" i="25"/>
  <c r="D80" i="25"/>
  <c r="B80" i="25"/>
  <c r="E79" i="25"/>
  <c r="AB79" i="25" s="1"/>
  <c r="D79" i="25"/>
  <c r="B79" i="25"/>
  <c r="E78" i="25"/>
  <c r="AK78" i="25" s="1"/>
  <c r="D78" i="25"/>
  <c r="B78" i="25"/>
  <c r="E77" i="25"/>
  <c r="D77" i="25"/>
  <c r="B77" i="25"/>
  <c r="E76" i="25"/>
  <c r="AM76" i="25" s="1"/>
  <c r="D76" i="25"/>
  <c r="B76" i="25"/>
  <c r="E75" i="25"/>
  <c r="AL75" i="25" s="1"/>
  <c r="D75" i="25"/>
  <c r="B75" i="25"/>
  <c r="E74" i="25"/>
  <c r="D74" i="25"/>
  <c r="B74" i="25"/>
  <c r="E73" i="25"/>
  <c r="AB73" i="25" s="1"/>
  <c r="D73" i="25"/>
  <c r="B73" i="25"/>
  <c r="E72" i="25"/>
  <c r="D72" i="25"/>
  <c r="B72" i="25"/>
  <c r="E71" i="25"/>
  <c r="AC71" i="25" s="1"/>
  <c r="D71" i="25"/>
  <c r="B71" i="25"/>
  <c r="E70" i="25"/>
  <c r="AM70" i="25" s="1"/>
  <c r="D70" i="25"/>
  <c r="B70" i="25"/>
  <c r="E69" i="25"/>
  <c r="AL69" i="25" s="1"/>
  <c r="D69" i="25"/>
  <c r="B69" i="25"/>
  <c r="E68" i="25"/>
  <c r="D68" i="25"/>
  <c r="B68" i="25"/>
  <c r="E67" i="25"/>
  <c r="AB67" i="25" s="1"/>
  <c r="D67" i="25"/>
  <c r="B67" i="25"/>
  <c r="E66" i="25"/>
  <c r="AK66" i="25" s="1"/>
  <c r="D66" i="25"/>
  <c r="B66" i="25"/>
  <c r="E65" i="25"/>
  <c r="D65" i="25"/>
  <c r="B65" i="25"/>
  <c r="E64" i="25"/>
  <c r="AM64" i="25" s="1"/>
  <c r="D64" i="25"/>
  <c r="B64" i="25"/>
  <c r="E63" i="25"/>
  <c r="AL63" i="25" s="1"/>
  <c r="D63" i="25"/>
  <c r="B63" i="25"/>
  <c r="E62" i="25"/>
  <c r="D62" i="25"/>
  <c r="B62" i="25"/>
  <c r="E61" i="25"/>
  <c r="AB61" i="25" s="1"/>
  <c r="D61" i="25"/>
  <c r="B61" i="25"/>
  <c r="E60" i="25"/>
  <c r="D60" i="25"/>
  <c r="B60" i="25"/>
  <c r="E59" i="25"/>
  <c r="AC59" i="25" s="1"/>
  <c r="D59" i="25"/>
  <c r="B59" i="25"/>
  <c r="E58" i="25"/>
  <c r="AM58" i="25" s="1"/>
  <c r="D58" i="25"/>
  <c r="B58" i="25"/>
  <c r="E57" i="25"/>
  <c r="AL57" i="25" s="1"/>
  <c r="D57" i="25"/>
  <c r="B57" i="25"/>
  <c r="E56" i="25"/>
  <c r="D56" i="25"/>
  <c r="B56" i="25"/>
  <c r="E55" i="25"/>
  <c r="AB55" i="25" s="1"/>
  <c r="D55" i="25"/>
  <c r="B55" i="25"/>
  <c r="E54" i="25"/>
  <c r="D54" i="25"/>
  <c r="B54" i="25"/>
  <c r="E53" i="25"/>
  <c r="AC53" i="25" s="1"/>
  <c r="D53" i="25"/>
  <c r="B53" i="25"/>
  <c r="E52" i="25"/>
  <c r="AM52" i="25" s="1"/>
  <c r="D52" i="25"/>
  <c r="B52" i="25"/>
  <c r="E51" i="25"/>
  <c r="AL51" i="25" s="1"/>
  <c r="D51" i="25"/>
  <c r="B51" i="25"/>
  <c r="E50" i="25"/>
  <c r="D50" i="25"/>
  <c r="B50" i="25"/>
  <c r="E49" i="25"/>
  <c r="AB49" i="25" s="1"/>
  <c r="D49" i="25"/>
  <c r="B49" i="25"/>
  <c r="E48" i="25"/>
  <c r="AK48" i="25" s="1"/>
  <c r="D48" i="25"/>
  <c r="B48" i="25"/>
  <c r="E47" i="25"/>
  <c r="D47" i="25"/>
  <c r="B47" i="25"/>
  <c r="E46" i="25"/>
  <c r="AM46" i="25" s="1"/>
  <c r="D46" i="25"/>
  <c r="B46" i="25"/>
  <c r="E45" i="25"/>
  <c r="AL45" i="25" s="1"/>
  <c r="D45" i="25"/>
  <c r="B45" i="25"/>
  <c r="E44" i="25"/>
  <c r="D44" i="25"/>
  <c r="B44" i="25"/>
  <c r="E43" i="25"/>
  <c r="AB43" i="25" s="1"/>
  <c r="D43" i="25"/>
  <c r="B43" i="25"/>
  <c r="E42" i="25"/>
  <c r="AK42" i="25" s="1"/>
  <c r="D42" i="25"/>
  <c r="B42" i="25"/>
  <c r="E41" i="25"/>
  <c r="D41" i="25"/>
  <c r="B41" i="25"/>
  <c r="E40" i="25"/>
  <c r="AM40" i="25" s="1"/>
  <c r="D40" i="25"/>
  <c r="B40" i="25"/>
  <c r="E39" i="25"/>
  <c r="AL39" i="25" s="1"/>
  <c r="D39" i="25"/>
  <c r="B39" i="25"/>
  <c r="E38" i="25"/>
  <c r="D38" i="25"/>
  <c r="B38" i="25"/>
  <c r="E37" i="25"/>
  <c r="AB37" i="25" s="1"/>
  <c r="D37" i="25"/>
  <c r="B37" i="25"/>
  <c r="E36" i="25"/>
  <c r="D36" i="25"/>
  <c r="B36" i="25"/>
  <c r="E35" i="25"/>
  <c r="AC35" i="25" s="1"/>
  <c r="D35" i="25"/>
  <c r="B35" i="25"/>
  <c r="E34" i="25"/>
  <c r="AM34" i="25" s="1"/>
  <c r="D34" i="25"/>
  <c r="B34" i="25"/>
  <c r="E33" i="25"/>
  <c r="AL33" i="25" s="1"/>
  <c r="D33" i="25"/>
  <c r="B33" i="25"/>
  <c r="E32" i="25"/>
  <c r="D32" i="25"/>
  <c r="B32" i="25"/>
  <c r="E31" i="25"/>
  <c r="AB31" i="25" s="1"/>
  <c r="D31" i="25"/>
  <c r="B31" i="25"/>
  <c r="E30" i="25"/>
  <c r="AK30" i="25" s="1"/>
  <c r="D30" i="25"/>
  <c r="B30" i="25"/>
  <c r="E29" i="25"/>
  <c r="D29" i="25"/>
  <c r="B29" i="25"/>
  <c r="E28" i="25"/>
  <c r="AM28" i="25" s="1"/>
  <c r="D28" i="25"/>
  <c r="B28" i="25"/>
  <c r="E27" i="25"/>
  <c r="AL27" i="25" s="1"/>
  <c r="D27" i="25"/>
  <c r="B27" i="25"/>
  <c r="E26" i="25"/>
  <c r="D26" i="25"/>
  <c r="C26" i="25"/>
  <c r="B26" i="25"/>
  <c r="E25" i="25"/>
  <c r="AB25" i="25" s="1"/>
  <c r="D25" i="25"/>
  <c r="C25" i="25"/>
  <c r="B25" i="25"/>
  <c r="E24" i="25"/>
  <c r="D24" i="25"/>
  <c r="C24" i="25"/>
  <c r="B24" i="25"/>
  <c r="E23" i="25"/>
  <c r="AC23" i="25" s="1"/>
  <c r="D23" i="25"/>
  <c r="C23" i="25"/>
  <c r="B23" i="25"/>
  <c r="E22" i="25"/>
  <c r="AM22" i="25" s="1"/>
  <c r="D22" i="25"/>
  <c r="C22" i="25"/>
  <c r="B22" i="25"/>
  <c r="E21" i="25"/>
  <c r="AL21" i="25" s="1"/>
  <c r="D21" i="25"/>
  <c r="C21" i="25"/>
  <c r="B21" i="25"/>
  <c r="E20" i="25"/>
  <c r="D20" i="25"/>
  <c r="C20" i="25"/>
  <c r="B20" i="25"/>
  <c r="E19" i="25"/>
  <c r="AB19" i="25" s="1"/>
  <c r="D19" i="25"/>
  <c r="C19" i="25"/>
  <c r="B19" i="25"/>
  <c r="E18" i="25"/>
  <c r="AK18" i="25" s="1"/>
  <c r="D18" i="25"/>
  <c r="C18" i="25"/>
  <c r="B18" i="25"/>
  <c r="E17" i="25"/>
  <c r="D17" i="25"/>
  <c r="C17" i="25"/>
  <c r="B17" i="25"/>
  <c r="E16" i="25"/>
  <c r="AM16" i="25" s="1"/>
  <c r="D16" i="25"/>
  <c r="C16" i="25"/>
  <c r="B16" i="25"/>
  <c r="E15" i="25"/>
  <c r="AL15" i="25" s="1"/>
  <c r="D15" i="25"/>
  <c r="C15" i="25"/>
  <c r="B15" i="25"/>
  <c r="E14" i="25"/>
  <c r="D14" i="25"/>
  <c r="C14" i="25"/>
  <c r="B14" i="25"/>
  <c r="E13" i="25"/>
  <c r="AB13" i="25" s="1"/>
  <c r="D13" i="25"/>
  <c r="C13" i="25"/>
  <c r="B13" i="25"/>
  <c r="E12" i="25"/>
  <c r="D12" i="25"/>
  <c r="C12" i="25"/>
  <c r="B12" i="25"/>
  <c r="E11" i="25"/>
  <c r="AC11" i="25" s="1"/>
  <c r="D11" i="25"/>
  <c r="C11" i="25"/>
  <c r="B11" i="25"/>
  <c r="E10" i="25"/>
  <c r="AM10" i="25" s="1"/>
  <c r="D10" i="25"/>
  <c r="C10" i="25"/>
  <c r="B10" i="25"/>
  <c r="E9" i="25"/>
  <c r="AL9" i="25" s="1"/>
  <c r="D9" i="25"/>
  <c r="C9" i="25"/>
  <c r="B9" i="25"/>
  <c r="E8" i="25"/>
  <c r="D8" i="25"/>
  <c r="C8" i="25"/>
  <c r="B8" i="25"/>
  <c r="E7" i="25"/>
  <c r="AB7" i="25" s="1"/>
  <c r="D7" i="25"/>
  <c r="C7" i="25"/>
  <c r="B7" i="25"/>
  <c r="E6" i="25"/>
  <c r="AL6" i="25" s="1"/>
  <c r="D6" i="25"/>
  <c r="C6" i="25"/>
  <c r="B6" i="25"/>
  <c r="E5" i="25"/>
  <c r="AC5" i="25" s="1"/>
  <c r="D5" i="25"/>
  <c r="C5" i="25"/>
  <c r="B5" i="25"/>
  <c r="E4" i="25"/>
  <c r="AM4" i="25" s="1"/>
  <c r="D4" i="25"/>
  <c r="C4" i="25"/>
  <c r="B4" i="25"/>
  <c r="F3" i="25"/>
  <c r="Y3" i="25" s="1"/>
  <c r="F4" i="25"/>
  <c r="Y4" i="25" s="1"/>
  <c r="F5" i="25"/>
  <c r="Y5" i="25" s="1"/>
  <c r="F6" i="25"/>
  <c r="Y6" i="25" s="1"/>
  <c r="F7" i="25"/>
  <c r="Y7" i="25" s="1"/>
  <c r="F8" i="25"/>
  <c r="Y8" i="25" s="1"/>
  <c r="F9" i="25"/>
  <c r="Y9" i="25" s="1"/>
  <c r="F10" i="25"/>
  <c r="Y10" i="25" s="1"/>
  <c r="F11" i="25"/>
  <c r="Y11" i="25" s="1"/>
  <c r="F12" i="25"/>
  <c r="Y12" i="25" s="1"/>
  <c r="F13" i="25"/>
  <c r="Y13" i="25" s="1"/>
  <c r="F14" i="25"/>
  <c r="Y14" i="25" s="1"/>
  <c r="F15" i="25"/>
  <c r="Y15" i="25" s="1"/>
  <c r="F16" i="25"/>
  <c r="Y16" i="25" s="1"/>
  <c r="F17" i="25"/>
  <c r="Y17" i="25" s="1"/>
  <c r="F18" i="25"/>
  <c r="Y18" i="25" s="1"/>
  <c r="F19" i="25"/>
  <c r="Y19" i="25" s="1"/>
  <c r="F20" i="25"/>
  <c r="Y20" i="25" s="1"/>
  <c r="F21" i="25"/>
  <c r="Y21" i="25" s="1"/>
  <c r="F22" i="25"/>
  <c r="Y22" i="25" s="1"/>
  <c r="F23" i="25"/>
  <c r="Y23" i="25" s="1"/>
  <c r="F24" i="25"/>
  <c r="Y24" i="25" s="1"/>
  <c r="F25" i="25"/>
  <c r="Y25" i="25" s="1"/>
  <c r="F26" i="25"/>
  <c r="Y26" i="25" s="1"/>
  <c r="F27" i="25"/>
  <c r="Y27" i="25" s="1"/>
  <c r="F28" i="25"/>
  <c r="Y28" i="25" s="1"/>
  <c r="F29" i="25"/>
  <c r="Y29" i="25" s="1"/>
  <c r="F30" i="25"/>
  <c r="Y30" i="25" s="1"/>
  <c r="F31" i="25"/>
  <c r="Y31" i="25" s="1"/>
  <c r="F32" i="25"/>
  <c r="Y32" i="25" s="1"/>
  <c r="F33" i="25"/>
  <c r="Y33" i="25" s="1"/>
  <c r="F34" i="25"/>
  <c r="Y34" i="25" s="1"/>
  <c r="F35" i="25"/>
  <c r="Y35" i="25" s="1"/>
  <c r="F36" i="25"/>
  <c r="Y36" i="25" s="1"/>
  <c r="F37" i="25"/>
  <c r="Y37" i="25" s="1"/>
  <c r="F38" i="25"/>
  <c r="Y38" i="25" s="1"/>
  <c r="F39" i="25"/>
  <c r="Y39" i="25" s="1"/>
  <c r="F40" i="25"/>
  <c r="Y40" i="25" s="1"/>
  <c r="F41" i="25"/>
  <c r="Y41" i="25" s="1"/>
  <c r="F42" i="25"/>
  <c r="Y42" i="25" s="1"/>
  <c r="F43" i="25"/>
  <c r="Y43" i="25" s="1"/>
  <c r="F44" i="25"/>
  <c r="Y44" i="25" s="1"/>
  <c r="F45" i="25"/>
  <c r="Y45" i="25" s="1"/>
  <c r="F46" i="25"/>
  <c r="Y46" i="25" s="1"/>
  <c r="F47" i="25"/>
  <c r="Y47" i="25" s="1"/>
  <c r="F48" i="25"/>
  <c r="Y48" i="25" s="1"/>
  <c r="F49" i="25"/>
  <c r="Y49" i="25" s="1"/>
  <c r="F50" i="25"/>
  <c r="Y50" i="25" s="1"/>
  <c r="F51" i="25"/>
  <c r="Y51" i="25" s="1"/>
  <c r="F52" i="25"/>
  <c r="Y52" i="25" s="1"/>
  <c r="F53" i="25"/>
  <c r="Y53" i="25" s="1"/>
  <c r="F54" i="25"/>
  <c r="Y54" i="25" s="1"/>
  <c r="F55" i="25"/>
  <c r="Y55" i="25" s="1"/>
  <c r="F56" i="25"/>
  <c r="Y56" i="25" s="1"/>
  <c r="F57" i="25"/>
  <c r="Y57" i="25" s="1"/>
  <c r="F58" i="25"/>
  <c r="Y58" i="25" s="1"/>
  <c r="F59" i="25"/>
  <c r="Y59" i="25" s="1"/>
  <c r="F60" i="25"/>
  <c r="Y60" i="25" s="1"/>
  <c r="F61" i="25"/>
  <c r="Y61" i="25" s="1"/>
  <c r="F62" i="25"/>
  <c r="Y62" i="25" s="1"/>
  <c r="F63" i="25"/>
  <c r="Y63" i="25" s="1"/>
  <c r="F64" i="25"/>
  <c r="Y64" i="25" s="1"/>
  <c r="F65" i="25"/>
  <c r="Y65" i="25" s="1"/>
  <c r="F66" i="25"/>
  <c r="Y66" i="25" s="1"/>
  <c r="F67" i="25"/>
  <c r="Y67" i="25" s="1"/>
  <c r="F68" i="25"/>
  <c r="Y68" i="25" s="1"/>
  <c r="F69" i="25"/>
  <c r="Y69" i="25" s="1"/>
  <c r="F70" i="25"/>
  <c r="Y70" i="25" s="1"/>
  <c r="F71" i="25"/>
  <c r="Y71" i="25" s="1"/>
  <c r="F72" i="25"/>
  <c r="Y72" i="25" s="1"/>
  <c r="F73" i="25"/>
  <c r="Y73" i="25" s="1"/>
  <c r="F74" i="25"/>
  <c r="Y74" i="25" s="1"/>
  <c r="F75" i="25"/>
  <c r="Y75" i="25" s="1"/>
  <c r="F76" i="25"/>
  <c r="Y76" i="25" s="1"/>
  <c r="F77" i="25"/>
  <c r="Y77" i="25" s="1"/>
  <c r="F78" i="25"/>
  <c r="Y78" i="25" s="1"/>
  <c r="F79" i="25"/>
  <c r="Y79" i="25" s="1"/>
  <c r="F80" i="25"/>
  <c r="Y80" i="25" s="1"/>
  <c r="F81" i="25"/>
  <c r="Y81" i="25" s="1"/>
  <c r="F82" i="25"/>
  <c r="Y82" i="25" s="1"/>
  <c r="F83" i="25"/>
  <c r="Y83" i="25" s="1"/>
  <c r="F84" i="25"/>
  <c r="Y84" i="25" s="1"/>
  <c r="F85" i="25"/>
  <c r="Y85" i="25" s="1"/>
  <c r="F86" i="25"/>
  <c r="Y86" i="25" s="1"/>
  <c r="F87" i="25"/>
  <c r="Y87" i="25" s="1"/>
  <c r="F88" i="25"/>
  <c r="Y88" i="25" s="1"/>
  <c r="F89" i="25"/>
  <c r="Y89" i="25" s="1"/>
  <c r="F90" i="25"/>
  <c r="Y90" i="25" s="1"/>
  <c r="F91" i="25"/>
  <c r="Y91" i="25" s="1"/>
  <c r="F92" i="25"/>
  <c r="Y92" i="25" s="1"/>
  <c r="F93" i="25"/>
  <c r="Y93" i="25" s="1"/>
  <c r="F94" i="25"/>
  <c r="Y94" i="25" s="1"/>
  <c r="F95" i="25"/>
  <c r="Y95" i="25" s="1"/>
  <c r="F96" i="25"/>
  <c r="Y96" i="25" s="1"/>
  <c r="F97" i="25"/>
  <c r="Y97" i="25" s="1"/>
  <c r="F98" i="25"/>
  <c r="Y98" i="25" s="1"/>
  <c r="F99" i="25"/>
  <c r="Y99" i="25" s="1"/>
  <c r="F100" i="25"/>
  <c r="Y100" i="25" s="1"/>
  <c r="F101" i="25"/>
  <c r="Y101" i="25" s="1"/>
  <c r="F102" i="25"/>
  <c r="Y102" i="25" s="1"/>
  <c r="F103" i="25"/>
  <c r="Y103" i="25" s="1"/>
  <c r="G3" i="25"/>
  <c r="G4" i="25"/>
  <c r="G5" i="25"/>
  <c r="Z5" i="25" s="1"/>
  <c r="G6" i="25"/>
  <c r="G7" i="25"/>
  <c r="G8" i="25"/>
  <c r="G9" i="25"/>
  <c r="G10" i="25"/>
  <c r="G11" i="25"/>
  <c r="Z11" i="25" s="1"/>
  <c r="G12" i="25"/>
  <c r="G13" i="25"/>
  <c r="G14" i="25"/>
  <c r="G15" i="25"/>
  <c r="G16" i="25"/>
  <c r="G17" i="25"/>
  <c r="Z17" i="25" s="1"/>
  <c r="G18" i="25"/>
  <c r="G19" i="25"/>
  <c r="G20" i="25"/>
  <c r="G21" i="25"/>
  <c r="G22" i="25"/>
  <c r="G23" i="25"/>
  <c r="Z23" i="25" s="1"/>
  <c r="G24" i="25"/>
  <c r="G25" i="25"/>
  <c r="G26" i="25"/>
  <c r="Z26" i="25" s="1"/>
  <c r="G27" i="25"/>
  <c r="G28" i="25"/>
  <c r="G29" i="25"/>
  <c r="Z29" i="25" s="1"/>
  <c r="G30" i="25"/>
  <c r="G31" i="25"/>
  <c r="G32" i="25"/>
  <c r="G33" i="25"/>
  <c r="G34" i="25"/>
  <c r="G35" i="25"/>
  <c r="Z35" i="25" s="1"/>
  <c r="G36" i="25"/>
  <c r="G37" i="25"/>
  <c r="G38" i="25"/>
  <c r="G39" i="25"/>
  <c r="G40" i="25"/>
  <c r="G41" i="25"/>
  <c r="Z41" i="25" s="1"/>
  <c r="G42" i="25"/>
  <c r="G43" i="25"/>
  <c r="G44" i="25"/>
  <c r="G45" i="25"/>
  <c r="G46" i="25"/>
  <c r="G47" i="25"/>
  <c r="Z47" i="25" s="1"/>
  <c r="G48" i="25"/>
  <c r="G49" i="25"/>
  <c r="G50" i="25"/>
  <c r="G51" i="25"/>
  <c r="G52" i="25"/>
  <c r="G53" i="25"/>
  <c r="Z53" i="25" s="1"/>
  <c r="G54" i="25"/>
  <c r="G55" i="25"/>
  <c r="G56" i="25"/>
  <c r="G57" i="25"/>
  <c r="G58" i="25"/>
  <c r="G59" i="25"/>
  <c r="Z59" i="25" s="1"/>
  <c r="G60" i="25"/>
  <c r="G61" i="25"/>
  <c r="G62" i="25"/>
  <c r="G63" i="25"/>
  <c r="G64" i="25"/>
  <c r="G65" i="25"/>
  <c r="Z65" i="25" s="1"/>
  <c r="G66" i="25"/>
  <c r="G67" i="25"/>
  <c r="G68" i="25"/>
  <c r="G69" i="25"/>
  <c r="G70" i="25"/>
  <c r="G71" i="25"/>
  <c r="Z71" i="25" s="1"/>
  <c r="G72" i="25"/>
  <c r="G73" i="25"/>
  <c r="G74" i="25"/>
  <c r="G75" i="25"/>
  <c r="G76" i="25"/>
  <c r="G77" i="25"/>
  <c r="Z77" i="25" s="1"/>
  <c r="G78" i="25"/>
  <c r="G79" i="25"/>
  <c r="G80" i="25"/>
  <c r="G81" i="25"/>
  <c r="G82" i="25"/>
  <c r="G83" i="25"/>
  <c r="Z83" i="25" s="1"/>
  <c r="G84" i="25"/>
  <c r="G85" i="25"/>
  <c r="G86" i="25"/>
  <c r="G87" i="25"/>
  <c r="G88" i="25"/>
  <c r="G89" i="25"/>
  <c r="Z89" i="25" s="1"/>
  <c r="G90" i="25"/>
  <c r="G91" i="25"/>
  <c r="G92" i="25"/>
  <c r="G93" i="25"/>
  <c r="G94" i="25"/>
  <c r="G95" i="25"/>
  <c r="Z95" i="25" s="1"/>
  <c r="G96" i="25"/>
  <c r="G97" i="25"/>
  <c r="G98" i="25"/>
  <c r="G99" i="25"/>
  <c r="G100" i="25"/>
  <c r="G101" i="25"/>
  <c r="Z101" i="25" s="1"/>
  <c r="G102" i="25"/>
  <c r="G103" i="25"/>
  <c r="E3" i="25"/>
  <c r="AL3" i="25" s="1"/>
  <c r="D3" i="25"/>
  <c r="C3" i="25"/>
  <c r="B3" i="25"/>
  <c r="C27" i="25" l="1"/>
  <c r="V206" i="3"/>
  <c r="X206" i="3" s="1"/>
  <c r="V205" i="3"/>
  <c r="X205" i="3" s="1"/>
  <c r="Z185" i="3"/>
  <c r="Z192" i="3"/>
  <c r="Z183" i="3"/>
  <c r="Z194" i="3"/>
  <c r="Z188" i="3"/>
  <c r="Z200" i="3"/>
  <c r="Z184" i="3"/>
  <c r="Z186" i="3"/>
  <c r="Z199" i="3"/>
  <c r="Z198" i="3"/>
  <c r="Z187" i="3"/>
  <c r="Z193" i="3"/>
  <c r="X197" i="3"/>
  <c r="X191" i="3"/>
  <c r="X190" i="3"/>
  <c r="AB62" i="25"/>
  <c r="AN62" i="25"/>
  <c r="AB8" i="25"/>
  <c r="AN8" i="25"/>
  <c r="AB14" i="25"/>
  <c r="AN14" i="25"/>
  <c r="AB20" i="25"/>
  <c r="AN20" i="25"/>
  <c r="AB26" i="25"/>
  <c r="AN26" i="25"/>
  <c r="AB44" i="25"/>
  <c r="AN44" i="25"/>
  <c r="AB68" i="25"/>
  <c r="AN68" i="25"/>
  <c r="AB92" i="25"/>
  <c r="AN92" i="25"/>
  <c r="AB38" i="25"/>
  <c r="AN38" i="25"/>
  <c r="AB86" i="25"/>
  <c r="AN86" i="25"/>
  <c r="AB50" i="25"/>
  <c r="AN50" i="25"/>
  <c r="AB74" i="25"/>
  <c r="AN74" i="25"/>
  <c r="AB98" i="25"/>
  <c r="AN98" i="25"/>
  <c r="AB32" i="25"/>
  <c r="AN32" i="25"/>
  <c r="AB56" i="25"/>
  <c r="AN56" i="25"/>
  <c r="AB80" i="25"/>
  <c r="AN80" i="25"/>
  <c r="K21" i="22"/>
  <c r="J21" i="22"/>
  <c r="I21" i="22"/>
  <c r="H21" i="22"/>
  <c r="K20" i="22"/>
  <c r="J20" i="22"/>
  <c r="I20" i="22"/>
  <c r="H20" i="22"/>
  <c r="AC83" i="25"/>
  <c r="AK83" i="25"/>
  <c r="AC41" i="25"/>
  <c r="AK41" i="25"/>
  <c r="AC65" i="25"/>
  <c r="AK65" i="25"/>
  <c r="AC89" i="25"/>
  <c r="AK89" i="25"/>
  <c r="AC47" i="25"/>
  <c r="AK47" i="25"/>
  <c r="AC29" i="25"/>
  <c r="AK29" i="25"/>
  <c r="AC77" i="25"/>
  <c r="AK77" i="25"/>
  <c r="AC101" i="25"/>
  <c r="AK101" i="25"/>
  <c r="AC17" i="25"/>
  <c r="AK17" i="25"/>
  <c r="AC40" i="25"/>
  <c r="AB40" i="25"/>
  <c r="AC64" i="25"/>
  <c r="AB64" i="25"/>
  <c r="AC88" i="25"/>
  <c r="AB88" i="25"/>
  <c r="AC46" i="25"/>
  <c r="AB46" i="25"/>
  <c r="AC70" i="25"/>
  <c r="AB70" i="25"/>
  <c r="AC94" i="25"/>
  <c r="AB94" i="25"/>
  <c r="AC28" i="25"/>
  <c r="AB28" i="25"/>
  <c r="AC4" i="25"/>
  <c r="AB4" i="25"/>
  <c r="AC10" i="25"/>
  <c r="AB10" i="25"/>
  <c r="AC16" i="25"/>
  <c r="AB16" i="25"/>
  <c r="AC22" i="25"/>
  <c r="AB22" i="25"/>
  <c r="AC52" i="25"/>
  <c r="AB52" i="25"/>
  <c r="AC76" i="25"/>
  <c r="AB76" i="25"/>
  <c r="AC100" i="25"/>
  <c r="AB100" i="25"/>
  <c r="AC34" i="25"/>
  <c r="AB34" i="25"/>
  <c r="AC58" i="25"/>
  <c r="AB58" i="25"/>
  <c r="AC82" i="25"/>
  <c r="AB82" i="25"/>
  <c r="AP133" i="25"/>
  <c r="AT133" i="25" s="1"/>
  <c r="AV133" i="25" s="1"/>
  <c r="AP131" i="25"/>
  <c r="AT131" i="25" s="1"/>
  <c r="AV131" i="25" s="1"/>
  <c r="Z87" i="25"/>
  <c r="AP203" i="25"/>
  <c r="AT203" i="25" s="1"/>
  <c r="AV203" i="25" s="1"/>
  <c r="Z90" i="25"/>
  <c r="Z74" i="25"/>
  <c r="Z50" i="25"/>
  <c r="Z98" i="25"/>
  <c r="AP132" i="25"/>
  <c r="AT132" i="25" s="1"/>
  <c r="AV132" i="25" s="1"/>
  <c r="AE138" i="25"/>
  <c r="AE210" i="25"/>
  <c r="C149" i="3"/>
  <c r="C143" i="25"/>
  <c r="C151" i="3"/>
  <c r="C145" i="25"/>
  <c r="AP204" i="25"/>
  <c r="AT204" i="25" s="1"/>
  <c r="AV204" i="25" s="1"/>
  <c r="C150" i="3"/>
  <c r="C144" i="25"/>
  <c r="C222" i="3"/>
  <c r="C216" i="25"/>
  <c r="AE209" i="25"/>
  <c r="C38" i="3"/>
  <c r="C35" i="3"/>
  <c r="C36" i="3"/>
  <c r="AE211" i="25"/>
  <c r="AP134" i="25"/>
  <c r="AT134" i="25" s="1"/>
  <c r="AV134" i="25" s="1"/>
  <c r="AE212" i="25"/>
  <c r="AE136" i="25"/>
  <c r="AE137" i="25"/>
  <c r="C223" i="3"/>
  <c r="C217" i="25"/>
  <c r="AP130" i="25"/>
  <c r="AT130" i="25" s="1"/>
  <c r="AV130" i="25" s="1"/>
  <c r="C34" i="3"/>
  <c r="AE139" i="25"/>
  <c r="C224" i="3"/>
  <c r="C218" i="25"/>
  <c r="Z81" i="25"/>
  <c r="Z66" i="25"/>
  <c r="Z57" i="25"/>
  <c r="Z33" i="25"/>
  <c r="Z63" i="25"/>
  <c r="Z39" i="25"/>
  <c r="Z69" i="25"/>
  <c r="Z45" i="25"/>
  <c r="Z93" i="25"/>
  <c r="Z99" i="25"/>
  <c r="Z75" i="25"/>
  <c r="Z51" i="25"/>
  <c r="Z27" i="25"/>
  <c r="Z80" i="25"/>
  <c r="Z56" i="25"/>
  <c r="Z32" i="25"/>
  <c r="Z62" i="25"/>
  <c r="Z38" i="25"/>
  <c r="Z86" i="25"/>
  <c r="Z92" i="25"/>
  <c r="Z68" i="25"/>
  <c r="Z44" i="25"/>
  <c r="Z20" i="25"/>
  <c r="Z100" i="25"/>
  <c r="Z94" i="25"/>
  <c r="Z88" i="25"/>
  <c r="Z82" i="25"/>
  <c r="Z76" i="25"/>
  <c r="Z21" i="25"/>
  <c r="Z15" i="25"/>
  <c r="Z70" i="25"/>
  <c r="Z64" i="25"/>
  <c r="Z58" i="25"/>
  <c r="Z52" i="25"/>
  <c r="Z46" i="25"/>
  <c r="Z40" i="25"/>
  <c r="Z34" i="25"/>
  <c r="Z28" i="25"/>
  <c r="Z9" i="25"/>
  <c r="Z22" i="25"/>
  <c r="Z16" i="25"/>
  <c r="Z10" i="25"/>
  <c r="Z42" i="25"/>
  <c r="Z18" i="25"/>
  <c r="Z8" i="25"/>
  <c r="Z14" i="25"/>
  <c r="Z4" i="25"/>
  <c r="Z3" i="25"/>
  <c r="AJ7" i="25"/>
  <c r="AC7" i="25"/>
  <c r="AJ13" i="25"/>
  <c r="AC13" i="25"/>
  <c r="AJ19" i="25"/>
  <c r="AC19" i="25"/>
  <c r="AJ25" i="25"/>
  <c r="AC25" i="25"/>
  <c r="AJ31" i="25"/>
  <c r="AC31" i="25"/>
  <c r="AJ37" i="25"/>
  <c r="AC37" i="25"/>
  <c r="AJ43" i="25"/>
  <c r="AC43" i="25"/>
  <c r="AJ49" i="25"/>
  <c r="AC49" i="25"/>
  <c r="AJ55" i="25"/>
  <c r="AC55" i="25"/>
  <c r="AJ61" i="25"/>
  <c r="AC61" i="25"/>
  <c r="AJ67" i="25"/>
  <c r="AC67" i="25"/>
  <c r="AJ73" i="25"/>
  <c r="AC73" i="25"/>
  <c r="AJ79" i="25"/>
  <c r="AC79" i="25"/>
  <c r="AJ85" i="25"/>
  <c r="AC85" i="25"/>
  <c r="AJ91" i="25"/>
  <c r="AC91" i="25"/>
  <c r="AJ97" i="25"/>
  <c r="AC97" i="25"/>
  <c r="AJ103" i="25"/>
  <c r="AC103" i="25"/>
  <c r="AJ6" i="25"/>
  <c r="AC6" i="25"/>
  <c r="AJ8" i="25"/>
  <c r="AC8" i="25"/>
  <c r="AJ12" i="25"/>
  <c r="AC12" i="25"/>
  <c r="AJ14" i="25"/>
  <c r="AC14" i="25"/>
  <c r="AJ18" i="25"/>
  <c r="AC18" i="25"/>
  <c r="AJ20" i="25"/>
  <c r="AC20" i="25"/>
  <c r="AJ24" i="25"/>
  <c r="AC24" i="25"/>
  <c r="AJ26" i="25"/>
  <c r="AC26" i="25"/>
  <c r="AJ30" i="25"/>
  <c r="AC30" i="25"/>
  <c r="AJ32" i="25"/>
  <c r="AC32" i="25"/>
  <c r="AJ36" i="25"/>
  <c r="AC36" i="25"/>
  <c r="AJ38" i="25"/>
  <c r="AC38" i="25"/>
  <c r="AJ42" i="25"/>
  <c r="AC42" i="25"/>
  <c r="AJ44" i="25"/>
  <c r="AC44" i="25"/>
  <c r="AJ48" i="25"/>
  <c r="AC48" i="25"/>
  <c r="AJ50" i="25"/>
  <c r="AC50" i="25"/>
  <c r="AJ54" i="25"/>
  <c r="AC54" i="25"/>
  <c r="AJ56" i="25"/>
  <c r="AC56" i="25"/>
  <c r="AJ60" i="25"/>
  <c r="AC60" i="25"/>
  <c r="AJ62" i="25"/>
  <c r="AC62" i="25"/>
  <c r="AJ66" i="25"/>
  <c r="AC66" i="25"/>
  <c r="AJ68" i="25"/>
  <c r="AC68" i="25"/>
  <c r="AJ72" i="25"/>
  <c r="AC72" i="25"/>
  <c r="AJ74" i="25"/>
  <c r="AC74" i="25"/>
  <c r="AJ78" i="25"/>
  <c r="AC78" i="25"/>
  <c r="AJ80" i="25"/>
  <c r="AC80" i="25"/>
  <c r="AJ84" i="25"/>
  <c r="AC84" i="25"/>
  <c r="AJ86" i="25"/>
  <c r="AC86" i="25"/>
  <c r="AJ90" i="25"/>
  <c r="AC90" i="25"/>
  <c r="AJ92" i="25"/>
  <c r="AC92" i="25"/>
  <c r="AJ96" i="25"/>
  <c r="AC96" i="25"/>
  <c r="AJ98" i="25"/>
  <c r="AC98" i="25"/>
  <c r="AJ102" i="25"/>
  <c r="AC102" i="25"/>
  <c r="Z103" i="25"/>
  <c r="I2" i="22"/>
  <c r="H2" i="22"/>
  <c r="J2" i="22"/>
  <c r="K2" i="22"/>
  <c r="I5" i="22"/>
  <c r="K5" i="22"/>
  <c r="J5" i="22"/>
  <c r="H5" i="22"/>
  <c r="Z102" i="25"/>
  <c r="Z84" i="25"/>
  <c r="AO3" i="25"/>
  <c r="AJ3" i="25"/>
  <c r="AO9" i="25"/>
  <c r="AJ9" i="25"/>
  <c r="AO15" i="25"/>
  <c r="AJ15" i="25"/>
  <c r="AO21" i="25"/>
  <c r="AJ21" i="25"/>
  <c r="AO27" i="25"/>
  <c r="AJ27" i="25"/>
  <c r="AO33" i="25"/>
  <c r="AJ33" i="25"/>
  <c r="AO39" i="25"/>
  <c r="AJ39" i="25"/>
  <c r="AO45" i="25"/>
  <c r="AJ45" i="25"/>
  <c r="AO51" i="25"/>
  <c r="AJ51" i="25"/>
  <c r="AO57" i="25"/>
  <c r="AJ57" i="25"/>
  <c r="AO63" i="25"/>
  <c r="AJ63" i="25"/>
  <c r="AO69" i="25"/>
  <c r="AJ69" i="25"/>
  <c r="AO75" i="25"/>
  <c r="AJ75" i="25"/>
  <c r="AO81" i="25"/>
  <c r="AJ81" i="25"/>
  <c r="AO87" i="25"/>
  <c r="AJ87" i="25"/>
  <c r="AO93" i="25"/>
  <c r="AJ93" i="25"/>
  <c r="AO99" i="25"/>
  <c r="AJ99" i="25"/>
  <c r="Z96" i="25"/>
  <c r="Z72" i="25"/>
  <c r="Z78" i="25"/>
  <c r="Z97" i="25"/>
  <c r="AD77" i="25"/>
  <c r="AD83" i="25"/>
  <c r="AD89" i="25"/>
  <c r="AD95" i="25"/>
  <c r="AD101" i="25"/>
  <c r="AD11" i="25"/>
  <c r="AD17" i="25"/>
  <c r="AD23" i="25"/>
  <c r="AD29" i="25"/>
  <c r="AD53" i="25"/>
  <c r="AD59" i="25"/>
  <c r="AD71" i="25"/>
  <c r="AD5" i="25"/>
  <c r="AD35" i="25"/>
  <c r="AD41" i="25"/>
  <c r="AD47" i="25"/>
  <c r="AD65" i="25"/>
  <c r="AD4" i="25"/>
  <c r="AD10" i="25"/>
  <c r="AD16" i="25"/>
  <c r="AD22" i="25"/>
  <c r="AD28" i="25"/>
  <c r="AD34" i="25"/>
  <c r="AD40" i="25"/>
  <c r="AD46" i="25"/>
  <c r="AD52" i="25"/>
  <c r="AD58" i="25"/>
  <c r="AD64" i="25"/>
  <c r="AD70" i="25"/>
  <c r="AD76" i="25"/>
  <c r="AD82" i="25"/>
  <c r="AD88" i="25"/>
  <c r="AD94" i="25"/>
  <c r="AD100" i="25"/>
  <c r="AD7" i="25"/>
  <c r="AD9" i="25"/>
  <c r="AD13" i="25"/>
  <c r="AD15" i="25"/>
  <c r="AD19" i="25"/>
  <c r="AD21" i="25"/>
  <c r="AD25" i="25"/>
  <c r="AD27" i="25"/>
  <c r="AD31" i="25"/>
  <c r="AD33" i="25"/>
  <c r="AD37" i="25"/>
  <c r="AD39" i="25"/>
  <c r="AD43" i="25"/>
  <c r="AD45" i="25"/>
  <c r="AD49" i="25"/>
  <c r="AD51" i="25"/>
  <c r="AD55" i="25"/>
  <c r="AD57" i="25"/>
  <c r="AD61" i="25"/>
  <c r="AD63" i="25"/>
  <c r="AD67" i="25"/>
  <c r="AD69" i="25"/>
  <c r="AD73" i="25"/>
  <c r="AD75" i="25"/>
  <c r="AD79" i="25"/>
  <c r="AD81" i="25"/>
  <c r="AD85" i="25"/>
  <c r="AD87" i="25"/>
  <c r="AD91" i="25"/>
  <c r="AD93" i="25"/>
  <c r="AD97" i="25"/>
  <c r="AD99" i="25"/>
  <c r="AD103" i="25"/>
  <c r="AD3" i="25"/>
  <c r="AD6" i="25"/>
  <c r="AD8" i="25"/>
  <c r="AD12" i="25"/>
  <c r="AD14" i="25"/>
  <c r="AD18" i="25"/>
  <c r="AD20" i="25"/>
  <c r="AD24" i="25"/>
  <c r="AD26" i="25"/>
  <c r="AD30" i="25"/>
  <c r="AD32" i="25"/>
  <c r="AD36" i="25"/>
  <c r="AD38" i="25"/>
  <c r="AD42" i="25"/>
  <c r="AD44" i="25"/>
  <c r="AD48" i="25"/>
  <c r="AD50" i="25"/>
  <c r="AD54" i="25"/>
  <c r="AD56" i="25"/>
  <c r="AD60" i="25"/>
  <c r="AD62" i="25"/>
  <c r="AD66" i="25"/>
  <c r="AD68" i="25"/>
  <c r="AD72" i="25"/>
  <c r="AD74" i="25"/>
  <c r="AD78" i="25"/>
  <c r="AD80" i="25"/>
  <c r="AD84" i="25"/>
  <c r="AD86" i="25"/>
  <c r="AD90" i="25"/>
  <c r="AD92" i="25"/>
  <c r="AD96" i="25"/>
  <c r="AD98" i="25"/>
  <c r="AD102" i="25"/>
  <c r="Z54" i="25"/>
  <c r="AP111" i="25"/>
  <c r="AT111" i="25" s="1"/>
  <c r="AV111" i="25" s="1"/>
  <c r="Z60" i="25"/>
  <c r="Z30" i="25"/>
  <c r="AP114" i="25"/>
  <c r="AT114" i="25" s="1"/>
  <c r="AV114" i="25" s="1"/>
  <c r="AP118" i="25"/>
  <c r="AT118" i="25" s="1"/>
  <c r="AV118" i="25" s="1"/>
  <c r="AP112" i="25"/>
  <c r="AT112" i="25" s="1"/>
  <c r="AV112" i="25" s="1"/>
  <c r="AP115" i="25"/>
  <c r="AT115" i="25" s="1"/>
  <c r="AV115" i="25" s="1"/>
  <c r="AP121" i="25"/>
  <c r="AT121" i="25" s="1"/>
  <c r="AV121" i="25" s="1"/>
  <c r="AP113" i="25"/>
  <c r="AT113" i="25" s="1"/>
  <c r="AV113" i="25" s="1"/>
  <c r="AE4" i="25"/>
  <c r="AE6" i="25"/>
  <c r="AE8" i="25"/>
  <c r="AE10" i="25"/>
  <c r="AE12" i="25"/>
  <c r="AE14" i="25"/>
  <c r="AE16" i="25"/>
  <c r="AE18" i="25"/>
  <c r="AE20" i="25"/>
  <c r="AE22" i="25"/>
  <c r="AE24" i="25"/>
  <c r="AE26" i="25"/>
  <c r="AE28" i="25"/>
  <c r="AE30" i="25"/>
  <c r="AE32" i="25"/>
  <c r="AE116" i="25"/>
  <c r="AP120" i="25"/>
  <c r="AT120" i="25" s="1"/>
  <c r="AV120" i="25" s="1"/>
  <c r="AP119" i="25"/>
  <c r="AT119" i="25" s="1"/>
  <c r="AV119" i="25" s="1"/>
  <c r="AE3" i="25"/>
  <c r="AE122" i="25"/>
  <c r="AE5" i="25"/>
  <c r="AE7" i="25"/>
  <c r="AE9" i="25"/>
  <c r="AE11" i="25"/>
  <c r="AE13" i="25"/>
  <c r="AE15" i="25"/>
  <c r="AE17" i="25"/>
  <c r="AE19" i="25"/>
  <c r="AE21" i="25"/>
  <c r="AE23" i="25"/>
  <c r="AE25" i="25"/>
  <c r="AE27" i="25"/>
  <c r="AE29" i="25"/>
  <c r="AB3" i="25"/>
  <c r="V5" i="25"/>
  <c r="AG5" i="25"/>
  <c r="V7" i="25"/>
  <c r="AG7" i="25"/>
  <c r="V11" i="25"/>
  <c r="AG11" i="25"/>
  <c r="V13" i="25"/>
  <c r="AG13" i="25"/>
  <c r="V17" i="25"/>
  <c r="AG17" i="25"/>
  <c r="V19" i="25"/>
  <c r="AG19" i="25"/>
  <c r="V23" i="25"/>
  <c r="AG23" i="25"/>
  <c r="V25" i="25"/>
  <c r="AG25" i="25"/>
  <c r="V29" i="25"/>
  <c r="AG29" i="25"/>
  <c r="V31" i="25"/>
  <c r="AG31" i="25"/>
  <c r="V35" i="25"/>
  <c r="AG35" i="25"/>
  <c r="V37" i="25"/>
  <c r="AG37" i="25"/>
  <c r="V41" i="25"/>
  <c r="AG41" i="25"/>
  <c r="V43" i="25"/>
  <c r="AG43" i="25"/>
  <c r="V47" i="25"/>
  <c r="AG47" i="25"/>
  <c r="V49" i="25"/>
  <c r="AG49" i="25"/>
  <c r="V53" i="25"/>
  <c r="AG53" i="25"/>
  <c r="V55" i="25"/>
  <c r="AG55" i="25"/>
  <c r="V59" i="25"/>
  <c r="AG59" i="25"/>
  <c r="V61" i="25"/>
  <c r="AG61" i="25"/>
  <c r="V65" i="25"/>
  <c r="AG65" i="25"/>
  <c r="V67" i="25"/>
  <c r="AG67" i="25"/>
  <c r="V71" i="25"/>
  <c r="AG71" i="25"/>
  <c r="V73" i="25"/>
  <c r="AG73" i="25"/>
  <c r="V77" i="25"/>
  <c r="AG77" i="25"/>
  <c r="V79" i="25"/>
  <c r="AG79" i="25"/>
  <c r="V83" i="25"/>
  <c r="AG83" i="25"/>
  <c r="V85" i="25"/>
  <c r="AG85" i="25"/>
  <c r="V89" i="25"/>
  <c r="AG89" i="25"/>
  <c r="V91" i="25"/>
  <c r="AG91" i="25"/>
  <c r="V95" i="25"/>
  <c r="AG95" i="25"/>
  <c r="V97" i="25"/>
  <c r="AG97" i="25"/>
  <c r="V101" i="25"/>
  <c r="AG101" i="25"/>
  <c r="V103" i="25"/>
  <c r="AG103" i="25"/>
  <c r="V4" i="25"/>
  <c r="AG4" i="25"/>
  <c r="AH4" i="25"/>
  <c r="V6" i="25"/>
  <c r="AG6" i="25"/>
  <c r="V8" i="25"/>
  <c r="AG8" i="25"/>
  <c r="V10" i="25"/>
  <c r="AH10" i="25"/>
  <c r="AG10" i="25"/>
  <c r="V12" i="25"/>
  <c r="AG12" i="25"/>
  <c r="V14" i="25"/>
  <c r="AG14" i="25"/>
  <c r="V16" i="25"/>
  <c r="AH16" i="25"/>
  <c r="AG16" i="25"/>
  <c r="V18" i="25"/>
  <c r="AG18" i="25"/>
  <c r="V20" i="25"/>
  <c r="AG20" i="25"/>
  <c r="V22" i="25"/>
  <c r="AH22" i="25"/>
  <c r="AG22" i="25"/>
  <c r="V24" i="25"/>
  <c r="AG24" i="25"/>
  <c r="V26" i="25"/>
  <c r="AG26" i="25"/>
  <c r="V28" i="25"/>
  <c r="AH28" i="25"/>
  <c r="AG28" i="25"/>
  <c r="V30" i="25"/>
  <c r="AG30" i="25"/>
  <c r="V32" i="25"/>
  <c r="AG32" i="25"/>
  <c r="V34" i="25"/>
  <c r="AH34" i="25"/>
  <c r="AG34" i="25"/>
  <c r="V36" i="25"/>
  <c r="AG36" i="25"/>
  <c r="V38" i="25"/>
  <c r="AG38" i="25"/>
  <c r="V40" i="25"/>
  <c r="AH40" i="25"/>
  <c r="AG40" i="25"/>
  <c r="V42" i="25"/>
  <c r="AG42" i="25"/>
  <c r="V44" i="25"/>
  <c r="AG44" i="25"/>
  <c r="V46" i="25"/>
  <c r="AG46" i="25"/>
  <c r="AH46" i="25"/>
  <c r="V48" i="25"/>
  <c r="AG48" i="25"/>
  <c r="V50" i="25"/>
  <c r="AG50" i="25"/>
  <c r="V52" i="25"/>
  <c r="AG52" i="25"/>
  <c r="AH52" i="25"/>
  <c r="V54" i="25"/>
  <c r="AG54" i="25"/>
  <c r="V56" i="25"/>
  <c r="AG56" i="25"/>
  <c r="V58" i="25"/>
  <c r="AH58" i="25"/>
  <c r="AG58" i="25"/>
  <c r="V60" i="25"/>
  <c r="AG60" i="25"/>
  <c r="V62" i="25"/>
  <c r="AG62" i="25"/>
  <c r="V64" i="25"/>
  <c r="AG64" i="25"/>
  <c r="AH64" i="25"/>
  <c r="V66" i="25"/>
  <c r="AG66" i="25"/>
  <c r="V68" i="25"/>
  <c r="AG68" i="25"/>
  <c r="V70" i="25"/>
  <c r="AH70" i="25"/>
  <c r="AG70" i="25"/>
  <c r="V72" i="25"/>
  <c r="AG72" i="25"/>
  <c r="V74" i="25"/>
  <c r="AG74" i="25"/>
  <c r="V76" i="25"/>
  <c r="AH76" i="25"/>
  <c r="AG76" i="25"/>
  <c r="V78" i="25"/>
  <c r="AG78" i="25"/>
  <c r="V80" i="25"/>
  <c r="AG80" i="25"/>
  <c r="V82" i="25"/>
  <c r="AH82" i="25"/>
  <c r="AG82" i="25"/>
  <c r="V84" i="25"/>
  <c r="AG84" i="25"/>
  <c r="V86" i="25"/>
  <c r="AG86" i="25"/>
  <c r="V88" i="25"/>
  <c r="AH88" i="25"/>
  <c r="AG88" i="25"/>
  <c r="V90" i="25"/>
  <c r="AG90" i="25"/>
  <c r="V92" i="25"/>
  <c r="AG92" i="25"/>
  <c r="V94" i="25"/>
  <c r="AH94" i="25"/>
  <c r="AG94" i="25"/>
  <c r="V96" i="25"/>
  <c r="AG96" i="25"/>
  <c r="V98" i="25"/>
  <c r="AG98" i="25"/>
  <c r="V100" i="25"/>
  <c r="AH100" i="25"/>
  <c r="AG100" i="25"/>
  <c r="V102" i="25"/>
  <c r="AG102" i="25"/>
  <c r="Z48" i="25"/>
  <c r="Z6" i="25"/>
  <c r="Z91" i="25"/>
  <c r="Z67" i="25"/>
  <c r="Z73" i="25"/>
  <c r="Z79" i="25"/>
  <c r="Z55" i="25"/>
  <c r="Z85" i="25"/>
  <c r="Z61" i="25"/>
  <c r="Z24" i="25"/>
  <c r="Z36" i="25"/>
  <c r="Z43" i="25"/>
  <c r="Z49" i="25"/>
  <c r="Z25" i="25"/>
  <c r="Z31" i="25"/>
  <c r="Z37" i="25"/>
  <c r="V9" i="25"/>
  <c r="AB9" i="25"/>
  <c r="V15" i="25"/>
  <c r="AB15" i="25"/>
  <c r="V21" i="25"/>
  <c r="AB21" i="25"/>
  <c r="V27" i="25"/>
  <c r="AB27" i="25"/>
  <c r="V33" i="25"/>
  <c r="AB33" i="25"/>
  <c r="V39" i="25"/>
  <c r="AB39" i="25"/>
  <c r="V45" i="25"/>
  <c r="AB45" i="25"/>
  <c r="V51" i="25"/>
  <c r="AB51" i="25"/>
  <c r="V57" i="25"/>
  <c r="AB57" i="25"/>
  <c r="V63" i="25"/>
  <c r="AB63" i="25"/>
  <c r="V69" i="25"/>
  <c r="AB69" i="25"/>
  <c r="V75" i="25"/>
  <c r="AB75" i="25"/>
  <c r="V81" i="25"/>
  <c r="AB81" i="25"/>
  <c r="V87" i="25"/>
  <c r="AB87" i="25"/>
  <c r="V93" i="25"/>
  <c r="AB93" i="25"/>
  <c r="V99" i="25"/>
  <c r="AB99" i="25"/>
  <c r="Z12" i="25"/>
  <c r="V3" i="25"/>
  <c r="Z19" i="25"/>
  <c r="Z7" i="25"/>
  <c r="Z13" i="25"/>
  <c r="X96" i="25"/>
  <c r="X48" i="25"/>
  <c r="X103" i="25"/>
  <c r="X95" i="25"/>
  <c r="X87" i="25"/>
  <c r="X79" i="25"/>
  <c r="X71" i="25"/>
  <c r="X63" i="25"/>
  <c r="X55" i="25"/>
  <c r="X47" i="25"/>
  <c r="X39" i="25"/>
  <c r="X31" i="25"/>
  <c r="X23" i="25"/>
  <c r="X15" i="25"/>
  <c r="X7" i="25"/>
  <c r="X80" i="25"/>
  <c r="X32" i="25"/>
  <c r="X70" i="25"/>
  <c r="X30" i="25"/>
  <c r="X6" i="25"/>
  <c r="X101" i="25"/>
  <c r="X93" i="25"/>
  <c r="X85" i="25"/>
  <c r="X77" i="25"/>
  <c r="X69" i="25"/>
  <c r="X61" i="25"/>
  <c r="X53" i="25"/>
  <c r="X45" i="25"/>
  <c r="X37" i="25"/>
  <c r="X29" i="25"/>
  <c r="X21" i="25"/>
  <c r="X13" i="25"/>
  <c r="X5" i="25"/>
  <c r="X56" i="25"/>
  <c r="X8" i="25"/>
  <c r="X102" i="25"/>
  <c r="X62" i="25"/>
  <c r="X22" i="25"/>
  <c r="X100" i="25"/>
  <c r="X92" i="25"/>
  <c r="X84" i="25"/>
  <c r="X76" i="25"/>
  <c r="X68" i="25"/>
  <c r="X60" i="25"/>
  <c r="X52" i="25"/>
  <c r="X44" i="25"/>
  <c r="X36" i="25"/>
  <c r="X28" i="25"/>
  <c r="X20" i="25"/>
  <c r="X12" i="25"/>
  <c r="X4" i="25"/>
  <c r="X88" i="25"/>
  <c r="X40" i="25"/>
  <c r="X86" i="25"/>
  <c r="X46" i="25"/>
  <c r="X99" i="25"/>
  <c r="X91" i="25"/>
  <c r="X83" i="25"/>
  <c r="X75" i="25"/>
  <c r="X67" i="25"/>
  <c r="X59" i="25"/>
  <c r="X51" i="25"/>
  <c r="X43" i="25"/>
  <c r="X35" i="25"/>
  <c r="X27" i="25"/>
  <c r="X19" i="25"/>
  <c r="X11" i="25"/>
  <c r="X3" i="25"/>
  <c r="X64" i="25"/>
  <c r="X16" i="25"/>
  <c r="X94" i="25"/>
  <c r="X54" i="25"/>
  <c r="X14" i="25"/>
  <c r="X98" i="25"/>
  <c r="X90" i="25"/>
  <c r="X82" i="25"/>
  <c r="X74" i="25"/>
  <c r="X66" i="25"/>
  <c r="X58" i="25"/>
  <c r="X50" i="25"/>
  <c r="X42" i="25"/>
  <c r="X34" i="25"/>
  <c r="X26" i="25"/>
  <c r="X18" i="25"/>
  <c r="X10" i="25"/>
  <c r="X72" i="25"/>
  <c r="X24" i="25"/>
  <c r="X78" i="25"/>
  <c r="X38" i="25"/>
  <c r="X97" i="25"/>
  <c r="X89" i="25"/>
  <c r="X81" i="25"/>
  <c r="X73" i="25"/>
  <c r="X65" i="25"/>
  <c r="X57" i="25"/>
  <c r="X49" i="25"/>
  <c r="X41" i="25"/>
  <c r="X33" i="25"/>
  <c r="X25" i="25"/>
  <c r="X17" i="25"/>
  <c r="X9" i="25"/>
  <c r="R3" i="3"/>
  <c r="R4" i="3"/>
  <c r="R5" i="3"/>
  <c r="R6" i="3"/>
  <c r="R7" i="3"/>
  <c r="R9" i="3"/>
  <c r="T9" i="3" s="1"/>
  <c r="R10" i="3"/>
  <c r="T10" i="3" s="1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U3" i="25"/>
  <c r="U4" i="25"/>
  <c r="U5" i="25"/>
  <c r="U6" i="25"/>
  <c r="U7" i="25"/>
  <c r="U8" i="25"/>
  <c r="I3" i="3"/>
  <c r="I4" i="3"/>
  <c r="I5" i="3"/>
  <c r="I6" i="3"/>
  <c r="I7" i="3"/>
  <c r="BG3" i="3"/>
  <c r="BG4" i="3"/>
  <c r="BG5" i="3"/>
  <c r="BG6" i="3"/>
  <c r="BG7" i="3"/>
  <c r="BG8" i="3"/>
  <c r="F6" i="21"/>
  <c r="F5" i="21"/>
  <c r="F4" i="21"/>
  <c r="C6" i="21"/>
  <c r="C5" i="21"/>
  <c r="C4" i="21"/>
  <c r="AB200" i="3" l="1"/>
  <c r="AB198" i="3"/>
  <c r="AB199" i="3"/>
  <c r="AB188" i="3"/>
  <c r="AB193" i="3"/>
  <c r="AB194" i="3"/>
  <c r="AB187" i="3"/>
  <c r="AB183" i="3"/>
  <c r="AB192" i="3"/>
  <c r="AB185" i="3"/>
  <c r="AB186" i="3"/>
  <c r="AB184" i="3"/>
  <c r="Z205" i="3"/>
  <c r="Z206" i="3"/>
  <c r="V114" i="3"/>
  <c r="X114" i="3" s="1"/>
  <c r="V132" i="3"/>
  <c r="X132" i="3" s="1"/>
  <c r="V131" i="3"/>
  <c r="X131" i="3" s="1"/>
  <c r="V119" i="3"/>
  <c r="X119" i="3" s="1"/>
  <c r="V133" i="3"/>
  <c r="X133" i="3" s="1"/>
  <c r="V120" i="3"/>
  <c r="X120" i="3" s="1"/>
  <c r="V203" i="3"/>
  <c r="W203" i="3" s="1"/>
  <c r="V113" i="3"/>
  <c r="X113" i="3" s="1"/>
  <c r="V134" i="3"/>
  <c r="X134" i="3" s="1"/>
  <c r="V121" i="3"/>
  <c r="X121" i="3" s="1"/>
  <c r="V204" i="3"/>
  <c r="X204" i="3" s="1"/>
  <c r="V115" i="3"/>
  <c r="X115" i="3" s="1"/>
  <c r="V130" i="3"/>
  <c r="X130" i="3" s="1"/>
  <c r="Z191" i="3"/>
  <c r="Z197" i="3"/>
  <c r="Z190" i="3"/>
  <c r="J22" i="22"/>
  <c r="S22" i="22" s="1"/>
  <c r="K22" i="22"/>
  <c r="T22" i="22" s="1"/>
  <c r="I22" i="22"/>
  <c r="R22" i="22" s="1"/>
  <c r="H22" i="22"/>
  <c r="Q22" i="22" s="1"/>
  <c r="L21" i="22"/>
  <c r="Q21" i="22"/>
  <c r="R21" i="22"/>
  <c r="S21" i="22"/>
  <c r="T21" i="22"/>
  <c r="L20" i="22"/>
  <c r="K17" i="22"/>
  <c r="T17" i="22" s="1"/>
  <c r="H17" i="22"/>
  <c r="Q17" i="22" s="1"/>
  <c r="I17" i="22"/>
  <c r="R17" i="22" s="1"/>
  <c r="J17" i="22"/>
  <c r="S17" i="22" s="1"/>
  <c r="T20" i="22"/>
  <c r="S20" i="22"/>
  <c r="Q20" i="22"/>
  <c r="R20" i="22"/>
  <c r="AP209" i="25"/>
  <c r="AT209" i="25" s="1"/>
  <c r="AV209" i="25" s="1"/>
  <c r="AP136" i="25"/>
  <c r="AT136" i="25" s="1"/>
  <c r="AV136" i="25" s="1"/>
  <c r="AP138" i="25"/>
  <c r="AT138" i="25" s="1"/>
  <c r="AV138" i="25" s="1"/>
  <c r="AP137" i="25"/>
  <c r="AT137" i="25" s="1"/>
  <c r="AV137" i="25" s="1"/>
  <c r="AP211" i="25"/>
  <c r="AT211" i="25" s="1"/>
  <c r="AV211" i="25" s="1"/>
  <c r="C228" i="3"/>
  <c r="C222" i="25"/>
  <c r="C40" i="3"/>
  <c r="C34" i="25"/>
  <c r="C41" i="3"/>
  <c r="C35" i="25"/>
  <c r="V126" i="3"/>
  <c r="X126" i="3" s="1"/>
  <c r="AP212" i="25"/>
  <c r="AT212" i="25" s="1"/>
  <c r="AV212" i="25" s="1"/>
  <c r="AE143" i="25"/>
  <c r="V124" i="3"/>
  <c r="X124" i="3" s="1"/>
  <c r="AE218" i="25"/>
  <c r="AE217" i="25"/>
  <c r="C44" i="3"/>
  <c r="C38" i="25"/>
  <c r="AE144" i="25"/>
  <c r="C155" i="3"/>
  <c r="C149" i="25"/>
  <c r="C230" i="3"/>
  <c r="C224" i="25"/>
  <c r="C229" i="3"/>
  <c r="C223" i="25"/>
  <c r="AE145" i="25"/>
  <c r="AP210" i="25"/>
  <c r="AT210" i="25" s="1"/>
  <c r="AV210" i="25" s="1"/>
  <c r="V128" i="3"/>
  <c r="X128" i="3" s="1"/>
  <c r="V125" i="3"/>
  <c r="X125" i="3" s="1"/>
  <c r="C42" i="3"/>
  <c r="C36" i="25"/>
  <c r="AE216" i="25"/>
  <c r="C156" i="3"/>
  <c r="C150" i="25"/>
  <c r="AP139" i="25"/>
  <c r="AT139" i="25" s="1"/>
  <c r="AV139" i="25" s="1"/>
  <c r="C157" i="3"/>
  <c r="C151" i="25"/>
  <c r="V111" i="3"/>
  <c r="X111" i="3" s="1"/>
  <c r="V112" i="3"/>
  <c r="X112" i="3" s="1"/>
  <c r="V118" i="3"/>
  <c r="X118" i="3" s="1"/>
  <c r="K9" i="22"/>
  <c r="T9" i="22" s="1"/>
  <c r="J9" i="22"/>
  <c r="S9" i="22" s="1"/>
  <c r="I9" i="22"/>
  <c r="R9" i="22" s="1"/>
  <c r="H9" i="22"/>
  <c r="Q9" i="22" s="1"/>
  <c r="S3" i="3"/>
  <c r="T3" i="3" s="1"/>
  <c r="T5" i="22"/>
  <c r="S5" i="22"/>
  <c r="R5" i="22"/>
  <c r="I16" i="22"/>
  <c r="R16" i="22" s="1"/>
  <c r="K16" i="22"/>
  <c r="T16" i="22" s="1"/>
  <c r="J16" i="22"/>
  <c r="S16" i="22" s="1"/>
  <c r="H16" i="22"/>
  <c r="J19" i="22"/>
  <c r="S19" i="22" s="1"/>
  <c r="I19" i="22"/>
  <c r="R19" i="22" s="1"/>
  <c r="H19" i="22"/>
  <c r="K19" i="22"/>
  <c r="T19" i="22" s="1"/>
  <c r="T15" i="22"/>
  <c r="T7" i="22"/>
  <c r="K4" i="22"/>
  <c r="T4" i="22" s="1"/>
  <c r="J4" i="22"/>
  <c r="S4" i="22" s="1"/>
  <c r="I4" i="22"/>
  <c r="R4" i="22" s="1"/>
  <c r="H4" i="22"/>
  <c r="Q5" i="22"/>
  <c r="L5" i="22"/>
  <c r="S7" i="22"/>
  <c r="S15" i="22"/>
  <c r="H6" i="22"/>
  <c r="Q6" i="22" s="1"/>
  <c r="L2" i="22"/>
  <c r="Q7" i="22"/>
  <c r="Q15" i="22"/>
  <c r="I6" i="22"/>
  <c r="R6" i="22" s="1"/>
  <c r="K8" i="22"/>
  <c r="T8" i="22" s="1"/>
  <c r="H8" i="22"/>
  <c r="J8" i="22"/>
  <c r="S8" i="22" s="1"/>
  <c r="I8" i="22"/>
  <c r="R8" i="22" s="1"/>
  <c r="J10" i="22"/>
  <c r="S10" i="22" s="1"/>
  <c r="I10" i="22"/>
  <c r="R10" i="22" s="1"/>
  <c r="H10" i="22"/>
  <c r="K10" i="22"/>
  <c r="T10" i="22" s="1"/>
  <c r="R7" i="22"/>
  <c r="R15" i="22"/>
  <c r="J6" i="22"/>
  <c r="I14" i="22"/>
  <c r="R14" i="22" s="1"/>
  <c r="H14" i="22"/>
  <c r="K14" i="22"/>
  <c r="T14" i="22" s="1"/>
  <c r="J14" i="22"/>
  <c r="S14" i="22" s="1"/>
  <c r="I11" i="22"/>
  <c r="R11" i="22" s="1"/>
  <c r="H11" i="22"/>
  <c r="K11" i="22"/>
  <c r="T11" i="22" s="1"/>
  <c r="J11" i="22"/>
  <c r="S11" i="22" s="1"/>
  <c r="K6" i="22"/>
  <c r="T6" i="22" s="1"/>
  <c r="W7" i="25"/>
  <c r="AP7" i="25" s="1"/>
  <c r="W5" i="25"/>
  <c r="AP5" i="25" s="1"/>
  <c r="W6" i="25"/>
  <c r="AP6" i="25" s="1"/>
  <c r="W4" i="25"/>
  <c r="AP4" i="25" s="1"/>
  <c r="AP116" i="25"/>
  <c r="AT116" i="25" s="1"/>
  <c r="AV116" i="25" s="1"/>
  <c r="AP122" i="25"/>
  <c r="AT122" i="25" s="1"/>
  <c r="AV122" i="25" s="1"/>
  <c r="W8" i="25"/>
  <c r="AP8" i="25" s="1"/>
  <c r="W3" i="25"/>
  <c r="S8" i="3"/>
  <c r="T8" i="3" s="1"/>
  <c r="S7" i="3"/>
  <c r="T7" i="3" s="1"/>
  <c r="S6" i="3"/>
  <c r="S5" i="3"/>
  <c r="T5" i="3" s="1"/>
  <c r="S4" i="3"/>
  <c r="T4" i="3" s="1"/>
  <c r="R1" i="3"/>
  <c r="E5" i="21"/>
  <c r="D18" i="21"/>
  <c r="C18" i="21"/>
  <c r="C19" i="21"/>
  <c r="F18" i="21"/>
  <c r="E18" i="21"/>
  <c r="C20" i="21"/>
  <c r="F27" i="21"/>
  <c r="E13" i="21"/>
  <c r="E27" i="21"/>
  <c r="E12" i="21"/>
  <c r="F19" i="21"/>
  <c r="D11" i="21"/>
  <c r="E6" i="21"/>
  <c r="D5" i="21"/>
  <c r="E11" i="21"/>
  <c r="E20" i="21"/>
  <c r="D27" i="21"/>
  <c r="D12" i="21"/>
  <c r="F20" i="21"/>
  <c r="C26" i="21"/>
  <c r="F11" i="21"/>
  <c r="D13" i="21"/>
  <c r="D19" i="21"/>
  <c r="D26" i="21"/>
  <c r="F13" i="21"/>
  <c r="C11" i="21"/>
  <c r="D20" i="21"/>
  <c r="E26" i="21"/>
  <c r="D4" i="21"/>
  <c r="E4" i="21"/>
  <c r="F12" i="21"/>
  <c r="C12" i="21"/>
  <c r="F26" i="21"/>
  <c r="C13" i="21"/>
  <c r="E19" i="21"/>
  <c r="C25" i="21"/>
  <c r="C27" i="21"/>
  <c r="D25" i="21"/>
  <c r="D6" i="21"/>
  <c r="E25" i="21"/>
  <c r="F25" i="21"/>
  <c r="AD187" i="3" l="1"/>
  <c r="AD183" i="3"/>
  <c r="AE183" i="3" s="1"/>
  <c r="AD194" i="3"/>
  <c r="AD193" i="3"/>
  <c r="AD184" i="3"/>
  <c r="AE184" i="3" s="1"/>
  <c r="AD188" i="3"/>
  <c r="AD186" i="3"/>
  <c r="AE186" i="3" s="1"/>
  <c r="AD199" i="3"/>
  <c r="AD185" i="3"/>
  <c r="AE185" i="3" s="1"/>
  <c r="AD198" i="3"/>
  <c r="AE198" i="3" s="1"/>
  <c r="AD192" i="3"/>
  <c r="AE192" i="3" s="1"/>
  <c r="AD200" i="3"/>
  <c r="AB197" i="3"/>
  <c r="AB206" i="3"/>
  <c r="AB205" i="3"/>
  <c r="AB190" i="3"/>
  <c r="AB191" i="3"/>
  <c r="Z115" i="3"/>
  <c r="Z120" i="3"/>
  <c r="Z204" i="3"/>
  <c r="Z133" i="3"/>
  <c r="Z134" i="3"/>
  <c r="Z119" i="3"/>
  <c r="Z113" i="3"/>
  <c r="Z131" i="3"/>
  <c r="Z121" i="3"/>
  <c r="Z132" i="3"/>
  <c r="Z114" i="3"/>
  <c r="Z130" i="3"/>
  <c r="X203" i="3"/>
  <c r="V211" i="3"/>
  <c r="X211" i="3" s="1"/>
  <c r="V122" i="3"/>
  <c r="X122" i="3" s="1"/>
  <c r="V137" i="3"/>
  <c r="X137" i="3" s="1"/>
  <c r="V138" i="3"/>
  <c r="X138" i="3" s="1"/>
  <c r="V136" i="3"/>
  <c r="X136" i="3" s="1"/>
  <c r="V212" i="3"/>
  <c r="X212" i="3" s="1"/>
  <c r="V116" i="3"/>
  <c r="X116" i="3" s="1"/>
  <c r="V210" i="3"/>
  <c r="X210" i="3" s="1"/>
  <c r="V209" i="3"/>
  <c r="W209" i="3" s="1"/>
  <c r="AS134" i="25"/>
  <c r="AS130" i="25"/>
  <c r="AS131" i="25"/>
  <c r="Z125" i="3"/>
  <c r="Z118" i="3"/>
  <c r="Z128" i="3"/>
  <c r="Z126" i="3"/>
  <c r="Z112" i="3"/>
  <c r="Z111" i="3"/>
  <c r="Z124" i="3"/>
  <c r="L22" i="22"/>
  <c r="U22" i="22" s="1"/>
  <c r="U21" i="22"/>
  <c r="L17" i="22"/>
  <c r="U17" i="22" s="1"/>
  <c r="U20" i="22"/>
  <c r="AP218" i="25"/>
  <c r="AT218" i="25" s="1"/>
  <c r="AV218" i="25" s="1"/>
  <c r="AP216" i="25"/>
  <c r="AT216" i="25" s="1"/>
  <c r="AV216" i="25" s="1"/>
  <c r="AP217" i="25"/>
  <c r="AT217" i="25" s="1"/>
  <c r="AV217" i="25" s="1"/>
  <c r="AE34" i="25"/>
  <c r="C230" i="25"/>
  <c r="AE36" i="25"/>
  <c r="AE149" i="25"/>
  <c r="C46" i="3"/>
  <c r="C40" i="25"/>
  <c r="AE151" i="25"/>
  <c r="V127" i="3"/>
  <c r="X127" i="3" s="1"/>
  <c r="V139" i="3"/>
  <c r="X139" i="3" s="1"/>
  <c r="C48" i="3"/>
  <c r="C42" i="25"/>
  <c r="AE223" i="25"/>
  <c r="C155" i="25"/>
  <c r="C157" i="25"/>
  <c r="AE150" i="25"/>
  <c r="AP145" i="25"/>
  <c r="AT145" i="25" s="1"/>
  <c r="AV145" i="25" s="1"/>
  <c r="AP144" i="25"/>
  <c r="AT144" i="25" s="1"/>
  <c r="AV144" i="25" s="1"/>
  <c r="AE38" i="25"/>
  <c r="AE35" i="25"/>
  <c r="AE222" i="25"/>
  <c r="C229" i="25"/>
  <c r="C156" i="25"/>
  <c r="AE224" i="25"/>
  <c r="C50" i="3"/>
  <c r="C44" i="25"/>
  <c r="AP143" i="25"/>
  <c r="AT143" i="25" s="1"/>
  <c r="AV143" i="25" s="1"/>
  <c r="C47" i="3"/>
  <c r="C41" i="25"/>
  <c r="C228" i="25"/>
  <c r="L9" i="22"/>
  <c r="U9" i="22" s="1"/>
  <c r="U5" i="22"/>
  <c r="Q4" i="22"/>
  <c r="L4" i="22"/>
  <c r="U4" i="22" s="1"/>
  <c r="L16" i="22"/>
  <c r="U16" i="22" s="1"/>
  <c r="Q16" i="22"/>
  <c r="Q14" i="22"/>
  <c r="L14" i="22"/>
  <c r="U14" i="22" s="1"/>
  <c r="Q19" i="22"/>
  <c r="L19" i="22"/>
  <c r="U19" i="22" s="1"/>
  <c r="U7" i="22"/>
  <c r="U15" i="22"/>
  <c r="Q11" i="22"/>
  <c r="L11" i="22"/>
  <c r="U11" i="22" s="1"/>
  <c r="L6" i="22"/>
  <c r="U6" i="22" s="1"/>
  <c r="S6" i="22"/>
  <c r="Q10" i="22"/>
  <c r="L10" i="22"/>
  <c r="U10" i="22" s="1"/>
  <c r="Q8" i="22"/>
  <c r="L8" i="22"/>
  <c r="U8" i="22" s="1"/>
  <c r="U4" i="3"/>
  <c r="U8" i="3"/>
  <c r="U6" i="3"/>
  <c r="T6" i="3"/>
  <c r="U5" i="3"/>
  <c r="U7" i="3"/>
  <c r="U3" i="3"/>
  <c r="E28" i="21"/>
  <c r="F28" i="21"/>
  <c r="G27" i="21"/>
  <c r="C28" i="21"/>
  <c r="G25" i="21"/>
  <c r="G26" i="21"/>
  <c r="D28" i="21"/>
  <c r="AF188" i="3" l="1"/>
  <c r="AF200" i="3"/>
  <c r="AF184" i="3"/>
  <c r="AG184" i="3" s="1"/>
  <c r="AF192" i="3"/>
  <c r="AG192" i="3" s="1"/>
  <c r="AF193" i="3"/>
  <c r="AF198" i="3"/>
  <c r="AG198" i="3" s="1"/>
  <c r="AF194" i="3"/>
  <c r="AF185" i="3"/>
  <c r="AF183" i="3"/>
  <c r="AG183" i="3" s="1"/>
  <c r="AF199" i="3"/>
  <c r="AF187" i="3"/>
  <c r="AF186" i="3"/>
  <c r="AG186" i="3" s="1"/>
  <c r="AS184" i="25"/>
  <c r="AD205" i="3"/>
  <c r="AD206" i="3"/>
  <c r="AD191" i="3"/>
  <c r="AE191" i="3" s="1"/>
  <c r="AD197" i="3"/>
  <c r="AE197" i="3" s="1"/>
  <c r="AD190" i="3"/>
  <c r="AE190" i="3" s="1"/>
  <c r="AB204" i="3"/>
  <c r="AB111" i="3"/>
  <c r="AB126" i="3"/>
  <c r="AB130" i="3"/>
  <c r="AB134" i="3"/>
  <c r="AB128" i="3"/>
  <c r="AB114" i="3"/>
  <c r="AB133" i="3"/>
  <c r="AB118" i="3"/>
  <c r="AB132" i="3"/>
  <c r="AB120" i="3"/>
  <c r="AB125" i="3"/>
  <c r="AB124" i="3"/>
  <c r="AB121" i="3"/>
  <c r="AB115" i="3"/>
  <c r="AB131" i="3"/>
  <c r="AB112" i="3"/>
  <c r="AB113" i="3"/>
  <c r="AB119" i="3"/>
  <c r="AS198" i="25"/>
  <c r="AS185" i="25"/>
  <c r="Z122" i="3"/>
  <c r="Z211" i="3"/>
  <c r="Z212" i="3"/>
  <c r="Z136" i="3"/>
  <c r="Z138" i="3"/>
  <c r="Z203" i="3"/>
  <c r="Z210" i="3"/>
  <c r="Z137" i="3"/>
  <c r="Z116" i="3"/>
  <c r="X209" i="3"/>
  <c r="V144" i="3"/>
  <c r="X144" i="3" s="1"/>
  <c r="V143" i="3"/>
  <c r="X143" i="3" s="1"/>
  <c r="V217" i="3"/>
  <c r="X217" i="3" s="1"/>
  <c r="V216" i="3"/>
  <c r="X216" i="3" s="1"/>
  <c r="V145" i="3"/>
  <c r="X145" i="3" s="1"/>
  <c r="V218" i="3"/>
  <c r="X218" i="3" s="1"/>
  <c r="AS124" i="25"/>
  <c r="AS202" i="25"/>
  <c r="Z127" i="3"/>
  <c r="Z139" i="3"/>
  <c r="AP223" i="25"/>
  <c r="AT223" i="25" s="1"/>
  <c r="AV223" i="25" s="1"/>
  <c r="AP149" i="25"/>
  <c r="AT149" i="25" s="1"/>
  <c r="AV149" i="25" s="1"/>
  <c r="AP151" i="25"/>
  <c r="AT151" i="25" s="1"/>
  <c r="AV151" i="25" s="1"/>
  <c r="AP150" i="25"/>
  <c r="AT150" i="25" s="1"/>
  <c r="AV150" i="25" s="1"/>
  <c r="AP222" i="25"/>
  <c r="AT222" i="25" s="1"/>
  <c r="AV222" i="25" s="1"/>
  <c r="AE156" i="25"/>
  <c r="C53" i="3"/>
  <c r="C47" i="25"/>
  <c r="C52" i="3"/>
  <c r="C46" i="25"/>
  <c r="AP224" i="25"/>
  <c r="AT224" i="25" s="1"/>
  <c r="AV224" i="25" s="1"/>
  <c r="AE44" i="25"/>
  <c r="AE42" i="25"/>
  <c r="AE230" i="25"/>
  <c r="AE228" i="25"/>
  <c r="AE155" i="25"/>
  <c r="C56" i="3"/>
  <c r="C50" i="25"/>
  <c r="C54" i="3"/>
  <c r="C48" i="25"/>
  <c r="AE157" i="25"/>
  <c r="AE41" i="25"/>
  <c r="AE40" i="25"/>
  <c r="AE229" i="25"/>
  <c r="T8" i="25"/>
  <c r="AT8" i="25" s="1"/>
  <c r="AV8" i="25" s="1"/>
  <c r="T4" i="25"/>
  <c r="AT4" i="25" s="1"/>
  <c r="AV4" i="25" s="1"/>
  <c r="T7" i="25"/>
  <c r="AT7" i="25" s="1"/>
  <c r="AV7" i="25" s="1"/>
  <c r="T6" i="25"/>
  <c r="AT6" i="25" s="1"/>
  <c r="AV6" i="25" s="1"/>
  <c r="T5" i="25"/>
  <c r="AT5" i="25" s="1"/>
  <c r="AV5" i="25" s="1"/>
  <c r="T3" i="25"/>
  <c r="G28" i="21"/>
  <c r="AH194" i="3" l="1"/>
  <c r="AH198" i="3"/>
  <c r="AI198" i="3" s="1"/>
  <c r="AH193" i="3"/>
  <c r="AH186" i="3"/>
  <c r="AI186" i="3" s="1"/>
  <c r="AH192" i="3"/>
  <c r="AI192" i="3" s="1"/>
  <c r="AH185" i="3"/>
  <c r="AH187" i="3"/>
  <c r="AH184" i="3"/>
  <c r="AI184" i="3" s="1"/>
  <c r="AH199" i="3"/>
  <c r="AH200" i="3"/>
  <c r="AH183" i="3"/>
  <c r="AI183" i="3" s="1"/>
  <c r="AH188" i="3"/>
  <c r="AS193" i="25"/>
  <c r="AS188" i="25"/>
  <c r="AF205" i="3"/>
  <c r="AF197" i="3"/>
  <c r="AF191" i="3"/>
  <c r="AF206" i="3"/>
  <c r="AF190" i="3"/>
  <c r="AG190" i="3" s="1"/>
  <c r="AD113" i="3"/>
  <c r="AD112" i="3"/>
  <c r="AE112" i="3" s="1"/>
  <c r="AD126" i="3"/>
  <c r="AD131" i="3"/>
  <c r="AD118" i="3"/>
  <c r="AE118" i="3" s="1"/>
  <c r="AD111" i="3"/>
  <c r="AD132" i="3"/>
  <c r="AD115" i="3"/>
  <c r="AE115" i="3" s="1"/>
  <c r="AD133" i="3"/>
  <c r="AE133" i="3" s="1"/>
  <c r="AD121" i="3"/>
  <c r="AE121" i="3" s="1"/>
  <c r="AD114" i="3"/>
  <c r="AD124" i="3"/>
  <c r="AE124" i="3" s="1"/>
  <c r="AD128" i="3"/>
  <c r="AE128" i="3" s="1"/>
  <c r="AD204" i="3"/>
  <c r="AE204" i="3" s="1"/>
  <c r="AD119" i="3"/>
  <c r="AD125" i="3"/>
  <c r="AD134" i="3"/>
  <c r="AE134" i="3" s="1"/>
  <c r="AD120" i="3"/>
  <c r="AD130" i="3"/>
  <c r="AE130" i="3" s="1"/>
  <c r="AB212" i="3"/>
  <c r="AB210" i="3"/>
  <c r="AB211" i="3"/>
  <c r="AB203" i="3"/>
  <c r="AB139" i="3"/>
  <c r="AB138" i="3"/>
  <c r="AB127" i="3"/>
  <c r="AB136" i="3"/>
  <c r="AB116" i="3"/>
  <c r="AB137" i="3"/>
  <c r="AB122" i="3"/>
  <c r="AS206" i="25"/>
  <c r="AS205" i="25"/>
  <c r="Z209" i="3"/>
  <c r="Z144" i="3"/>
  <c r="Z218" i="3"/>
  <c r="Z145" i="3"/>
  <c r="Z216" i="3"/>
  <c r="Z217" i="3"/>
  <c r="Z143" i="3"/>
  <c r="V150" i="3"/>
  <c r="X150" i="3" s="1"/>
  <c r="V151" i="3"/>
  <c r="X151" i="3" s="1"/>
  <c r="V223" i="3"/>
  <c r="X223" i="3" s="1"/>
  <c r="V222" i="3"/>
  <c r="X222" i="3" s="1"/>
  <c r="V224" i="3"/>
  <c r="X224" i="3" s="1"/>
  <c r="V149" i="3"/>
  <c r="X149" i="3" s="1"/>
  <c r="AS141" i="25"/>
  <c r="AP156" i="25"/>
  <c r="AT156" i="25" s="1"/>
  <c r="AV156" i="25" s="1"/>
  <c r="AP229" i="25"/>
  <c r="AT229" i="25" s="1"/>
  <c r="AV229" i="25" s="1"/>
  <c r="AP157" i="25"/>
  <c r="AT157" i="25" s="1"/>
  <c r="AV157" i="25" s="1"/>
  <c r="AP228" i="25"/>
  <c r="AT228" i="25" s="1"/>
  <c r="AV228" i="25" s="1"/>
  <c r="AP230" i="25"/>
  <c r="AT230" i="25" s="1"/>
  <c r="AV230" i="25" s="1"/>
  <c r="AE48" i="25"/>
  <c r="AE50" i="25"/>
  <c r="C59" i="3"/>
  <c r="C53" i="25"/>
  <c r="C60" i="3"/>
  <c r="C54" i="25"/>
  <c r="AP155" i="25"/>
  <c r="AT155" i="25" s="1"/>
  <c r="AV155" i="25" s="1"/>
  <c r="C62" i="3"/>
  <c r="C56" i="25"/>
  <c r="AE46" i="25"/>
  <c r="C58" i="3"/>
  <c r="C52" i="25"/>
  <c r="AE47" i="25"/>
  <c r="AJ185" i="3" l="1"/>
  <c r="AK185" i="3" s="1"/>
  <c r="AJ192" i="3"/>
  <c r="AJ188" i="3"/>
  <c r="AJ186" i="3"/>
  <c r="AJ183" i="3"/>
  <c r="AK183" i="3" s="1"/>
  <c r="AJ193" i="3"/>
  <c r="AK193" i="3" s="1"/>
  <c r="AJ187" i="3"/>
  <c r="AJ200" i="3"/>
  <c r="AJ199" i="3"/>
  <c r="AK199" i="3" s="1"/>
  <c r="AJ198" i="3"/>
  <c r="AJ184" i="3"/>
  <c r="AJ194" i="3"/>
  <c r="AS186" i="25"/>
  <c r="AH191" i="3"/>
  <c r="AH197" i="3"/>
  <c r="AH190" i="3"/>
  <c r="AI190" i="3" s="1"/>
  <c r="AH206" i="3"/>
  <c r="AH205" i="3"/>
  <c r="AS195" i="25"/>
  <c r="AS192" i="25"/>
  <c r="AF204" i="3"/>
  <c r="AG204" i="3" s="1"/>
  <c r="AF132" i="3"/>
  <c r="AF113" i="3"/>
  <c r="AF128" i="3"/>
  <c r="AF120" i="3"/>
  <c r="AF124" i="3"/>
  <c r="AG124" i="3" s="1"/>
  <c r="AF118" i="3"/>
  <c r="AG118" i="3" s="1"/>
  <c r="AS187" i="25"/>
  <c r="AF115" i="3"/>
  <c r="AF130" i="3"/>
  <c r="AG130" i="3" s="1"/>
  <c r="AF131" i="3"/>
  <c r="AF111" i="3"/>
  <c r="AF134" i="3"/>
  <c r="AF114" i="3"/>
  <c r="AF126" i="3"/>
  <c r="AF112" i="3"/>
  <c r="AG112" i="3" s="1"/>
  <c r="AF125" i="3"/>
  <c r="AF121" i="3"/>
  <c r="AF119" i="3"/>
  <c r="AF133" i="3"/>
  <c r="AS126" i="25"/>
  <c r="AS129" i="25"/>
  <c r="AS191" i="25"/>
  <c r="AD138" i="3"/>
  <c r="AD139" i="3"/>
  <c r="AE139" i="3" s="1"/>
  <c r="AD122" i="3"/>
  <c r="AE122" i="3" s="1"/>
  <c r="AD203" i="3"/>
  <c r="AE203" i="3" s="1"/>
  <c r="AD137" i="3"/>
  <c r="AD116" i="3"/>
  <c r="AE116" i="3" s="1"/>
  <c r="AD211" i="3"/>
  <c r="AD136" i="3"/>
  <c r="AE136" i="3" s="1"/>
  <c r="AD210" i="3"/>
  <c r="AE210" i="3" s="1"/>
  <c r="AD127" i="3"/>
  <c r="AE127" i="3" s="1"/>
  <c r="AD212" i="3"/>
  <c r="AB218" i="3"/>
  <c r="AB217" i="3"/>
  <c r="AB216" i="3"/>
  <c r="AB209" i="3"/>
  <c r="AB145" i="3"/>
  <c r="AB143" i="3"/>
  <c r="AB144" i="3"/>
  <c r="AS113" i="25"/>
  <c r="AS115" i="25"/>
  <c r="AS204" i="25"/>
  <c r="AS121" i="25"/>
  <c r="AS132" i="25"/>
  <c r="AS120" i="25"/>
  <c r="Z224" i="3"/>
  <c r="Z222" i="3"/>
  <c r="Z150" i="3"/>
  <c r="Z223" i="3"/>
  <c r="Z149" i="3"/>
  <c r="Z151" i="3"/>
  <c r="V155" i="3"/>
  <c r="X155" i="3" s="1"/>
  <c r="V156" i="3"/>
  <c r="X156" i="3" s="1"/>
  <c r="V230" i="3"/>
  <c r="X230" i="3" s="1"/>
  <c r="V228" i="3"/>
  <c r="X228" i="3" s="1"/>
  <c r="V157" i="3"/>
  <c r="X157" i="3" s="1"/>
  <c r="V229" i="3"/>
  <c r="X229" i="3" s="1"/>
  <c r="AS216" i="25"/>
  <c r="AE52" i="25"/>
  <c r="AE56" i="25"/>
  <c r="AE54" i="25"/>
  <c r="AE53" i="25"/>
  <c r="C65" i="3"/>
  <c r="C59" i="25"/>
  <c r="C64" i="3"/>
  <c r="C58" i="25"/>
  <c r="C68" i="3"/>
  <c r="C62" i="25"/>
  <c r="C66" i="3"/>
  <c r="C60" i="25"/>
  <c r="U26" i="25"/>
  <c r="A1" i="3"/>
  <c r="S103" i="3"/>
  <c r="T103" i="3" s="1"/>
  <c r="S102" i="3"/>
  <c r="T102" i="3" s="1"/>
  <c r="S100" i="3"/>
  <c r="T100" i="3" s="1"/>
  <c r="S99" i="3"/>
  <c r="T99" i="3" s="1"/>
  <c r="S98" i="3"/>
  <c r="T98" i="3" s="1"/>
  <c r="S97" i="3"/>
  <c r="T97" i="3" s="1"/>
  <c r="S96" i="3"/>
  <c r="T96" i="3" s="1"/>
  <c r="S95" i="3"/>
  <c r="T95" i="3" s="1"/>
  <c r="S93" i="3"/>
  <c r="T93" i="3" s="1"/>
  <c r="S92" i="3"/>
  <c r="T92" i="3" s="1"/>
  <c r="S91" i="3"/>
  <c r="T91" i="3" s="1"/>
  <c r="S90" i="3"/>
  <c r="T90" i="3" s="1"/>
  <c r="S89" i="3"/>
  <c r="T89" i="3" s="1"/>
  <c r="S88" i="3"/>
  <c r="T88" i="3" s="1"/>
  <c r="S86" i="3"/>
  <c r="T86" i="3" s="1"/>
  <c r="S85" i="3"/>
  <c r="T85" i="3" s="1"/>
  <c r="S84" i="3"/>
  <c r="T84" i="3" s="1"/>
  <c r="S83" i="3"/>
  <c r="T83" i="3" s="1"/>
  <c r="S82" i="3"/>
  <c r="T82" i="3" s="1"/>
  <c r="S81" i="3"/>
  <c r="T81" i="3" s="1"/>
  <c r="S79" i="3"/>
  <c r="T79" i="3" s="1"/>
  <c r="S78" i="3"/>
  <c r="T78" i="3" s="1"/>
  <c r="S77" i="3"/>
  <c r="T77" i="3" s="1"/>
  <c r="S76" i="3"/>
  <c r="T76" i="3" s="1"/>
  <c r="S75" i="3"/>
  <c r="T75" i="3" s="1"/>
  <c r="S74" i="3"/>
  <c r="T74" i="3" s="1"/>
  <c r="S72" i="3"/>
  <c r="T72" i="3" s="1"/>
  <c r="S71" i="3"/>
  <c r="T71" i="3" s="1"/>
  <c r="S70" i="3"/>
  <c r="T70" i="3" s="1"/>
  <c r="S69" i="3"/>
  <c r="T69" i="3" s="1"/>
  <c r="S68" i="3"/>
  <c r="T68" i="3" s="1"/>
  <c r="S67" i="3"/>
  <c r="T67" i="3" s="1"/>
  <c r="S65" i="3"/>
  <c r="T65" i="3" s="1"/>
  <c r="S64" i="3"/>
  <c r="T64" i="3" s="1"/>
  <c r="S63" i="3"/>
  <c r="T63" i="3" s="1"/>
  <c r="S62" i="3"/>
  <c r="T62" i="3" s="1"/>
  <c r="S61" i="3"/>
  <c r="T61" i="3" s="1"/>
  <c r="S60" i="3"/>
  <c r="T60" i="3" s="1"/>
  <c r="S58" i="3"/>
  <c r="T58" i="3" s="1"/>
  <c r="S57" i="3"/>
  <c r="T57" i="3" s="1"/>
  <c r="S56" i="3"/>
  <c r="T56" i="3" s="1"/>
  <c r="S55" i="3"/>
  <c r="T55" i="3" s="1"/>
  <c r="S54" i="3"/>
  <c r="T54" i="3" s="1"/>
  <c r="S53" i="3"/>
  <c r="T53" i="3" s="1"/>
  <c r="S51" i="3"/>
  <c r="T51" i="3" s="1"/>
  <c r="S50" i="3"/>
  <c r="T50" i="3" s="1"/>
  <c r="S49" i="3"/>
  <c r="T49" i="3" s="1"/>
  <c r="S48" i="3"/>
  <c r="T48" i="3" s="1"/>
  <c r="S47" i="3"/>
  <c r="T47" i="3" s="1"/>
  <c r="S46" i="3"/>
  <c r="T46" i="3" s="1"/>
  <c r="S44" i="3"/>
  <c r="T44" i="3" s="1"/>
  <c r="S43" i="3"/>
  <c r="T43" i="3" s="1"/>
  <c r="S42" i="3"/>
  <c r="T42" i="3" s="1"/>
  <c r="S41" i="3"/>
  <c r="T41" i="3" s="1"/>
  <c r="S40" i="3"/>
  <c r="T40" i="3" s="1"/>
  <c r="S39" i="3"/>
  <c r="T39" i="3" s="1"/>
  <c r="S37" i="3"/>
  <c r="T37" i="3" s="1"/>
  <c r="S36" i="3"/>
  <c r="T36" i="3" s="1"/>
  <c r="S35" i="3"/>
  <c r="T35" i="3" s="1"/>
  <c r="S34" i="3"/>
  <c r="T34" i="3" s="1"/>
  <c r="S33" i="3"/>
  <c r="T33" i="3" s="1"/>
  <c r="S32" i="3"/>
  <c r="T32" i="3" s="1"/>
  <c r="S30" i="3"/>
  <c r="T30" i="3" s="1"/>
  <c r="S29" i="3"/>
  <c r="T29" i="3" s="1"/>
  <c r="S28" i="3"/>
  <c r="T28" i="3" s="1"/>
  <c r="S27" i="3"/>
  <c r="T27" i="3" s="1"/>
  <c r="S26" i="3"/>
  <c r="T26" i="3" s="1"/>
  <c r="S25" i="3"/>
  <c r="T25" i="3" s="1"/>
  <c r="S23" i="3"/>
  <c r="T23" i="3" s="1"/>
  <c r="AL200" i="3" l="1"/>
  <c r="AM200" i="3" s="1"/>
  <c r="AQ200" i="25" s="1"/>
  <c r="AR200" i="25" s="1"/>
  <c r="AL187" i="3"/>
  <c r="AM187" i="3" s="1"/>
  <c r="AN187" i="3" s="1"/>
  <c r="AL193" i="3"/>
  <c r="AM193" i="3" s="1"/>
  <c r="AN193" i="3" s="1"/>
  <c r="AL183" i="3"/>
  <c r="AM183" i="3" s="1"/>
  <c r="AQ183" i="25" s="1"/>
  <c r="AR183" i="25" s="1"/>
  <c r="AL194" i="3"/>
  <c r="AM194" i="3" s="1"/>
  <c r="AN194" i="3" s="1"/>
  <c r="BL194" i="3" s="1"/>
  <c r="AL186" i="3"/>
  <c r="AM186" i="3" s="1"/>
  <c r="AN186" i="3" s="1"/>
  <c r="AL184" i="3"/>
  <c r="AM184" i="3" s="1"/>
  <c r="AN184" i="3" s="1"/>
  <c r="AL188" i="3"/>
  <c r="AM188" i="3" s="1"/>
  <c r="AN188" i="3" s="1"/>
  <c r="AL198" i="3"/>
  <c r="AM198" i="3" s="1"/>
  <c r="AN198" i="3" s="1"/>
  <c r="AL192" i="3"/>
  <c r="AM192" i="3" s="1"/>
  <c r="AN192" i="3" s="1"/>
  <c r="AL199" i="3"/>
  <c r="AM199" i="3" s="1"/>
  <c r="AQ199" i="25" s="1"/>
  <c r="AR199" i="25" s="1"/>
  <c r="AL185" i="3"/>
  <c r="AM185" i="3" s="1"/>
  <c r="AQ185" i="25" s="1"/>
  <c r="AR185" i="25" s="1"/>
  <c r="AQ187" i="25"/>
  <c r="AR187" i="25" s="1"/>
  <c r="AN200" i="3"/>
  <c r="BL200" i="3" s="1"/>
  <c r="AJ205" i="3"/>
  <c r="AK205" i="3" s="1"/>
  <c r="AJ206" i="3"/>
  <c r="AJ191" i="3"/>
  <c r="AJ190" i="3"/>
  <c r="AJ197" i="3"/>
  <c r="AS197" i="25"/>
  <c r="AS189" i="25"/>
  <c r="AH111" i="3"/>
  <c r="AS200" i="25"/>
  <c r="AH131" i="3"/>
  <c r="AH132" i="3"/>
  <c r="AH121" i="3"/>
  <c r="AH204" i="3"/>
  <c r="AI204" i="3" s="1"/>
  <c r="AH125" i="3"/>
  <c r="AH112" i="3"/>
  <c r="AI112" i="3" s="1"/>
  <c r="AH130" i="3"/>
  <c r="AI130" i="3" s="1"/>
  <c r="AH118" i="3"/>
  <c r="AI118" i="3" s="1"/>
  <c r="AH113" i="3"/>
  <c r="AH126" i="3"/>
  <c r="AH115" i="3"/>
  <c r="AH124" i="3"/>
  <c r="AI124" i="3" s="1"/>
  <c r="AS199" i="25"/>
  <c r="AH133" i="3"/>
  <c r="AH114" i="3"/>
  <c r="AH120" i="3"/>
  <c r="AH119" i="3"/>
  <c r="AH134" i="3"/>
  <c r="AH128" i="3"/>
  <c r="AS112" i="25"/>
  <c r="AS117" i="25"/>
  <c r="AS118" i="25"/>
  <c r="AF210" i="3"/>
  <c r="AG210" i="3" s="1"/>
  <c r="AF137" i="3"/>
  <c r="AF136" i="3"/>
  <c r="AG136" i="3" s="1"/>
  <c r="AF139" i="3"/>
  <c r="AF138" i="3"/>
  <c r="AF122" i="3"/>
  <c r="AF203" i="3"/>
  <c r="AF212" i="3"/>
  <c r="AF211" i="3"/>
  <c r="AF127" i="3"/>
  <c r="AF116" i="3"/>
  <c r="AS139" i="25"/>
  <c r="AD218" i="3"/>
  <c r="AD143" i="3"/>
  <c r="AD144" i="3"/>
  <c r="AD145" i="3"/>
  <c r="AE145" i="3" s="1"/>
  <c r="AD209" i="3"/>
  <c r="AE209" i="3" s="1"/>
  <c r="AD216" i="3"/>
  <c r="AE216" i="3" s="1"/>
  <c r="AD217" i="3"/>
  <c r="AB222" i="3"/>
  <c r="AB223" i="3"/>
  <c r="AB224" i="3"/>
  <c r="AB151" i="3"/>
  <c r="AB149" i="3"/>
  <c r="AB150" i="3"/>
  <c r="AS135" i="25"/>
  <c r="Z157" i="3"/>
  <c r="AB157" i="3" s="1"/>
  <c r="Z156" i="3"/>
  <c r="Z229" i="3"/>
  <c r="Z155" i="3"/>
  <c r="Z230" i="3"/>
  <c r="Z228" i="3"/>
  <c r="AS157" i="25"/>
  <c r="C71" i="3"/>
  <c r="C161" i="3" s="1"/>
  <c r="C65" i="25"/>
  <c r="C72" i="3"/>
  <c r="C66" i="25"/>
  <c r="AE62" i="25"/>
  <c r="AE58" i="25"/>
  <c r="AE60" i="25"/>
  <c r="C74" i="3"/>
  <c r="C68" i="25"/>
  <c r="C70" i="3"/>
  <c r="C64" i="25"/>
  <c r="AE59" i="25"/>
  <c r="S73" i="3"/>
  <c r="S59" i="3"/>
  <c r="S24" i="3"/>
  <c r="T24" i="3" s="1"/>
  <c r="S80" i="3"/>
  <c r="S66" i="3"/>
  <c r="S52" i="3"/>
  <c r="S45" i="3"/>
  <c r="S101" i="3"/>
  <c r="S38" i="3"/>
  <c r="S94" i="3"/>
  <c r="T94" i="3" s="1"/>
  <c r="S31" i="3"/>
  <c r="S87" i="3"/>
  <c r="D6" i="26"/>
  <c r="C6" i="26"/>
  <c r="B6" i="26"/>
  <c r="AQ188" i="3" l="1"/>
  <c r="AS188" i="3" s="1"/>
  <c r="AR188" i="3" s="1"/>
  <c r="AW188" i="3" s="1"/>
  <c r="AY188" i="3" s="1"/>
  <c r="AX188" i="3" s="1"/>
  <c r="BL188" i="3"/>
  <c r="AQ184" i="3"/>
  <c r="AS184" i="3" s="1"/>
  <c r="AR184" i="3" s="1"/>
  <c r="AW184" i="3" s="1"/>
  <c r="AY184" i="3" s="1"/>
  <c r="AX184" i="3" s="1"/>
  <c r="BL184" i="3"/>
  <c r="AQ186" i="3"/>
  <c r="AS186" i="3" s="1"/>
  <c r="AR186" i="3" s="1"/>
  <c r="AW186" i="3" s="1"/>
  <c r="AY186" i="3" s="1"/>
  <c r="AX186" i="3" s="1"/>
  <c r="BL186" i="3"/>
  <c r="AQ193" i="3"/>
  <c r="AS193" i="3" s="1"/>
  <c r="AR193" i="3" s="1"/>
  <c r="AW193" i="3" s="1"/>
  <c r="AY193" i="3" s="1"/>
  <c r="AX193" i="3" s="1"/>
  <c r="BL193" i="3"/>
  <c r="AQ192" i="3"/>
  <c r="AS192" i="3" s="1"/>
  <c r="AR192" i="3" s="1"/>
  <c r="AW192" i="3" s="1"/>
  <c r="AY192" i="3" s="1"/>
  <c r="AX192" i="3" s="1"/>
  <c r="BL192" i="3"/>
  <c r="AQ187" i="3"/>
  <c r="AS187" i="3" s="1"/>
  <c r="AR187" i="3" s="1"/>
  <c r="AW187" i="3" s="1"/>
  <c r="AY187" i="3" s="1"/>
  <c r="AX187" i="3" s="1"/>
  <c r="BL187" i="3"/>
  <c r="AQ198" i="3"/>
  <c r="AS198" i="3" s="1"/>
  <c r="AR198" i="3" s="1"/>
  <c r="AW198" i="3" s="1"/>
  <c r="AY198" i="3" s="1"/>
  <c r="AX198" i="3" s="1"/>
  <c r="BL198" i="3"/>
  <c r="AQ194" i="25"/>
  <c r="AR194" i="25" s="1"/>
  <c r="AQ193" i="25"/>
  <c r="AR193" i="25" s="1"/>
  <c r="AQ192" i="25"/>
  <c r="AR192" i="25" s="1"/>
  <c r="AQ186" i="25"/>
  <c r="AR186" i="25" s="1"/>
  <c r="AQ188" i="25"/>
  <c r="AR188" i="25" s="1"/>
  <c r="AQ198" i="25"/>
  <c r="AR198" i="25" s="1"/>
  <c r="AQ184" i="25"/>
  <c r="AR184" i="25" s="1"/>
  <c r="AN183" i="3"/>
  <c r="AN199" i="3"/>
  <c r="AL197" i="3"/>
  <c r="AM197" i="3" s="1"/>
  <c r="AN197" i="3" s="1"/>
  <c r="AL190" i="3"/>
  <c r="AM190" i="3" s="1"/>
  <c r="AQ190" i="25" s="1"/>
  <c r="AR190" i="25" s="1"/>
  <c r="AL191" i="3"/>
  <c r="AM191" i="3" s="1"/>
  <c r="AQ191" i="25" s="1"/>
  <c r="AR191" i="25" s="1"/>
  <c r="AL206" i="3"/>
  <c r="AM206" i="3" s="1"/>
  <c r="AN206" i="3" s="1"/>
  <c r="AN185" i="3"/>
  <c r="AL205" i="3"/>
  <c r="AM205" i="3" s="1"/>
  <c r="AQ205" i="25" s="1"/>
  <c r="AR205" i="25" s="1"/>
  <c r="AQ200" i="3"/>
  <c r="AS200" i="3" s="1"/>
  <c r="AR200" i="3" s="1"/>
  <c r="AW200" i="3" s="1"/>
  <c r="AY200" i="3" s="1"/>
  <c r="AX200" i="3" s="1"/>
  <c r="AQ194" i="3"/>
  <c r="AS194" i="3" s="1"/>
  <c r="AR194" i="3" s="1"/>
  <c r="AW194" i="3" s="1"/>
  <c r="AY194" i="3" s="1"/>
  <c r="AX194" i="3" s="1"/>
  <c r="AS196" i="25"/>
  <c r="AJ126" i="3"/>
  <c r="AJ111" i="3"/>
  <c r="AJ134" i="3"/>
  <c r="AK134" i="3" s="1"/>
  <c r="AJ118" i="3"/>
  <c r="AJ132" i="3"/>
  <c r="AJ133" i="3"/>
  <c r="AK133" i="3" s="1"/>
  <c r="AJ204" i="3"/>
  <c r="AJ113" i="3"/>
  <c r="AJ121" i="3"/>
  <c r="AK121" i="3" s="1"/>
  <c r="AJ119" i="3"/>
  <c r="AJ130" i="3"/>
  <c r="AJ131" i="3"/>
  <c r="AJ128" i="3"/>
  <c r="AJ120" i="3"/>
  <c r="AJ112" i="3"/>
  <c r="AS194" i="25"/>
  <c r="AJ124" i="3"/>
  <c r="AJ125" i="3"/>
  <c r="AJ114" i="3"/>
  <c r="AJ115" i="3"/>
  <c r="AS119" i="25"/>
  <c r="AH203" i="3"/>
  <c r="AH139" i="3"/>
  <c r="AH116" i="3"/>
  <c r="AH122" i="3"/>
  <c r="AH136" i="3"/>
  <c r="AI136" i="3" s="1"/>
  <c r="AH127" i="3"/>
  <c r="AH137" i="3"/>
  <c r="AH211" i="3"/>
  <c r="AH138" i="3"/>
  <c r="AH210" i="3"/>
  <c r="AI210" i="3" s="1"/>
  <c r="AH212" i="3"/>
  <c r="AS203" i="25"/>
  <c r="AS138" i="25"/>
  <c r="AS210" i="25"/>
  <c r="AF216" i="3"/>
  <c r="AG216" i="3" s="1"/>
  <c r="AF145" i="3"/>
  <c r="AF144" i="3"/>
  <c r="AF209" i="3"/>
  <c r="AF217" i="3"/>
  <c r="AF143" i="3"/>
  <c r="AF218" i="3"/>
  <c r="AS218" i="25"/>
  <c r="AD151" i="3"/>
  <c r="AE151" i="3" s="1"/>
  <c r="AD222" i="3"/>
  <c r="AE222" i="3" s="1"/>
  <c r="AD224" i="3"/>
  <c r="AD150" i="3"/>
  <c r="AD223" i="3"/>
  <c r="AD157" i="3"/>
  <c r="AE157" i="3" s="1"/>
  <c r="AD149" i="3"/>
  <c r="AB228" i="3"/>
  <c r="AB229" i="3"/>
  <c r="AB230" i="3"/>
  <c r="AB156" i="3"/>
  <c r="AB155" i="3"/>
  <c r="AS207" i="25"/>
  <c r="AS146" i="25"/>
  <c r="AS144" i="25"/>
  <c r="AS208" i="25"/>
  <c r="C167" i="3"/>
  <c r="C161" i="25"/>
  <c r="AE68" i="25"/>
  <c r="C76" i="3"/>
  <c r="C70" i="25"/>
  <c r="C80" i="3"/>
  <c r="C74" i="25"/>
  <c r="AE65" i="25"/>
  <c r="AE66" i="25"/>
  <c r="AE64" i="25"/>
  <c r="C77" i="3"/>
  <c r="C71" i="25"/>
  <c r="C78" i="3"/>
  <c r="C72" i="25"/>
  <c r="U31" i="3"/>
  <c r="T31" i="3"/>
  <c r="U52" i="3"/>
  <c r="T52" i="3"/>
  <c r="U66" i="3"/>
  <c r="T66" i="3"/>
  <c r="U80" i="3"/>
  <c r="T80" i="3"/>
  <c r="U101" i="3"/>
  <c r="T101" i="3"/>
  <c r="U24" i="3"/>
  <c r="U45" i="3"/>
  <c r="T45" i="3"/>
  <c r="U59" i="3"/>
  <c r="T59" i="3"/>
  <c r="U87" i="3"/>
  <c r="T87" i="3"/>
  <c r="U94" i="3"/>
  <c r="U38" i="3"/>
  <c r="T38" i="3"/>
  <c r="U73" i="3"/>
  <c r="T73" i="3"/>
  <c r="U36" i="3"/>
  <c r="U84" i="3"/>
  <c r="U99" i="3"/>
  <c r="U27" i="3"/>
  <c r="U89" i="3"/>
  <c r="U42" i="3"/>
  <c r="U32" i="3"/>
  <c r="U39" i="3"/>
  <c r="U83" i="3"/>
  <c r="U55" i="3"/>
  <c r="U54" i="3"/>
  <c r="U47" i="3"/>
  <c r="U68" i="3"/>
  <c r="U91" i="3"/>
  <c r="U81" i="3"/>
  <c r="U34" i="3"/>
  <c r="U96" i="3"/>
  <c r="U88" i="3"/>
  <c r="U23" i="3"/>
  <c r="U95" i="3"/>
  <c r="U78" i="3"/>
  <c r="U77" i="3"/>
  <c r="U92" i="3"/>
  <c r="U85" i="3"/>
  <c r="U82" i="3"/>
  <c r="U67" i="3"/>
  <c r="U90" i="3"/>
  <c r="U49" i="3"/>
  <c r="U64" i="3"/>
  <c r="U100" i="3"/>
  <c r="U93" i="3"/>
  <c r="U57" i="3"/>
  <c r="U72" i="3"/>
  <c r="U79" i="3"/>
  <c r="U62" i="3"/>
  <c r="U61" i="3"/>
  <c r="U76" i="3"/>
  <c r="U102" i="3"/>
  <c r="U69" i="3"/>
  <c r="U50" i="3"/>
  <c r="U51" i="3"/>
  <c r="U58" i="3"/>
  <c r="U41" i="3"/>
  <c r="U56" i="3"/>
  <c r="U28" i="3"/>
  <c r="U75" i="3"/>
  <c r="U71" i="3"/>
  <c r="U46" i="3"/>
  <c r="U29" i="3"/>
  <c r="U60" i="3"/>
  <c r="U86" i="3"/>
  <c r="U53" i="3"/>
  <c r="U43" i="3"/>
  <c r="U26" i="3"/>
  <c r="U33" i="3"/>
  <c r="U48" i="3"/>
  <c r="U65" i="3"/>
  <c r="U103" i="3"/>
  <c r="U63" i="3"/>
  <c r="U30" i="3"/>
  <c r="U44" i="3"/>
  <c r="U70" i="3"/>
  <c r="U37" i="3"/>
  <c r="U35" i="3"/>
  <c r="U97" i="3"/>
  <c r="U25" i="3"/>
  <c r="U74" i="3"/>
  <c r="U40" i="3"/>
  <c r="U98" i="3"/>
  <c r="E6" i="26"/>
  <c r="F2" i="26" s="1"/>
  <c r="U9" i="3"/>
  <c r="S11" i="3"/>
  <c r="T11" i="3" s="1"/>
  <c r="S12" i="3"/>
  <c r="S13" i="3"/>
  <c r="T13" i="3" s="1"/>
  <c r="S14" i="3"/>
  <c r="T14" i="3" s="1"/>
  <c r="S15" i="3"/>
  <c r="S16" i="3"/>
  <c r="T16" i="3" s="1"/>
  <c r="S17" i="3"/>
  <c r="T17" i="3" s="1"/>
  <c r="S18" i="3"/>
  <c r="T18" i="3" s="1"/>
  <c r="S19" i="3"/>
  <c r="T19" i="3" s="1"/>
  <c r="S20" i="3"/>
  <c r="T20" i="3" s="1"/>
  <c r="S21" i="3"/>
  <c r="T21" i="3" s="1"/>
  <c r="S22" i="3"/>
  <c r="T22" i="3" s="1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2" i="3"/>
  <c r="BG33" i="3"/>
  <c r="BG34" i="3"/>
  <c r="BG35" i="3"/>
  <c r="BG36" i="3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64" i="3"/>
  <c r="BG65" i="3"/>
  <c r="BG66" i="3"/>
  <c r="BG67" i="3"/>
  <c r="BG68" i="3"/>
  <c r="BG69" i="3"/>
  <c r="BG70" i="3"/>
  <c r="BG71" i="3"/>
  <c r="BG72" i="3"/>
  <c r="BG73" i="3"/>
  <c r="BG74" i="3"/>
  <c r="BG75" i="3"/>
  <c r="BG76" i="3"/>
  <c r="BG77" i="3"/>
  <c r="BG78" i="3"/>
  <c r="BG79" i="3"/>
  <c r="BG80" i="3"/>
  <c r="BG81" i="3"/>
  <c r="BG82" i="3"/>
  <c r="BG83" i="3"/>
  <c r="BG84" i="3"/>
  <c r="BG85" i="3"/>
  <c r="BG86" i="3"/>
  <c r="BG87" i="3"/>
  <c r="BG88" i="3"/>
  <c r="BG89" i="3"/>
  <c r="BG90" i="3"/>
  <c r="BG91" i="3"/>
  <c r="BG92" i="3"/>
  <c r="BG93" i="3"/>
  <c r="BG94" i="3"/>
  <c r="BG95" i="3"/>
  <c r="BG96" i="3"/>
  <c r="BG97" i="3"/>
  <c r="BG98" i="3"/>
  <c r="BG99" i="3"/>
  <c r="BG100" i="3"/>
  <c r="BG101" i="3"/>
  <c r="BG102" i="3"/>
  <c r="BG103" i="3"/>
  <c r="AQ199" i="3" l="1"/>
  <c r="AS199" i="3" s="1"/>
  <c r="AR199" i="3" s="1"/>
  <c r="AW199" i="3" s="1"/>
  <c r="AY199" i="3" s="1"/>
  <c r="AX199" i="3" s="1"/>
  <c r="BL199" i="3"/>
  <c r="AQ197" i="3"/>
  <c r="AS197" i="3" s="1"/>
  <c r="AR197" i="3" s="1"/>
  <c r="AW197" i="3" s="1"/>
  <c r="AY197" i="3" s="1"/>
  <c r="AX197" i="3" s="1"/>
  <c r="BL197" i="3"/>
  <c r="AQ183" i="3"/>
  <c r="AS183" i="3" s="1"/>
  <c r="AR183" i="3" s="1"/>
  <c r="AW183" i="3" s="1"/>
  <c r="AY183" i="3" s="1"/>
  <c r="AS183" i="25" s="1"/>
  <c r="BL183" i="3"/>
  <c r="AQ185" i="3"/>
  <c r="AS185" i="3" s="1"/>
  <c r="AR185" i="3" s="1"/>
  <c r="AW185" i="3" s="1"/>
  <c r="AY185" i="3" s="1"/>
  <c r="AX185" i="3" s="1"/>
  <c r="BL185" i="3"/>
  <c r="AQ206" i="3"/>
  <c r="AS206" i="3" s="1"/>
  <c r="AR206" i="3" s="1"/>
  <c r="AW206" i="3" s="1"/>
  <c r="AY206" i="3" s="1"/>
  <c r="BL206" i="3"/>
  <c r="AQ206" i="25"/>
  <c r="AR206" i="25" s="1"/>
  <c r="AN205" i="3"/>
  <c r="AQ197" i="25"/>
  <c r="AR197" i="25" s="1"/>
  <c r="AN190" i="3"/>
  <c r="BL190" i="3" s="1"/>
  <c r="AN191" i="3"/>
  <c r="AL113" i="3"/>
  <c r="AM113" i="3" s="1"/>
  <c r="AN113" i="3" s="1"/>
  <c r="AL112" i="3"/>
  <c r="AM112" i="3" s="1"/>
  <c r="AQ112" i="25" s="1"/>
  <c r="AR112" i="25" s="1"/>
  <c r="AL204" i="3"/>
  <c r="AM204" i="3" s="1"/>
  <c r="AN204" i="3" s="1"/>
  <c r="BL204" i="3" s="1"/>
  <c r="AL126" i="3"/>
  <c r="AM126" i="3" s="1"/>
  <c r="AN126" i="3" s="1"/>
  <c r="AL120" i="3"/>
  <c r="AM120" i="3" s="1"/>
  <c r="AN120" i="3" s="1"/>
  <c r="AL133" i="3"/>
  <c r="AM133" i="3" s="1"/>
  <c r="AQ133" i="25" s="1"/>
  <c r="AR133" i="25" s="1"/>
  <c r="AL128" i="3"/>
  <c r="AM128" i="3" s="1"/>
  <c r="AN128" i="3" s="1"/>
  <c r="AL132" i="3"/>
  <c r="AM132" i="3" s="1"/>
  <c r="AN132" i="3" s="1"/>
  <c r="AL115" i="3"/>
  <c r="AM115" i="3" s="1"/>
  <c r="AN115" i="3" s="1"/>
  <c r="BL115" i="3" s="1"/>
  <c r="AL131" i="3"/>
  <c r="AM131" i="3" s="1"/>
  <c r="AN131" i="3" s="1"/>
  <c r="AL118" i="3"/>
  <c r="AM118" i="3" s="1"/>
  <c r="AN118" i="3" s="1"/>
  <c r="AL114" i="3"/>
  <c r="AM114" i="3" s="1"/>
  <c r="AN114" i="3" s="1"/>
  <c r="AL130" i="3"/>
  <c r="AM130" i="3" s="1"/>
  <c r="AN130" i="3" s="1"/>
  <c r="AL134" i="3"/>
  <c r="AM134" i="3" s="1"/>
  <c r="AQ134" i="25" s="1"/>
  <c r="AR134" i="25" s="1"/>
  <c r="AL125" i="3"/>
  <c r="AM125" i="3" s="1"/>
  <c r="AQ125" i="25" s="1"/>
  <c r="AR125" i="25" s="1"/>
  <c r="AL119" i="3"/>
  <c r="AM119" i="3" s="1"/>
  <c r="AN119" i="3" s="1"/>
  <c r="AL124" i="3"/>
  <c r="AM124" i="3" s="1"/>
  <c r="AN124" i="3" s="1"/>
  <c r="BL124" i="3" s="1"/>
  <c r="AL121" i="3"/>
  <c r="AM121" i="3" s="1"/>
  <c r="AN121" i="3" s="1"/>
  <c r="AL111" i="3"/>
  <c r="AM111" i="3" s="1"/>
  <c r="AQ111" i="25" s="1"/>
  <c r="AR111" i="25" s="1"/>
  <c r="AX206" i="3"/>
  <c r="AS114" i="25"/>
  <c r="AJ116" i="3"/>
  <c r="AK116" i="3" s="1"/>
  <c r="AJ139" i="3"/>
  <c r="AK139" i="3" s="1"/>
  <c r="AJ203" i="3"/>
  <c r="AJ122" i="3"/>
  <c r="AK122" i="3" s="1"/>
  <c r="AJ212" i="3"/>
  <c r="AJ137" i="3"/>
  <c r="AJ210" i="3"/>
  <c r="AJ127" i="3"/>
  <c r="AK127" i="3" s="1"/>
  <c r="AJ138" i="3"/>
  <c r="AJ211" i="3"/>
  <c r="AK211" i="3" s="1"/>
  <c r="AJ136" i="3"/>
  <c r="AS116" i="25"/>
  <c r="AH209" i="3"/>
  <c r="AH218" i="3"/>
  <c r="AH144" i="3"/>
  <c r="AH216" i="3"/>
  <c r="AI216" i="3" s="1"/>
  <c r="AH217" i="3"/>
  <c r="AH143" i="3"/>
  <c r="AH145" i="3"/>
  <c r="AF224" i="3"/>
  <c r="AF222" i="3"/>
  <c r="AG222" i="3" s="1"/>
  <c r="AF149" i="3"/>
  <c r="AF157" i="3"/>
  <c r="AF223" i="3"/>
  <c r="AF151" i="3"/>
  <c r="AF150" i="3"/>
  <c r="AS217" i="25"/>
  <c r="AD230" i="3"/>
  <c r="AD229" i="3"/>
  <c r="AD228" i="3"/>
  <c r="AE228" i="3" s="1"/>
  <c r="AD155" i="3"/>
  <c r="AD156" i="3"/>
  <c r="AS148" i="25"/>
  <c r="AS224" i="25"/>
  <c r="AS214" i="25"/>
  <c r="AS229" i="25"/>
  <c r="AE161" i="25"/>
  <c r="C173" i="3"/>
  <c r="C167" i="25"/>
  <c r="AE74" i="25"/>
  <c r="AE72" i="25"/>
  <c r="C83" i="3"/>
  <c r="C77" i="25"/>
  <c r="C86" i="3"/>
  <c r="C80" i="25"/>
  <c r="AE70" i="25"/>
  <c r="C84" i="3"/>
  <c r="C78" i="25"/>
  <c r="C82" i="3"/>
  <c r="C76" i="25"/>
  <c r="AE71" i="25"/>
  <c r="T15" i="3"/>
  <c r="T12" i="3"/>
  <c r="T40" i="25"/>
  <c r="T74" i="25"/>
  <c r="T28" i="25"/>
  <c r="T102" i="25"/>
  <c r="T61" i="25"/>
  <c r="T77" i="25"/>
  <c r="T34" i="25"/>
  <c r="T54" i="25"/>
  <c r="T83" i="25"/>
  <c r="T27" i="25"/>
  <c r="T36" i="25"/>
  <c r="T80" i="25"/>
  <c r="T37" i="25"/>
  <c r="T44" i="25"/>
  <c r="T30" i="25"/>
  <c r="T48" i="25"/>
  <c r="T79" i="25"/>
  <c r="T95" i="25"/>
  <c r="T88" i="25"/>
  <c r="T96" i="25"/>
  <c r="T39" i="25"/>
  <c r="T99" i="25"/>
  <c r="T59" i="25"/>
  <c r="T25" i="25"/>
  <c r="T103" i="25"/>
  <c r="T53" i="25"/>
  <c r="T60" i="25"/>
  <c r="T46" i="25"/>
  <c r="T72" i="25"/>
  <c r="T57" i="25"/>
  <c r="T84" i="25"/>
  <c r="T73" i="25"/>
  <c r="T66" i="25"/>
  <c r="T97" i="25"/>
  <c r="T33" i="25"/>
  <c r="T26" i="25"/>
  <c r="T56" i="25"/>
  <c r="T93" i="25"/>
  <c r="T64" i="25"/>
  <c r="T81" i="25"/>
  <c r="T55" i="25"/>
  <c r="T45" i="25"/>
  <c r="T35" i="25"/>
  <c r="T69" i="25"/>
  <c r="T76" i="25"/>
  <c r="T62" i="25"/>
  <c r="T85" i="25"/>
  <c r="T92" i="25"/>
  <c r="T78" i="25"/>
  <c r="T32" i="25"/>
  <c r="T42" i="25"/>
  <c r="T38" i="25"/>
  <c r="T24" i="25"/>
  <c r="T52" i="25"/>
  <c r="T70" i="25"/>
  <c r="T65" i="25"/>
  <c r="T43" i="25"/>
  <c r="T41" i="25"/>
  <c r="T58" i="25"/>
  <c r="T100" i="25"/>
  <c r="T49" i="25"/>
  <c r="T90" i="25"/>
  <c r="T91" i="25"/>
  <c r="T94" i="25"/>
  <c r="T98" i="25"/>
  <c r="T63" i="25"/>
  <c r="T86" i="25"/>
  <c r="T29" i="25"/>
  <c r="T75" i="25"/>
  <c r="T68" i="25"/>
  <c r="T47" i="25"/>
  <c r="T101" i="25"/>
  <c r="T31" i="25"/>
  <c r="T71" i="25"/>
  <c r="T51" i="25"/>
  <c r="T50" i="25"/>
  <c r="T67" i="25"/>
  <c r="T82" i="25"/>
  <c r="T23" i="25"/>
  <c r="T89" i="25"/>
  <c r="T87" i="25"/>
  <c r="F6" i="26"/>
  <c r="F5" i="26"/>
  <c r="F3" i="26"/>
  <c r="F4" i="26"/>
  <c r="T9" i="25"/>
  <c r="AX183" i="3" l="1"/>
  <c r="AQ190" i="3"/>
  <c r="AS190" i="3" s="1"/>
  <c r="AR190" i="3" s="1"/>
  <c r="AW190" i="3" s="1"/>
  <c r="AY190" i="3" s="1"/>
  <c r="AS190" i="25" s="1"/>
  <c r="AQ119" i="3"/>
  <c r="AS119" i="3" s="1"/>
  <c r="AR119" i="3" s="1"/>
  <c r="AW119" i="3" s="1"/>
  <c r="AY119" i="3" s="1"/>
  <c r="AX119" i="3" s="1"/>
  <c r="BL119" i="3"/>
  <c r="AQ132" i="3"/>
  <c r="AS132" i="3" s="1"/>
  <c r="AR132" i="3" s="1"/>
  <c r="AW132" i="3" s="1"/>
  <c r="AY132" i="3" s="1"/>
  <c r="AX132" i="3" s="1"/>
  <c r="BL132" i="3"/>
  <c r="AQ191" i="3"/>
  <c r="AS191" i="3" s="1"/>
  <c r="AR191" i="3" s="1"/>
  <c r="AW191" i="3" s="1"/>
  <c r="AY191" i="3" s="1"/>
  <c r="AX191" i="3" s="1"/>
  <c r="BL191" i="3"/>
  <c r="AQ113" i="3"/>
  <c r="AS113" i="3" s="1"/>
  <c r="AR113" i="3" s="1"/>
  <c r="AW113" i="3" s="1"/>
  <c r="AY113" i="3" s="1"/>
  <c r="AX113" i="3" s="1"/>
  <c r="BL113" i="3"/>
  <c r="AQ128" i="3"/>
  <c r="AS128" i="3" s="1"/>
  <c r="AR128" i="3" s="1"/>
  <c r="AW128" i="3" s="1"/>
  <c r="AY128" i="3" s="1"/>
  <c r="AS128" i="25" s="1"/>
  <c r="BL128" i="3"/>
  <c r="AQ130" i="3"/>
  <c r="AS130" i="3" s="1"/>
  <c r="AR130" i="3" s="1"/>
  <c r="AW130" i="3" s="1"/>
  <c r="AY130" i="3" s="1"/>
  <c r="AX130" i="3" s="1"/>
  <c r="BL130" i="3"/>
  <c r="AQ120" i="3"/>
  <c r="AS120" i="3" s="1"/>
  <c r="AR120" i="3" s="1"/>
  <c r="AW120" i="3" s="1"/>
  <c r="AY120" i="3" s="1"/>
  <c r="AX120" i="3" s="1"/>
  <c r="BL120" i="3"/>
  <c r="AQ205" i="3"/>
  <c r="AS205" i="3" s="1"/>
  <c r="AR205" i="3" s="1"/>
  <c r="AW205" i="3" s="1"/>
  <c r="AY205" i="3" s="1"/>
  <c r="AX205" i="3" s="1"/>
  <c r="BL205" i="3"/>
  <c r="AQ114" i="3"/>
  <c r="AS114" i="3" s="1"/>
  <c r="AR114" i="3" s="1"/>
  <c r="AW114" i="3" s="1"/>
  <c r="AY114" i="3" s="1"/>
  <c r="AX114" i="3" s="1"/>
  <c r="BL114" i="3"/>
  <c r="AQ126" i="3"/>
  <c r="AS126" i="3" s="1"/>
  <c r="AR126" i="3" s="1"/>
  <c r="AW126" i="3" s="1"/>
  <c r="AY126" i="3" s="1"/>
  <c r="AX126" i="3" s="1"/>
  <c r="BL126" i="3"/>
  <c r="AQ118" i="3"/>
  <c r="AS118" i="3" s="1"/>
  <c r="AR118" i="3" s="1"/>
  <c r="AW118" i="3" s="1"/>
  <c r="AY118" i="3" s="1"/>
  <c r="AX118" i="3" s="1"/>
  <c r="BL118" i="3"/>
  <c r="AQ121" i="3"/>
  <c r="AS121" i="3" s="1"/>
  <c r="AR121" i="3" s="1"/>
  <c r="AW121" i="3" s="1"/>
  <c r="AY121" i="3" s="1"/>
  <c r="AX121" i="3" s="1"/>
  <c r="BL121" i="3"/>
  <c r="AQ131" i="3"/>
  <c r="AS131" i="3" s="1"/>
  <c r="AR131" i="3" s="1"/>
  <c r="AW131" i="3" s="1"/>
  <c r="AY131" i="3" s="1"/>
  <c r="AX131" i="3" s="1"/>
  <c r="BL131" i="3"/>
  <c r="AQ132" i="25"/>
  <c r="AR132" i="25" s="1"/>
  <c r="AQ128" i="25"/>
  <c r="AR128" i="25" s="1"/>
  <c r="AN112" i="3"/>
  <c r="BL112" i="3" s="1"/>
  <c r="AQ113" i="25"/>
  <c r="AR113" i="25" s="1"/>
  <c r="AQ131" i="25"/>
  <c r="AR131" i="25" s="1"/>
  <c r="AQ204" i="25"/>
  <c r="AR204" i="25" s="1"/>
  <c r="AQ126" i="25"/>
  <c r="AR126" i="25" s="1"/>
  <c r="AQ114" i="25"/>
  <c r="AR114" i="25" s="1"/>
  <c r="AQ119" i="25"/>
  <c r="AR119" i="25" s="1"/>
  <c r="AN111" i="3"/>
  <c r="AQ130" i="25"/>
  <c r="AR130" i="25" s="1"/>
  <c r="AN133" i="3"/>
  <c r="AQ115" i="25"/>
  <c r="AR115" i="25" s="1"/>
  <c r="AQ124" i="25"/>
  <c r="AR124" i="25" s="1"/>
  <c r="AQ120" i="25"/>
  <c r="AR120" i="25" s="1"/>
  <c r="AN134" i="3"/>
  <c r="AQ118" i="25"/>
  <c r="AR118" i="25" s="1"/>
  <c r="AL138" i="3"/>
  <c r="AM138" i="3" s="1"/>
  <c r="AN138" i="3" s="1"/>
  <c r="AL127" i="3"/>
  <c r="AM127" i="3" s="1"/>
  <c r="AN127" i="3" s="1"/>
  <c r="AL116" i="3"/>
  <c r="AM116" i="3" s="1"/>
  <c r="AN116" i="3" s="1"/>
  <c r="BL116" i="3" s="1"/>
  <c r="AL210" i="3"/>
  <c r="AM210" i="3" s="1"/>
  <c r="AN210" i="3" s="1"/>
  <c r="AL137" i="3"/>
  <c r="AM137" i="3" s="1"/>
  <c r="AQ137" i="25" s="1"/>
  <c r="AR137" i="25" s="1"/>
  <c r="AL212" i="3"/>
  <c r="AM212" i="3" s="1"/>
  <c r="AN212" i="3" s="1"/>
  <c r="AQ121" i="25"/>
  <c r="AR121" i="25" s="1"/>
  <c r="AL122" i="3"/>
  <c r="AM122" i="3" s="1"/>
  <c r="AQ122" i="25" s="1"/>
  <c r="AR122" i="25" s="1"/>
  <c r="AL136" i="3"/>
  <c r="AM136" i="3" s="1"/>
  <c r="AN136" i="3" s="1"/>
  <c r="BL136" i="3" s="1"/>
  <c r="AL203" i="3"/>
  <c r="AM203" i="3" s="1"/>
  <c r="AN203" i="3" s="1"/>
  <c r="AN125" i="3"/>
  <c r="AL211" i="3"/>
  <c r="AM211" i="3" s="1"/>
  <c r="AN211" i="3" s="1"/>
  <c r="BL211" i="3" s="1"/>
  <c r="AL139" i="3"/>
  <c r="AM139" i="3" s="1"/>
  <c r="AQ139" i="25" s="1"/>
  <c r="AR139" i="25" s="1"/>
  <c r="AX128" i="3"/>
  <c r="AX190" i="3"/>
  <c r="AQ204" i="3"/>
  <c r="AS204" i="3" s="1"/>
  <c r="AR204" i="3" s="1"/>
  <c r="AW204" i="3" s="1"/>
  <c r="AY204" i="3" s="1"/>
  <c r="AX204" i="3" s="1"/>
  <c r="AQ124" i="3"/>
  <c r="AS124" i="3" s="1"/>
  <c r="AR124" i="3" s="1"/>
  <c r="AW124" i="3" s="1"/>
  <c r="AY124" i="3" s="1"/>
  <c r="AX124" i="3" s="1"/>
  <c r="AQ115" i="3"/>
  <c r="AS115" i="3" s="1"/>
  <c r="AR115" i="3" s="1"/>
  <c r="AW115" i="3" s="1"/>
  <c r="AY115" i="3" s="1"/>
  <c r="AX115" i="3" s="1"/>
  <c r="AS212" i="25"/>
  <c r="AJ145" i="3"/>
  <c r="AK145" i="3" s="1"/>
  <c r="AJ143" i="3"/>
  <c r="AJ218" i="3"/>
  <c r="AJ217" i="3"/>
  <c r="AK217" i="3" s="1"/>
  <c r="AJ144" i="3"/>
  <c r="AJ209" i="3"/>
  <c r="AJ216" i="3"/>
  <c r="AS213" i="25"/>
  <c r="AS142" i="25"/>
  <c r="AH150" i="3"/>
  <c r="AH151" i="3"/>
  <c r="AH223" i="3"/>
  <c r="AH149" i="3"/>
  <c r="AH222" i="3"/>
  <c r="AI222" i="3" s="1"/>
  <c r="AH157" i="3"/>
  <c r="AH224" i="3"/>
  <c r="AS222" i="25"/>
  <c r="AF230" i="3"/>
  <c r="AF228" i="3"/>
  <c r="AG228" i="3" s="1"/>
  <c r="AF156" i="3"/>
  <c r="AF155" i="3"/>
  <c r="AF229" i="3"/>
  <c r="AS155" i="25"/>
  <c r="AS156" i="25"/>
  <c r="AS153" i="25"/>
  <c r="AS150" i="25"/>
  <c r="AS220" i="25"/>
  <c r="AP161" i="25"/>
  <c r="AT161" i="25" s="1"/>
  <c r="AV161" i="25" s="1"/>
  <c r="AE167" i="25"/>
  <c r="C179" i="3"/>
  <c r="C173" i="25"/>
  <c r="AE80" i="25"/>
  <c r="C88" i="3"/>
  <c r="C82" i="25"/>
  <c r="C92" i="3"/>
  <c r="C86" i="25"/>
  <c r="AE78" i="25"/>
  <c r="AE77" i="25"/>
  <c r="AE76" i="25"/>
  <c r="C90" i="3"/>
  <c r="C84" i="25"/>
  <c r="C89" i="3"/>
  <c r="C83" i="25"/>
  <c r="U20" i="3"/>
  <c r="U13" i="3"/>
  <c r="U14" i="3"/>
  <c r="U17" i="3"/>
  <c r="U21" i="3"/>
  <c r="U22" i="3"/>
  <c r="U12" i="3"/>
  <c r="H1" i="28" s="1"/>
  <c r="U18" i="3"/>
  <c r="U16" i="3"/>
  <c r="U11" i="3"/>
  <c r="U19" i="3"/>
  <c r="U15" i="3"/>
  <c r="U10" i="3"/>
  <c r="U22" i="25"/>
  <c r="U92" i="25"/>
  <c r="U62" i="25"/>
  <c r="U19" i="25"/>
  <c r="U78" i="25"/>
  <c r="U60" i="25"/>
  <c r="U14" i="25"/>
  <c r="U42" i="25"/>
  <c r="U74" i="25"/>
  <c r="U71" i="25"/>
  <c r="U85" i="25"/>
  <c r="U43" i="25"/>
  <c r="U57" i="25"/>
  <c r="U37" i="25"/>
  <c r="U32" i="25"/>
  <c r="U30" i="25"/>
  <c r="U96" i="25"/>
  <c r="U13" i="25"/>
  <c r="U100" i="25"/>
  <c r="U9" i="25"/>
  <c r="AQ112" i="3" l="1"/>
  <c r="AS112" i="3" s="1"/>
  <c r="AR112" i="3" s="1"/>
  <c r="AW112" i="3" s="1"/>
  <c r="AY112" i="3" s="1"/>
  <c r="AQ125" i="3"/>
  <c r="AS125" i="3" s="1"/>
  <c r="AR125" i="3" s="1"/>
  <c r="AW125" i="3" s="1"/>
  <c r="AY125" i="3" s="1"/>
  <c r="AS125" i="25" s="1"/>
  <c r="BL125" i="3"/>
  <c r="AQ133" i="3"/>
  <c r="AS133" i="3" s="1"/>
  <c r="AR133" i="3" s="1"/>
  <c r="AW133" i="3" s="1"/>
  <c r="AY133" i="3" s="1"/>
  <c r="AS133" i="25" s="1"/>
  <c r="BL133" i="3"/>
  <c r="AQ210" i="3"/>
  <c r="AS210" i="3" s="1"/>
  <c r="AR210" i="3" s="1"/>
  <c r="AW210" i="3" s="1"/>
  <c r="AY210" i="3" s="1"/>
  <c r="AX210" i="3" s="1"/>
  <c r="BL210" i="3"/>
  <c r="AQ203" i="3"/>
  <c r="AS203" i="3" s="1"/>
  <c r="AR203" i="3" s="1"/>
  <c r="AW203" i="3" s="1"/>
  <c r="AY203" i="3" s="1"/>
  <c r="AX203" i="3" s="1"/>
  <c r="BL203" i="3"/>
  <c r="AQ127" i="3"/>
  <c r="AS127" i="3" s="1"/>
  <c r="AR127" i="3" s="1"/>
  <c r="AW127" i="3" s="1"/>
  <c r="AY127" i="3" s="1"/>
  <c r="AS127" i="25" s="1"/>
  <c r="BL127" i="3"/>
  <c r="AQ138" i="3"/>
  <c r="AS138" i="3" s="1"/>
  <c r="AR138" i="3" s="1"/>
  <c r="AW138" i="3" s="1"/>
  <c r="AY138" i="3" s="1"/>
  <c r="AX138" i="3" s="1"/>
  <c r="BL138" i="3"/>
  <c r="AQ111" i="3"/>
  <c r="AS111" i="3" s="1"/>
  <c r="AR111" i="3" s="1"/>
  <c r="AW111" i="3" s="1"/>
  <c r="AY111" i="3" s="1"/>
  <c r="AS111" i="25" s="1"/>
  <c r="BL111" i="3"/>
  <c r="AQ134" i="3"/>
  <c r="AS134" i="3" s="1"/>
  <c r="AR134" i="3" s="1"/>
  <c r="AW134" i="3" s="1"/>
  <c r="AY134" i="3" s="1"/>
  <c r="AX134" i="3" s="1"/>
  <c r="BL134" i="3"/>
  <c r="AQ212" i="3"/>
  <c r="AS212" i="3" s="1"/>
  <c r="AR212" i="3" s="1"/>
  <c r="AW212" i="3" s="1"/>
  <c r="AY212" i="3" s="1"/>
  <c r="AX212" i="3" s="1"/>
  <c r="BL212" i="3"/>
  <c r="AQ210" i="25"/>
  <c r="AR210" i="25" s="1"/>
  <c r="AQ138" i="25"/>
  <c r="AR138" i="25" s="1"/>
  <c r="AQ203" i="25"/>
  <c r="AR203" i="25" s="1"/>
  <c r="AQ212" i="25"/>
  <c r="AR212" i="25" s="1"/>
  <c r="AN137" i="3"/>
  <c r="AN139" i="3"/>
  <c r="AQ127" i="25"/>
  <c r="AR127" i="25" s="1"/>
  <c r="AQ136" i="25"/>
  <c r="AR136" i="25" s="1"/>
  <c r="AQ211" i="25"/>
  <c r="AR211" i="25" s="1"/>
  <c r="AQ116" i="25"/>
  <c r="AR116" i="25" s="1"/>
  <c r="AN122" i="3"/>
  <c r="AL216" i="3"/>
  <c r="AM216" i="3" s="1"/>
  <c r="AN216" i="3" s="1"/>
  <c r="BL216" i="3" s="1"/>
  <c r="AL145" i="3"/>
  <c r="AM145" i="3" s="1"/>
  <c r="AN145" i="3" s="1"/>
  <c r="BL145" i="3" s="1"/>
  <c r="AL144" i="3"/>
  <c r="AM144" i="3" s="1"/>
  <c r="AN144" i="3" s="1"/>
  <c r="AL217" i="3"/>
  <c r="AM217" i="3" s="1"/>
  <c r="AN217" i="3" s="1"/>
  <c r="AL209" i="3"/>
  <c r="AM209" i="3" s="1"/>
  <c r="AQ209" i="25" s="1"/>
  <c r="AR209" i="25" s="1"/>
  <c r="AL218" i="3"/>
  <c r="AM218" i="3" s="1"/>
  <c r="AQ218" i="25" s="1"/>
  <c r="AR218" i="25" s="1"/>
  <c r="AL143" i="3"/>
  <c r="AM143" i="3" s="1"/>
  <c r="AN143" i="3" s="1"/>
  <c r="AX112" i="3"/>
  <c r="AX125" i="3"/>
  <c r="AQ116" i="3"/>
  <c r="AS116" i="3" s="1"/>
  <c r="AR116" i="3" s="1"/>
  <c r="AW116" i="3" s="1"/>
  <c r="AY116" i="3" s="1"/>
  <c r="AX116" i="3" s="1"/>
  <c r="AQ136" i="3"/>
  <c r="AS136" i="3" s="1"/>
  <c r="AR136" i="3" s="1"/>
  <c r="AW136" i="3" s="1"/>
  <c r="AY136" i="3" s="1"/>
  <c r="AS136" i="25" s="1"/>
  <c r="AQ211" i="3"/>
  <c r="AS211" i="3" s="1"/>
  <c r="AR211" i="3" s="1"/>
  <c r="AW211" i="3" s="1"/>
  <c r="AY211" i="3" s="1"/>
  <c r="AS211" i="25" s="1"/>
  <c r="AS143" i="25"/>
  <c r="AJ224" i="3"/>
  <c r="AJ157" i="3"/>
  <c r="AJ222" i="3"/>
  <c r="AJ151" i="3"/>
  <c r="AK151" i="3" s="1"/>
  <c r="AJ149" i="3"/>
  <c r="AJ150" i="3"/>
  <c r="AJ223" i="3"/>
  <c r="AK223" i="3" s="1"/>
  <c r="AS223" i="25"/>
  <c r="AS221" i="25"/>
  <c r="AH229" i="3"/>
  <c r="AH155" i="3"/>
  <c r="AH228" i="3"/>
  <c r="AI228" i="3" s="1"/>
  <c r="AH230" i="3"/>
  <c r="AH156" i="3"/>
  <c r="AS149" i="25"/>
  <c r="AS225" i="25"/>
  <c r="AS158" i="25"/>
  <c r="AS154" i="25"/>
  <c r="V161" i="3"/>
  <c r="X161" i="3" s="1"/>
  <c r="AP167" i="25"/>
  <c r="AT167" i="25" s="1"/>
  <c r="AV167" i="25" s="1"/>
  <c r="C235" i="3"/>
  <c r="C179" i="25"/>
  <c r="C234" i="3"/>
  <c r="C236" i="3"/>
  <c r="AE173" i="25"/>
  <c r="AE82" i="25"/>
  <c r="C95" i="3"/>
  <c r="C89" i="25"/>
  <c r="C94" i="3"/>
  <c r="C88" i="25"/>
  <c r="AE86" i="25"/>
  <c r="AE84" i="25"/>
  <c r="C98" i="3"/>
  <c r="C92" i="25"/>
  <c r="AE83" i="25"/>
  <c r="C96" i="3"/>
  <c r="C90" i="25"/>
  <c r="Y6" i="22"/>
  <c r="Y4" i="22"/>
  <c r="Y5" i="22"/>
  <c r="T22" i="25"/>
  <c r="T13" i="25"/>
  <c r="T15" i="25"/>
  <c r="T11" i="25"/>
  <c r="T21" i="25"/>
  <c r="T12" i="25"/>
  <c r="T19" i="25"/>
  <c r="T16" i="25"/>
  <c r="T20" i="25"/>
  <c r="T14" i="25"/>
  <c r="T18" i="25"/>
  <c r="T17" i="25"/>
  <c r="T10" i="25"/>
  <c r="W9" i="25"/>
  <c r="AP9" i="25" s="1"/>
  <c r="AT9" i="25" s="1"/>
  <c r="AV9" i="25" s="1"/>
  <c r="AX133" i="3" l="1"/>
  <c r="AX127" i="3"/>
  <c r="AQ137" i="3"/>
  <c r="AS137" i="3" s="1"/>
  <c r="AR137" i="3" s="1"/>
  <c r="AW137" i="3" s="1"/>
  <c r="AY137" i="3" s="1"/>
  <c r="AS137" i="25" s="1"/>
  <c r="BL137" i="3"/>
  <c r="AQ122" i="3"/>
  <c r="AS122" i="3" s="1"/>
  <c r="AR122" i="3" s="1"/>
  <c r="AW122" i="3" s="1"/>
  <c r="AY122" i="3" s="1"/>
  <c r="AS122" i="25" s="1"/>
  <c r="BL122" i="3"/>
  <c r="AQ143" i="3"/>
  <c r="AS143" i="3" s="1"/>
  <c r="AR143" i="3" s="1"/>
  <c r="AW143" i="3" s="1"/>
  <c r="AY143" i="3" s="1"/>
  <c r="AX143" i="3" s="1"/>
  <c r="BL143" i="3"/>
  <c r="AX111" i="3"/>
  <c r="AQ217" i="3"/>
  <c r="AS217" i="3" s="1"/>
  <c r="AR217" i="3" s="1"/>
  <c r="AW217" i="3" s="1"/>
  <c r="AY217" i="3" s="1"/>
  <c r="AX217" i="3" s="1"/>
  <c r="BL217" i="3"/>
  <c r="AQ144" i="3"/>
  <c r="AS144" i="3" s="1"/>
  <c r="AR144" i="3" s="1"/>
  <c r="AW144" i="3" s="1"/>
  <c r="AY144" i="3" s="1"/>
  <c r="AX144" i="3" s="1"/>
  <c r="BL144" i="3"/>
  <c r="AQ139" i="3"/>
  <c r="AS139" i="3" s="1"/>
  <c r="AR139" i="3" s="1"/>
  <c r="AW139" i="3" s="1"/>
  <c r="AY139" i="3" s="1"/>
  <c r="AX139" i="3" s="1"/>
  <c r="BL139" i="3"/>
  <c r="AQ144" i="25"/>
  <c r="AR144" i="25" s="1"/>
  <c r="AN209" i="3"/>
  <c r="AQ217" i="25"/>
  <c r="AR217" i="25" s="1"/>
  <c r="AQ216" i="25"/>
  <c r="AR216" i="25" s="1"/>
  <c r="AQ145" i="25"/>
  <c r="AR145" i="25" s="1"/>
  <c r="AN218" i="3"/>
  <c r="AQ143" i="25"/>
  <c r="AR143" i="25" s="1"/>
  <c r="AL222" i="3"/>
  <c r="AM222" i="3" s="1"/>
  <c r="AN222" i="3" s="1"/>
  <c r="AL223" i="3"/>
  <c r="AM223" i="3" s="1"/>
  <c r="AN223" i="3" s="1"/>
  <c r="AL157" i="3"/>
  <c r="AM157" i="3" s="1"/>
  <c r="AQ157" i="25" s="1"/>
  <c r="AR157" i="25" s="1"/>
  <c r="AL224" i="3"/>
  <c r="AM224" i="3" s="1"/>
  <c r="AN224" i="3" s="1"/>
  <c r="AL151" i="3"/>
  <c r="AM151" i="3" s="1"/>
  <c r="AQ151" i="25" s="1"/>
  <c r="AR151" i="25" s="1"/>
  <c r="AL150" i="3"/>
  <c r="AM150" i="3" s="1"/>
  <c r="AQ150" i="25" s="1"/>
  <c r="AR150" i="25" s="1"/>
  <c r="AL149" i="3"/>
  <c r="AM149" i="3" s="1"/>
  <c r="AQ149" i="25" s="1"/>
  <c r="AR149" i="25" s="1"/>
  <c r="AX136" i="3"/>
  <c r="AX211" i="3"/>
  <c r="AQ145" i="3"/>
  <c r="AS145" i="3" s="1"/>
  <c r="AR145" i="3" s="1"/>
  <c r="AW145" i="3" s="1"/>
  <c r="AY145" i="3" s="1"/>
  <c r="AS145" i="25" s="1"/>
  <c r="AQ216" i="3"/>
  <c r="AS216" i="3" s="1"/>
  <c r="AR216" i="3" s="1"/>
  <c r="AW216" i="3" s="1"/>
  <c r="AY216" i="3" s="1"/>
  <c r="AJ155" i="3"/>
  <c r="AJ230" i="3"/>
  <c r="AJ229" i="3"/>
  <c r="AK229" i="3" s="1"/>
  <c r="AJ156" i="3"/>
  <c r="AJ228" i="3"/>
  <c r="AS219" i="25"/>
  <c r="AS227" i="25"/>
  <c r="AS230" i="25"/>
  <c r="Z161" i="3"/>
  <c r="V167" i="3"/>
  <c r="X167" i="3" s="1"/>
  <c r="AS159" i="25"/>
  <c r="AS161" i="25"/>
  <c r="AS164" i="25"/>
  <c r="AP173" i="25"/>
  <c r="AT173" i="25" s="1"/>
  <c r="AV173" i="25" s="1"/>
  <c r="C242" i="3"/>
  <c r="C236" i="25"/>
  <c r="C234" i="25"/>
  <c r="C240" i="3"/>
  <c r="AE179" i="25"/>
  <c r="C241" i="3"/>
  <c r="C235" i="25"/>
  <c r="C102" i="3"/>
  <c r="C96" i="25"/>
  <c r="AE89" i="25"/>
  <c r="AE92" i="25"/>
  <c r="AE88" i="25"/>
  <c r="C101" i="3"/>
  <c r="C95" i="25"/>
  <c r="C104" i="3"/>
  <c r="C98" i="25"/>
  <c r="C100" i="3"/>
  <c r="C94" i="25"/>
  <c r="AE90" i="25"/>
  <c r="Y8" i="22"/>
  <c r="AX137" i="3" l="1"/>
  <c r="AX122" i="3"/>
  <c r="AQ209" i="3"/>
  <c r="AS209" i="3" s="1"/>
  <c r="AR209" i="3" s="1"/>
  <c r="AW209" i="3" s="1"/>
  <c r="AY209" i="3" s="1"/>
  <c r="AS209" i="25" s="1"/>
  <c r="BL209" i="3"/>
  <c r="AQ223" i="3"/>
  <c r="AS223" i="3" s="1"/>
  <c r="AR223" i="3" s="1"/>
  <c r="AW223" i="3" s="1"/>
  <c r="AY223" i="3" s="1"/>
  <c r="AX223" i="3" s="1"/>
  <c r="BL223" i="3"/>
  <c r="AQ224" i="3"/>
  <c r="AS224" i="3" s="1"/>
  <c r="AR224" i="3" s="1"/>
  <c r="AW224" i="3" s="1"/>
  <c r="AY224" i="3" s="1"/>
  <c r="AX224" i="3" s="1"/>
  <c r="BL224" i="3"/>
  <c r="AQ222" i="3"/>
  <c r="AS222" i="3" s="1"/>
  <c r="AR222" i="3" s="1"/>
  <c r="AW222" i="3" s="1"/>
  <c r="AY222" i="3" s="1"/>
  <c r="AX222" i="3" s="1"/>
  <c r="BL222" i="3"/>
  <c r="AQ218" i="3"/>
  <c r="AS218" i="3" s="1"/>
  <c r="AR218" i="3" s="1"/>
  <c r="AW218" i="3" s="1"/>
  <c r="AY218" i="3" s="1"/>
  <c r="AX218" i="3" s="1"/>
  <c r="BL218" i="3"/>
  <c r="AN150" i="3"/>
  <c r="AQ222" i="25"/>
  <c r="AR222" i="25" s="1"/>
  <c r="AN151" i="3"/>
  <c r="AQ223" i="25"/>
  <c r="AR223" i="25" s="1"/>
  <c r="AQ224" i="25"/>
  <c r="AR224" i="25" s="1"/>
  <c r="AN157" i="3"/>
  <c r="AN149" i="3"/>
  <c r="AL156" i="3"/>
  <c r="AM156" i="3" s="1"/>
  <c r="AQ156" i="25" s="1"/>
  <c r="AR156" i="25" s="1"/>
  <c r="AL228" i="3"/>
  <c r="AM228" i="3" s="1"/>
  <c r="AN228" i="3" s="1"/>
  <c r="BL228" i="3" s="1"/>
  <c r="AL229" i="3"/>
  <c r="AM229" i="3" s="1"/>
  <c r="AQ229" i="25" s="1"/>
  <c r="AR229" i="25" s="1"/>
  <c r="AL230" i="3"/>
  <c r="AM230" i="3" s="1"/>
  <c r="AN230" i="3" s="1"/>
  <c r="BL230" i="3" s="1"/>
  <c r="AL155" i="3"/>
  <c r="AM155" i="3" s="1"/>
  <c r="AQ155" i="25" s="1"/>
  <c r="AR155" i="25" s="1"/>
  <c r="AX216" i="3"/>
  <c r="AX145" i="3"/>
  <c r="AB161" i="3"/>
  <c r="Z167" i="3"/>
  <c r="V173" i="3"/>
  <c r="X173" i="3" s="1"/>
  <c r="AS166" i="25"/>
  <c r="AP179" i="25"/>
  <c r="AT179" i="25" s="1"/>
  <c r="AV179" i="25" s="1"/>
  <c r="AE235" i="25"/>
  <c r="C246" i="3"/>
  <c r="C240" i="25"/>
  <c r="C247" i="3"/>
  <c r="C241" i="25"/>
  <c r="AE234" i="25"/>
  <c r="AE236" i="25"/>
  <c r="C248" i="3"/>
  <c r="C242" i="25"/>
  <c r="C106" i="3"/>
  <c r="C100" i="25"/>
  <c r="AE98" i="25"/>
  <c r="AE95" i="25"/>
  <c r="AE96" i="25"/>
  <c r="AE94" i="25"/>
  <c r="C110" i="3"/>
  <c r="C117" i="3" s="1"/>
  <c r="C104" i="25"/>
  <c r="C107" i="3"/>
  <c r="C101" i="25"/>
  <c r="C108" i="3"/>
  <c r="C102" i="25"/>
  <c r="U61" i="25"/>
  <c r="U87" i="25"/>
  <c r="U63" i="25"/>
  <c r="U93" i="25"/>
  <c r="U24" i="25"/>
  <c r="U72" i="25"/>
  <c r="U27" i="25"/>
  <c r="U84" i="25"/>
  <c r="U55" i="25"/>
  <c r="U29" i="25"/>
  <c r="U95" i="25"/>
  <c r="U41" i="25"/>
  <c r="U39" i="25"/>
  <c r="U50" i="25"/>
  <c r="U67" i="25"/>
  <c r="U40" i="25"/>
  <c r="U76" i="25"/>
  <c r="U20" i="25"/>
  <c r="U90" i="25"/>
  <c r="U99" i="25"/>
  <c r="U79" i="25"/>
  <c r="U94" i="25"/>
  <c r="U101" i="25"/>
  <c r="U68" i="25"/>
  <c r="U83" i="25"/>
  <c r="U35" i="25"/>
  <c r="U88" i="25"/>
  <c r="U77" i="25"/>
  <c r="U53" i="25"/>
  <c r="U44" i="25"/>
  <c r="U80" i="25"/>
  <c r="U33" i="25"/>
  <c r="U56" i="25"/>
  <c r="U15" i="25"/>
  <c r="U49" i="25"/>
  <c r="U47" i="25"/>
  <c r="U97" i="25"/>
  <c r="U75" i="25"/>
  <c r="U51" i="25"/>
  <c r="U91" i="25"/>
  <c r="U98" i="25"/>
  <c r="U65" i="25"/>
  <c r="U102" i="25"/>
  <c r="U70" i="25"/>
  <c r="U10" i="25"/>
  <c r="U28" i="25"/>
  <c r="U73" i="25"/>
  <c r="U38" i="25"/>
  <c r="U34" i="25"/>
  <c r="U59" i="25"/>
  <c r="U69" i="25"/>
  <c r="U89" i="25"/>
  <c r="U48" i="25"/>
  <c r="U17" i="25"/>
  <c r="U46" i="25"/>
  <c r="U64" i="25"/>
  <c r="U31" i="25"/>
  <c r="U21" i="25"/>
  <c r="U66" i="25"/>
  <c r="U81" i="25"/>
  <c r="U103" i="25"/>
  <c r="U36" i="25"/>
  <c r="U82" i="25"/>
  <c r="U58" i="25"/>
  <c r="U52" i="25"/>
  <c r="U45" i="25"/>
  <c r="U25" i="25"/>
  <c r="U18" i="25"/>
  <c r="U54" i="25"/>
  <c r="U16" i="25"/>
  <c r="U11" i="25"/>
  <c r="W11" i="25" s="1"/>
  <c r="AP11" i="25" s="1"/>
  <c r="AT11" i="25" s="1"/>
  <c r="AV11" i="25" s="1"/>
  <c r="U86" i="25"/>
  <c r="U23" i="25"/>
  <c r="U12" i="25"/>
  <c r="AX209" i="3" l="1"/>
  <c r="AQ157" i="3"/>
  <c r="AS157" i="3" s="1"/>
  <c r="AR157" i="3" s="1"/>
  <c r="AW157" i="3" s="1"/>
  <c r="AY157" i="3" s="1"/>
  <c r="AX157" i="3" s="1"/>
  <c r="BL157" i="3"/>
  <c r="AQ151" i="3"/>
  <c r="AS151" i="3" s="1"/>
  <c r="AR151" i="3" s="1"/>
  <c r="AW151" i="3" s="1"/>
  <c r="AY151" i="3" s="1"/>
  <c r="AS151" i="25" s="1"/>
  <c r="BL151" i="3"/>
  <c r="AQ150" i="3"/>
  <c r="AS150" i="3" s="1"/>
  <c r="AR150" i="3" s="1"/>
  <c r="AW150" i="3" s="1"/>
  <c r="AY150" i="3" s="1"/>
  <c r="AX150" i="3" s="1"/>
  <c r="BL150" i="3"/>
  <c r="AQ149" i="3"/>
  <c r="AS149" i="3" s="1"/>
  <c r="AR149" i="3" s="1"/>
  <c r="AW149" i="3" s="1"/>
  <c r="AY149" i="3" s="1"/>
  <c r="AX149" i="3" s="1"/>
  <c r="BL149" i="3"/>
  <c r="AQ230" i="25"/>
  <c r="AR230" i="25" s="1"/>
  <c r="AN156" i="3"/>
  <c r="AQ228" i="25"/>
  <c r="AR228" i="25" s="1"/>
  <c r="AN229" i="3"/>
  <c r="AN155" i="3"/>
  <c r="AQ230" i="3"/>
  <c r="AS230" i="3" s="1"/>
  <c r="AR230" i="3" s="1"/>
  <c r="AW230" i="3" s="1"/>
  <c r="AY230" i="3" s="1"/>
  <c r="AQ228" i="3"/>
  <c r="AS228" i="3" s="1"/>
  <c r="AR228" i="3" s="1"/>
  <c r="AW228" i="3" s="1"/>
  <c r="AY228" i="3" s="1"/>
  <c r="AS228" i="25" s="1"/>
  <c r="C123" i="3"/>
  <c r="C117" i="25"/>
  <c r="AE117" i="25" s="1"/>
  <c r="AP117" i="25" s="1"/>
  <c r="AD161" i="3"/>
  <c r="AB167" i="3"/>
  <c r="Z173" i="3"/>
  <c r="V179" i="3"/>
  <c r="X179" i="3" s="1"/>
  <c r="AS171" i="25"/>
  <c r="AS173" i="25"/>
  <c r="AS174" i="25"/>
  <c r="AP234" i="25"/>
  <c r="AT234" i="25" s="1"/>
  <c r="AV234" i="25" s="1"/>
  <c r="AP236" i="25"/>
  <c r="AT236" i="25" s="1"/>
  <c r="AV236" i="25" s="1"/>
  <c r="AE242" i="25"/>
  <c r="AE241" i="25"/>
  <c r="C248" i="25"/>
  <c r="C254" i="3"/>
  <c r="C247" i="25"/>
  <c r="C253" i="3"/>
  <c r="AE240" i="25"/>
  <c r="C246" i="25"/>
  <c r="C252" i="3"/>
  <c r="AP235" i="25"/>
  <c r="AT235" i="25" s="1"/>
  <c r="AV235" i="25" s="1"/>
  <c r="C107" i="25"/>
  <c r="AE104" i="25"/>
  <c r="AE100" i="25"/>
  <c r="C110" i="25"/>
  <c r="AE101" i="25"/>
  <c r="AE102" i="25"/>
  <c r="C106" i="25"/>
  <c r="AE106" i="25" s="1"/>
  <c r="C108" i="25"/>
  <c r="W100" i="25"/>
  <c r="AX151" i="3" l="1"/>
  <c r="AQ155" i="3"/>
  <c r="AS155" i="3" s="1"/>
  <c r="AR155" i="3" s="1"/>
  <c r="AW155" i="3" s="1"/>
  <c r="AY155" i="3" s="1"/>
  <c r="AX155" i="3" s="1"/>
  <c r="BL155" i="3"/>
  <c r="AQ229" i="3"/>
  <c r="AS229" i="3" s="1"/>
  <c r="AR229" i="3" s="1"/>
  <c r="AD7" i="22" s="1"/>
  <c r="BL229" i="3"/>
  <c r="AQ156" i="3"/>
  <c r="AS156" i="3" s="1"/>
  <c r="AR156" i="3" s="1"/>
  <c r="AW156" i="3" s="1"/>
  <c r="AY156" i="3" s="1"/>
  <c r="AX156" i="3" s="1"/>
  <c r="BL156" i="3"/>
  <c r="AX230" i="3"/>
  <c r="AX228" i="3"/>
  <c r="AT117" i="25"/>
  <c r="AV117" i="25" s="1"/>
  <c r="V117" i="3"/>
  <c r="X117" i="3" s="1"/>
  <c r="Z117" i="3" s="1"/>
  <c r="AB117" i="3" s="1"/>
  <c r="AD117" i="3" s="1"/>
  <c r="C123" i="25"/>
  <c r="AE123" i="25" s="1"/>
  <c r="AP123" i="25" s="1"/>
  <c r="C129" i="3"/>
  <c r="AF161" i="3"/>
  <c r="AD167" i="3"/>
  <c r="AB173" i="3"/>
  <c r="AS163" i="25"/>
  <c r="AS162" i="25"/>
  <c r="AS160" i="25"/>
  <c r="Z179" i="3"/>
  <c r="V234" i="3"/>
  <c r="W234" i="3" s="1"/>
  <c r="X234" i="3" s="1"/>
  <c r="V236" i="3"/>
  <c r="X236" i="3" s="1"/>
  <c r="V235" i="3"/>
  <c r="X235" i="3" s="1"/>
  <c r="AS178" i="25"/>
  <c r="C252" i="25"/>
  <c r="C258" i="3"/>
  <c r="AP241" i="25"/>
  <c r="AT241" i="25" s="1"/>
  <c r="AV241" i="25" s="1"/>
  <c r="C253" i="25"/>
  <c r="C259" i="3"/>
  <c r="AP240" i="25"/>
  <c r="AT240" i="25" s="1"/>
  <c r="AV240" i="25" s="1"/>
  <c r="C254" i="25"/>
  <c r="C260" i="3"/>
  <c r="AP242" i="25"/>
  <c r="AT242" i="25" s="1"/>
  <c r="AV242" i="25" s="1"/>
  <c r="AE246" i="25"/>
  <c r="AE248" i="25"/>
  <c r="AE247" i="25"/>
  <c r="AP100" i="25"/>
  <c r="AT100" i="25" s="1"/>
  <c r="AV100" i="25" s="1"/>
  <c r="AE110" i="25"/>
  <c r="AE108" i="25"/>
  <c r="AP104" i="25"/>
  <c r="AT104" i="25" s="1"/>
  <c r="AV104" i="25" s="1"/>
  <c r="AE107" i="25"/>
  <c r="I1" i="3"/>
  <c r="AF7" i="22" l="1"/>
  <c r="AE7" i="22"/>
  <c r="Z7" i="22"/>
  <c r="AA7" i="22" s="1"/>
  <c r="AC7" i="22"/>
  <c r="AW229" i="3"/>
  <c r="AY229" i="3" s="1"/>
  <c r="AX229" i="3" s="1"/>
  <c r="C135" i="3"/>
  <c r="C141" i="3" s="1"/>
  <c r="C129" i="25"/>
  <c r="AE129" i="25" s="1"/>
  <c r="AP129" i="25" s="1"/>
  <c r="AT123" i="25"/>
  <c r="AV123" i="25" s="1"/>
  <c r="V123" i="3"/>
  <c r="X123" i="3" s="1"/>
  <c r="Z123" i="3" s="1"/>
  <c r="AB123" i="3" s="1"/>
  <c r="AD123" i="3" s="1"/>
  <c r="AE117" i="3"/>
  <c r="AF117" i="3" s="1"/>
  <c r="AH117" i="3" s="1"/>
  <c r="AJ117" i="3" s="1"/>
  <c r="AH161" i="3"/>
  <c r="AF167" i="3"/>
  <c r="AS165" i="25"/>
  <c r="AD173" i="3"/>
  <c r="AB179" i="3"/>
  <c r="AS169" i="25"/>
  <c r="AS170" i="25"/>
  <c r="Z235" i="3"/>
  <c r="Z236" i="3"/>
  <c r="V241" i="3"/>
  <c r="X241" i="3" s="1"/>
  <c r="V104" i="3"/>
  <c r="X104" i="3" s="1"/>
  <c r="V240" i="3"/>
  <c r="W240" i="3" s="1"/>
  <c r="X240" i="3" s="1"/>
  <c r="V242" i="3"/>
  <c r="X242" i="3" s="1"/>
  <c r="Z234" i="3"/>
  <c r="AE252" i="25"/>
  <c r="AP252" i="25" s="1"/>
  <c r="AT252" i="25" s="1"/>
  <c r="AV252" i="25" s="1"/>
  <c r="AE253" i="25"/>
  <c r="AP253" i="25" s="1"/>
  <c r="AT253" i="25" s="1"/>
  <c r="AV253" i="25" s="1"/>
  <c r="AP246" i="25"/>
  <c r="AT246" i="25" s="1"/>
  <c r="AV246" i="25" s="1"/>
  <c r="AE254" i="25"/>
  <c r="AP254" i="25" s="1"/>
  <c r="AT254" i="25" s="1"/>
  <c r="AV254" i="25" s="1"/>
  <c r="AP247" i="25"/>
  <c r="AT247" i="25" s="1"/>
  <c r="AV247" i="25" s="1"/>
  <c r="AP248" i="25"/>
  <c r="AT248" i="25" s="1"/>
  <c r="AV248" i="25" s="1"/>
  <c r="C266" i="3"/>
  <c r="C260" i="25"/>
  <c r="C265" i="3"/>
  <c r="C259" i="25"/>
  <c r="C264" i="3"/>
  <c r="C258" i="25"/>
  <c r="AP110" i="25"/>
  <c r="AT110" i="25" s="1"/>
  <c r="AV110" i="25" s="1"/>
  <c r="AP108" i="25"/>
  <c r="AT108" i="25" s="1"/>
  <c r="AV108" i="25" s="1"/>
  <c r="AP107" i="25"/>
  <c r="AT107" i="25" s="1"/>
  <c r="AV107" i="25" s="1"/>
  <c r="AP106" i="25"/>
  <c r="AT106" i="25" s="1"/>
  <c r="AV106" i="25" s="1"/>
  <c r="W12" i="25"/>
  <c r="AP12" i="25" s="1"/>
  <c r="AT12" i="25" s="1"/>
  <c r="AV12" i="25" s="1"/>
  <c r="W16" i="25"/>
  <c r="AP16" i="25" s="1"/>
  <c r="AT16" i="25" s="1"/>
  <c r="AV16" i="25" s="1"/>
  <c r="AB7" i="22" l="1"/>
  <c r="AL117" i="3"/>
  <c r="AM117" i="3" s="1"/>
  <c r="AN117" i="3" s="1"/>
  <c r="BL117" i="3" s="1"/>
  <c r="C147" i="3"/>
  <c r="C141" i="25"/>
  <c r="AE141" i="25" s="1"/>
  <c r="AP141" i="25" s="1"/>
  <c r="AE123" i="3"/>
  <c r="AF123" i="3" s="1"/>
  <c r="AH123" i="3" s="1"/>
  <c r="AJ123" i="3" s="1"/>
  <c r="AT129" i="25"/>
  <c r="AV129" i="25" s="1"/>
  <c r="V129" i="3"/>
  <c r="X129" i="3" s="1"/>
  <c r="Z129" i="3" s="1"/>
  <c r="AB129" i="3" s="1"/>
  <c r="AD129" i="3" s="1"/>
  <c r="C142" i="3"/>
  <c r="C135" i="25"/>
  <c r="AE135" i="25" s="1"/>
  <c r="AP135" i="25" s="1"/>
  <c r="AJ161" i="3"/>
  <c r="AH167" i="3"/>
  <c r="AS168" i="25"/>
  <c r="AS167" i="25"/>
  <c r="AF173" i="3"/>
  <c r="AD179" i="3"/>
  <c r="AB235" i="3"/>
  <c r="AB234" i="3"/>
  <c r="AB236" i="3"/>
  <c r="AS172" i="25"/>
  <c r="AS182" i="25"/>
  <c r="AS181" i="25"/>
  <c r="Z242" i="3"/>
  <c r="Z104" i="3"/>
  <c r="Z241" i="3"/>
  <c r="V247" i="3"/>
  <c r="X247" i="3" s="1"/>
  <c r="V246" i="3"/>
  <c r="W246" i="3" s="1"/>
  <c r="X246" i="3" s="1"/>
  <c r="V248" i="3"/>
  <c r="X248" i="3" s="1"/>
  <c r="V253" i="3"/>
  <c r="X253" i="3" s="1"/>
  <c r="V106" i="3"/>
  <c r="X106" i="3" s="1"/>
  <c r="V254" i="3"/>
  <c r="X254" i="3" s="1"/>
  <c r="V110" i="3"/>
  <c r="X110" i="3" s="1"/>
  <c r="V107" i="3"/>
  <c r="X107" i="3" s="1"/>
  <c r="V108" i="3"/>
  <c r="X108" i="3" s="1"/>
  <c r="V252" i="3"/>
  <c r="W252" i="3" s="1"/>
  <c r="X252" i="3" s="1"/>
  <c r="AS242" i="25"/>
  <c r="Z240" i="3"/>
  <c r="AE260" i="25"/>
  <c r="AE258" i="25"/>
  <c r="C272" i="3"/>
  <c r="C266" i="25"/>
  <c r="C270" i="3"/>
  <c r="C264" i="25"/>
  <c r="AE259" i="25"/>
  <c r="C271" i="3"/>
  <c r="C265" i="25"/>
  <c r="F7" i="21"/>
  <c r="AQ117" i="25" l="1"/>
  <c r="AR117" i="25" s="1"/>
  <c r="AL123" i="3"/>
  <c r="AM123" i="3" s="1"/>
  <c r="AN123" i="3" s="1"/>
  <c r="BL123" i="3" s="1"/>
  <c r="AL161" i="3"/>
  <c r="AM161" i="3" s="1"/>
  <c r="AN161" i="3" s="1"/>
  <c r="AQ117" i="3"/>
  <c r="AS117" i="3" s="1"/>
  <c r="AR117" i="3" s="1"/>
  <c r="AW117" i="3" s="1"/>
  <c r="AY117" i="3" s="1"/>
  <c r="AX117" i="3" s="1"/>
  <c r="AT141" i="25"/>
  <c r="AV141" i="25" s="1"/>
  <c r="V141" i="3"/>
  <c r="X141" i="3" s="1"/>
  <c r="Z141" i="3" s="1"/>
  <c r="AB141" i="3" s="1"/>
  <c r="AD141" i="3" s="1"/>
  <c r="C153" i="3"/>
  <c r="C153" i="25" s="1"/>
  <c r="AE153" i="25" s="1"/>
  <c r="AP153" i="25" s="1"/>
  <c r="C147" i="25"/>
  <c r="AE147" i="25" s="1"/>
  <c r="AP147" i="25" s="1"/>
  <c r="AE129" i="3"/>
  <c r="AF129" i="3" s="1"/>
  <c r="AH129" i="3" s="1"/>
  <c r="AJ129" i="3" s="1"/>
  <c r="AQ123" i="25"/>
  <c r="AR123" i="25" s="1"/>
  <c r="C31" i="3"/>
  <c r="C37" i="3" s="1"/>
  <c r="C37" i="25" s="1"/>
  <c r="AE37" i="25" s="1"/>
  <c r="AT135" i="25"/>
  <c r="AV135" i="25" s="1"/>
  <c r="V135" i="3"/>
  <c r="X135" i="3" s="1"/>
  <c r="Z135" i="3" s="1"/>
  <c r="AB135" i="3" s="1"/>
  <c r="AD135" i="3" s="1"/>
  <c r="C148" i="3"/>
  <c r="C142" i="25"/>
  <c r="AE142" i="25" s="1"/>
  <c r="AP142" i="25" s="1"/>
  <c r="AJ167" i="3"/>
  <c r="AH173" i="3"/>
  <c r="AF179" i="3"/>
  <c r="AD236" i="3"/>
  <c r="AD234" i="3"/>
  <c r="AE234" i="3" s="1"/>
  <c r="AD235" i="3"/>
  <c r="AE235" i="3" s="1"/>
  <c r="AB241" i="3"/>
  <c r="AB240" i="3"/>
  <c r="AB242" i="3"/>
  <c r="AB104" i="3"/>
  <c r="AS177" i="25"/>
  <c r="AS179" i="25"/>
  <c r="Z254" i="3"/>
  <c r="Z247" i="3"/>
  <c r="Z248" i="3"/>
  <c r="Z108" i="3"/>
  <c r="Z106" i="3"/>
  <c r="Z107" i="3"/>
  <c r="Z253" i="3"/>
  <c r="Z110" i="3"/>
  <c r="AS238" i="25"/>
  <c r="AS105" i="25"/>
  <c r="AS108" i="25"/>
  <c r="AS241" i="25"/>
  <c r="Z246" i="3"/>
  <c r="Z252" i="3"/>
  <c r="AP258" i="25"/>
  <c r="AT258" i="25" s="1"/>
  <c r="AV258" i="25" s="1"/>
  <c r="AP260" i="25"/>
  <c r="AT260" i="25" s="1"/>
  <c r="AV260" i="25" s="1"/>
  <c r="AE265" i="25"/>
  <c r="C277" i="3"/>
  <c r="C271" i="25"/>
  <c r="AE266" i="25"/>
  <c r="AP259" i="25"/>
  <c r="AT259" i="25" s="1"/>
  <c r="AV259" i="25" s="1"/>
  <c r="C278" i="3"/>
  <c r="C272" i="25"/>
  <c r="AE264" i="25"/>
  <c r="C276" i="3"/>
  <c r="C270" i="25"/>
  <c r="W13" i="25"/>
  <c r="AP13" i="25" s="1"/>
  <c r="AT13" i="25" s="1"/>
  <c r="AV13" i="25" s="1"/>
  <c r="D7" i="21"/>
  <c r="AQ161" i="3" l="1"/>
  <c r="AS161" i="3" s="1"/>
  <c r="AR161" i="3" s="1"/>
  <c r="AW161" i="3" s="1"/>
  <c r="AY161" i="3" s="1"/>
  <c r="AX161" i="3" s="1"/>
  <c r="BL161" i="3"/>
  <c r="AQ161" i="25"/>
  <c r="AR161" i="25" s="1"/>
  <c r="AL167" i="3"/>
  <c r="AM167" i="3" s="1"/>
  <c r="AN167" i="3" s="1"/>
  <c r="AL129" i="3"/>
  <c r="AM129" i="3" s="1"/>
  <c r="AN129" i="3" s="1"/>
  <c r="BL129" i="3" s="1"/>
  <c r="AQ123" i="3"/>
  <c r="AS123" i="3" s="1"/>
  <c r="AR123" i="3" s="1"/>
  <c r="AW123" i="3" s="1"/>
  <c r="AY123" i="3" s="1"/>
  <c r="AT147" i="25"/>
  <c r="AV147" i="25" s="1"/>
  <c r="V147" i="3"/>
  <c r="X147" i="3" s="1"/>
  <c r="Z147" i="3" s="1"/>
  <c r="AB147" i="3" s="1"/>
  <c r="AD147" i="3" s="1"/>
  <c r="AT153" i="25"/>
  <c r="AV153" i="25" s="1"/>
  <c r="V153" i="3"/>
  <c r="X153" i="3" s="1"/>
  <c r="Z153" i="3" s="1"/>
  <c r="AB153" i="3" s="1"/>
  <c r="AD153" i="3" s="1"/>
  <c r="AE141" i="3"/>
  <c r="AF141" i="3" s="1"/>
  <c r="AH141" i="3" s="1"/>
  <c r="AJ141" i="3" s="1"/>
  <c r="AE135" i="3"/>
  <c r="AF135" i="3" s="1"/>
  <c r="AH135" i="3" s="1"/>
  <c r="AJ135" i="3" s="1"/>
  <c r="C31" i="25"/>
  <c r="AE31" i="25" s="1"/>
  <c r="C196" i="3"/>
  <c r="C202" i="3" s="1"/>
  <c r="C202" i="25" s="1"/>
  <c r="AE202" i="25" s="1"/>
  <c r="AP202" i="25" s="1"/>
  <c r="AT142" i="25"/>
  <c r="AV142" i="25" s="1"/>
  <c r="V142" i="3"/>
  <c r="X142" i="3" s="1"/>
  <c r="Z142" i="3" s="1"/>
  <c r="AB142" i="3" s="1"/>
  <c r="AD142" i="3" s="1"/>
  <c r="AS123" i="25"/>
  <c r="C154" i="3"/>
  <c r="C148" i="25"/>
  <c r="AE148" i="25" s="1"/>
  <c r="AP148" i="25" s="1"/>
  <c r="C33" i="3"/>
  <c r="C39" i="3" s="1"/>
  <c r="AJ173" i="3"/>
  <c r="AS175" i="25"/>
  <c r="AS176" i="25"/>
  <c r="AH179" i="3"/>
  <c r="AF235" i="3"/>
  <c r="AF234" i="3"/>
  <c r="AF236" i="3"/>
  <c r="AD240" i="3"/>
  <c r="AE240" i="3" s="1"/>
  <c r="AD104" i="3"/>
  <c r="AE104" i="3" s="1"/>
  <c r="AD241" i="3"/>
  <c r="AE241" i="3" s="1"/>
  <c r="AD242" i="3"/>
  <c r="AB252" i="3"/>
  <c r="AB253" i="3"/>
  <c r="AB254" i="3"/>
  <c r="AB246" i="3"/>
  <c r="AB248" i="3"/>
  <c r="AB247" i="3"/>
  <c r="AB110" i="3"/>
  <c r="AB108" i="3"/>
  <c r="AB107" i="3"/>
  <c r="AB106" i="3"/>
  <c r="AS235" i="25"/>
  <c r="V260" i="3"/>
  <c r="X260" i="3" s="1"/>
  <c r="V258" i="3"/>
  <c r="W258" i="3" s="1"/>
  <c r="X258" i="3" s="1"/>
  <c r="V259" i="3"/>
  <c r="X259" i="3" s="1"/>
  <c r="AP265" i="25"/>
  <c r="AT265" i="25" s="1"/>
  <c r="AV265" i="25" s="1"/>
  <c r="AP264" i="25"/>
  <c r="AT264" i="25" s="1"/>
  <c r="AV264" i="25" s="1"/>
  <c r="C278" i="25"/>
  <c r="C284" i="3"/>
  <c r="AE270" i="25"/>
  <c r="AP266" i="25"/>
  <c r="AT266" i="25" s="1"/>
  <c r="AV266" i="25" s="1"/>
  <c r="C282" i="3"/>
  <c r="C276" i="25"/>
  <c r="AE271" i="25"/>
  <c r="AE272" i="25"/>
  <c r="C283" i="3"/>
  <c r="C277" i="25"/>
  <c r="G12" i="21"/>
  <c r="G18" i="21"/>
  <c r="E21" i="21"/>
  <c r="G5" i="21"/>
  <c r="AQ167" i="25" l="1"/>
  <c r="AR167" i="25" s="1"/>
  <c r="AQ129" i="25"/>
  <c r="AR129" i="25" s="1"/>
  <c r="AQ167" i="3"/>
  <c r="AS167" i="3" s="1"/>
  <c r="AR167" i="3" s="1"/>
  <c r="AW167" i="3" s="1"/>
  <c r="AY167" i="3" s="1"/>
  <c r="AX167" i="3" s="1"/>
  <c r="BL167" i="3"/>
  <c r="AL135" i="3"/>
  <c r="AM135" i="3" s="1"/>
  <c r="AQ135" i="25" s="1"/>
  <c r="AR135" i="25" s="1"/>
  <c r="AL141" i="3"/>
  <c r="AM141" i="3" s="1"/>
  <c r="AN141" i="3" s="1"/>
  <c r="BL141" i="3" s="1"/>
  <c r="AL173" i="3"/>
  <c r="AM173" i="3" s="1"/>
  <c r="AN173" i="3" s="1"/>
  <c r="AX123" i="3"/>
  <c r="AQ129" i="3"/>
  <c r="AS129" i="3" s="1"/>
  <c r="AR129" i="3" s="1"/>
  <c r="AW129" i="3" s="1"/>
  <c r="AY129" i="3" s="1"/>
  <c r="AX129" i="3" s="1"/>
  <c r="AT202" i="25"/>
  <c r="AV202" i="25" s="1"/>
  <c r="V202" i="3"/>
  <c r="C39" i="25"/>
  <c r="AE39" i="25" s="1"/>
  <c r="C45" i="3"/>
  <c r="AE153" i="3"/>
  <c r="AF153" i="3" s="1"/>
  <c r="AH153" i="3" s="1"/>
  <c r="AJ153" i="3" s="1"/>
  <c r="AE147" i="3"/>
  <c r="AF147" i="3" s="1"/>
  <c r="AH147" i="3" s="1"/>
  <c r="AJ147" i="3" s="1"/>
  <c r="C163" i="3"/>
  <c r="AE142" i="3"/>
  <c r="AF142" i="3" s="1"/>
  <c r="AT148" i="25"/>
  <c r="AV148" i="25" s="1"/>
  <c r="V148" i="3"/>
  <c r="X148" i="3" s="1"/>
  <c r="Z148" i="3" s="1"/>
  <c r="AB148" i="3" s="1"/>
  <c r="AD148" i="3" s="1"/>
  <c r="C154" i="25"/>
  <c r="AE154" i="25" s="1"/>
  <c r="AP154" i="25" s="1"/>
  <c r="C162" i="3"/>
  <c r="C208" i="3"/>
  <c r="C214" i="3" s="1"/>
  <c r="C214" i="25" s="1"/>
  <c r="AE214" i="25" s="1"/>
  <c r="AP214" i="25" s="1"/>
  <c r="C33" i="25"/>
  <c r="AE33" i="25" s="1"/>
  <c r="C196" i="25"/>
  <c r="AE196" i="25" s="1"/>
  <c r="AP196" i="25" s="1"/>
  <c r="AS140" i="25"/>
  <c r="AJ179" i="3"/>
  <c r="AH236" i="3"/>
  <c r="AH234" i="3"/>
  <c r="AH235" i="3"/>
  <c r="AS237" i="25"/>
  <c r="AF241" i="3"/>
  <c r="AF104" i="3"/>
  <c r="AG104" i="3" s="1"/>
  <c r="AF240" i="3"/>
  <c r="AF242" i="3"/>
  <c r="AS240" i="25"/>
  <c r="AS104" i="25"/>
  <c r="AS233" i="25"/>
  <c r="AS236" i="25"/>
  <c r="AD248" i="3"/>
  <c r="AD247" i="3"/>
  <c r="AE247" i="3" s="1"/>
  <c r="AD106" i="3"/>
  <c r="AE106" i="3" s="1"/>
  <c r="AD107" i="3"/>
  <c r="AE107" i="3" s="1"/>
  <c r="AD246" i="3"/>
  <c r="AE246" i="3" s="1"/>
  <c r="AD108" i="3"/>
  <c r="AE108" i="3" s="1"/>
  <c r="AD254" i="3"/>
  <c r="AD253" i="3"/>
  <c r="AE253" i="3" s="1"/>
  <c r="AD110" i="3"/>
  <c r="AE110" i="3" s="1"/>
  <c r="AD252" i="3"/>
  <c r="AE252" i="3" s="1"/>
  <c r="AS231" i="25"/>
  <c r="AS232" i="25"/>
  <c r="AS247" i="25"/>
  <c r="Z260" i="3"/>
  <c r="Z259" i="3"/>
  <c r="V264" i="3"/>
  <c r="W264" i="3" s="1"/>
  <c r="X264" i="3" s="1"/>
  <c r="V266" i="3"/>
  <c r="X266" i="3" s="1"/>
  <c r="V265" i="3"/>
  <c r="X265" i="3" s="1"/>
  <c r="Z258" i="3"/>
  <c r="AP272" i="25"/>
  <c r="AT272" i="25" s="1"/>
  <c r="AV272" i="25" s="1"/>
  <c r="AP270" i="25"/>
  <c r="AT270" i="25" s="1"/>
  <c r="AV270" i="25" s="1"/>
  <c r="AE276" i="25"/>
  <c r="AP271" i="25"/>
  <c r="AT271" i="25" s="1"/>
  <c r="AV271" i="25" s="1"/>
  <c r="AE277" i="25"/>
  <c r="C289" i="3"/>
  <c r="C289" i="25" s="1"/>
  <c r="C283" i="25"/>
  <c r="C290" i="3"/>
  <c r="C290" i="25" s="1"/>
  <c r="C284" i="25"/>
  <c r="AE278" i="25"/>
  <c r="C282" i="25"/>
  <c r="C288" i="3"/>
  <c r="G6" i="21"/>
  <c r="F21" i="21"/>
  <c r="G19" i="21"/>
  <c r="G20" i="21"/>
  <c r="G13" i="21"/>
  <c r="G11" i="21"/>
  <c r="D21" i="21"/>
  <c r="C14" i="21"/>
  <c r="D14" i="21"/>
  <c r="C7" i="21"/>
  <c r="C21" i="21"/>
  <c r="E14" i="21"/>
  <c r="F14" i="21"/>
  <c r="AQ173" i="25" l="1"/>
  <c r="AR173" i="25" s="1"/>
  <c r="AQ141" i="25"/>
  <c r="AR141" i="25" s="1"/>
  <c r="AQ173" i="3"/>
  <c r="AS173" i="3" s="1"/>
  <c r="AR173" i="3" s="1"/>
  <c r="AW173" i="3" s="1"/>
  <c r="AY173" i="3" s="1"/>
  <c r="AX173" i="3" s="1"/>
  <c r="BL173" i="3"/>
  <c r="AN135" i="3"/>
  <c r="BL135" i="3" s="1"/>
  <c r="AL179" i="3"/>
  <c r="AM179" i="3" s="1"/>
  <c r="AN179" i="3" s="1"/>
  <c r="AL147" i="3"/>
  <c r="AM147" i="3" s="1"/>
  <c r="AQ147" i="25" s="1"/>
  <c r="AR147" i="25" s="1"/>
  <c r="AL153" i="3"/>
  <c r="AM153" i="3" s="1"/>
  <c r="AN153" i="3" s="1"/>
  <c r="BL153" i="3" s="1"/>
  <c r="C288" i="25"/>
  <c r="AE288" i="25" s="1"/>
  <c r="AQ141" i="3"/>
  <c r="AS141" i="3" s="1"/>
  <c r="AR141" i="3" s="1"/>
  <c r="AW141" i="3" s="1"/>
  <c r="AY141" i="3" s="1"/>
  <c r="AT214" i="25"/>
  <c r="AV214" i="25" s="1"/>
  <c r="V214" i="3"/>
  <c r="C51" i="3"/>
  <c r="C45" i="25"/>
  <c r="AE45" i="25" s="1"/>
  <c r="W202" i="3"/>
  <c r="X202" i="3" s="1"/>
  <c r="Z202" i="3" s="1"/>
  <c r="AB202" i="3" s="1"/>
  <c r="AD202" i="3" s="1"/>
  <c r="AG142" i="3"/>
  <c r="AH142" i="3" s="1"/>
  <c r="C220" i="3"/>
  <c r="C226" i="3" s="1"/>
  <c r="AT196" i="25"/>
  <c r="AV196" i="25" s="1"/>
  <c r="V196" i="3"/>
  <c r="C162" i="25"/>
  <c r="AE162" i="25" s="1"/>
  <c r="AP162" i="25" s="1"/>
  <c r="C168" i="3"/>
  <c r="C169" i="3"/>
  <c r="C163" i="25"/>
  <c r="AE163" i="25" s="1"/>
  <c r="AP163" i="25" s="1"/>
  <c r="C208" i="25"/>
  <c r="AE208" i="25" s="1"/>
  <c r="AP208" i="25" s="1"/>
  <c r="AT154" i="25"/>
  <c r="AV154" i="25" s="1"/>
  <c r="V154" i="3"/>
  <c r="X154" i="3" s="1"/>
  <c r="Z154" i="3" s="1"/>
  <c r="AB154" i="3" s="1"/>
  <c r="AD154" i="3" s="1"/>
  <c r="AS215" i="25"/>
  <c r="AE148" i="3"/>
  <c r="AF148" i="3" s="1"/>
  <c r="AJ236" i="3"/>
  <c r="AJ235" i="3"/>
  <c r="AK235" i="3" s="1"/>
  <c r="AJ234" i="3"/>
  <c r="AK234" i="3" s="1"/>
  <c r="AS234" i="25"/>
  <c r="AH242" i="3"/>
  <c r="AH104" i="3"/>
  <c r="AI104" i="3" s="1"/>
  <c r="AH241" i="3"/>
  <c r="AH240" i="3"/>
  <c r="AS239" i="25"/>
  <c r="AF253" i="3"/>
  <c r="AF107" i="3"/>
  <c r="AF110" i="3"/>
  <c r="AG110" i="3" s="1"/>
  <c r="AF106" i="3"/>
  <c r="AF254" i="3"/>
  <c r="AF246" i="3"/>
  <c r="AF108" i="3"/>
  <c r="AF247" i="3"/>
  <c r="AF248" i="3"/>
  <c r="AF252" i="3"/>
  <c r="AB258" i="3"/>
  <c r="AB259" i="3"/>
  <c r="AB260" i="3"/>
  <c r="AS254" i="25"/>
  <c r="Z265" i="3"/>
  <c r="Z266" i="3"/>
  <c r="V272" i="3"/>
  <c r="X272" i="3" s="1"/>
  <c r="V271" i="3"/>
  <c r="X271" i="3" s="1"/>
  <c r="V270" i="3"/>
  <c r="W270" i="3" s="1"/>
  <c r="X270" i="3" s="1"/>
  <c r="Z264" i="3"/>
  <c r="K13" i="22"/>
  <c r="T13" i="22" s="1"/>
  <c r="J13" i="22"/>
  <c r="H13" i="22"/>
  <c r="I13" i="22"/>
  <c r="AP276" i="25"/>
  <c r="AT276" i="25" s="1"/>
  <c r="AV276" i="25" s="1"/>
  <c r="AP278" i="25"/>
  <c r="AT278" i="25" s="1"/>
  <c r="AV278" i="25" s="1"/>
  <c r="AP277" i="25"/>
  <c r="AT277" i="25" s="1"/>
  <c r="AV277" i="25" s="1"/>
  <c r="AE289" i="25"/>
  <c r="AE282" i="25"/>
  <c r="AE284" i="25"/>
  <c r="AE290" i="25"/>
  <c r="AE283" i="25"/>
  <c r="G4" i="21"/>
  <c r="E7" i="21"/>
  <c r="G14" i="21"/>
  <c r="G21" i="21"/>
  <c r="AQ179" i="3" l="1"/>
  <c r="AS179" i="3" s="1"/>
  <c r="AR179" i="3" s="1"/>
  <c r="AW179" i="3" s="1"/>
  <c r="AY179" i="3" s="1"/>
  <c r="AX179" i="3" s="1"/>
  <c r="BL179" i="3"/>
  <c r="AQ135" i="3"/>
  <c r="AS135" i="3" s="1"/>
  <c r="AR135" i="3" s="1"/>
  <c r="AW135" i="3" s="1"/>
  <c r="AY135" i="3" s="1"/>
  <c r="AX135" i="3" s="1"/>
  <c r="AQ179" i="25"/>
  <c r="AR179" i="25" s="1"/>
  <c r="AN147" i="3"/>
  <c r="BL147" i="3" s="1"/>
  <c r="AQ153" i="25"/>
  <c r="AR153" i="25" s="1"/>
  <c r="AL234" i="3"/>
  <c r="AM234" i="3" s="1"/>
  <c r="AN234" i="3" s="1"/>
  <c r="BL234" i="3" s="1"/>
  <c r="AL235" i="3"/>
  <c r="AM235" i="3" s="1"/>
  <c r="AN235" i="3" s="1"/>
  <c r="AL236" i="3"/>
  <c r="AM236" i="3" s="1"/>
  <c r="AN236" i="3" s="1"/>
  <c r="AQ153" i="3"/>
  <c r="AS153" i="3" s="1"/>
  <c r="AR153" i="3" s="1"/>
  <c r="AW153" i="3" s="1"/>
  <c r="AY153" i="3" s="1"/>
  <c r="AX141" i="3"/>
  <c r="C226" i="25"/>
  <c r="AE226" i="25" s="1"/>
  <c r="AP226" i="25" s="1"/>
  <c r="C232" i="3"/>
  <c r="C51" i="25"/>
  <c r="AE51" i="25" s="1"/>
  <c r="C57" i="3"/>
  <c r="W214" i="3"/>
  <c r="X214" i="3" s="1"/>
  <c r="Z214" i="3" s="1"/>
  <c r="AB214" i="3" s="1"/>
  <c r="AD214" i="3" s="1"/>
  <c r="AE202" i="3"/>
  <c r="AF202" i="3" s="1"/>
  <c r="AS147" i="25"/>
  <c r="C168" i="25"/>
  <c r="AE168" i="25" s="1"/>
  <c r="AP168" i="25" s="1"/>
  <c r="C174" i="3"/>
  <c r="AT162" i="25"/>
  <c r="AV162" i="25" s="1"/>
  <c r="V162" i="3"/>
  <c r="X162" i="3" s="1"/>
  <c r="Z162" i="3" s="1"/>
  <c r="AB162" i="3" s="1"/>
  <c r="AD162" i="3" s="1"/>
  <c r="AF162" i="3" s="1"/>
  <c r="AH162" i="3" s="1"/>
  <c r="AJ162" i="3" s="1"/>
  <c r="AE154" i="3"/>
  <c r="AF154" i="3" s="1"/>
  <c r="C189" i="3"/>
  <c r="C195" i="3" s="1"/>
  <c r="AG148" i="3"/>
  <c r="AH148" i="3" s="1"/>
  <c r="AT208" i="25"/>
  <c r="AV208" i="25" s="1"/>
  <c r="V208" i="3"/>
  <c r="C220" i="25"/>
  <c r="AE220" i="25" s="1"/>
  <c r="AP220" i="25" s="1"/>
  <c r="AS201" i="25"/>
  <c r="AT163" i="25"/>
  <c r="AV163" i="25" s="1"/>
  <c r="V163" i="3"/>
  <c r="X163" i="3" s="1"/>
  <c r="Z163" i="3" s="1"/>
  <c r="AB163" i="3" s="1"/>
  <c r="AD163" i="3" s="1"/>
  <c r="W196" i="3"/>
  <c r="X196" i="3" s="1"/>
  <c r="Z196" i="3" s="1"/>
  <c r="AB196" i="3" s="1"/>
  <c r="AD196" i="3" s="1"/>
  <c r="AF196" i="3" s="1"/>
  <c r="AH196" i="3" s="1"/>
  <c r="AJ196" i="3" s="1"/>
  <c r="AI142" i="3"/>
  <c r="AJ142" i="3" s="1"/>
  <c r="C175" i="3"/>
  <c r="C169" i="25"/>
  <c r="AE169" i="25" s="1"/>
  <c r="AP169" i="25" s="1"/>
  <c r="AJ240" i="3"/>
  <c r="AK240" i="3" s="1"/>
  <c r="AJ242" i="3"/>
  <c r="AJ104" i="3"/>
  <c r="AK104" i="3" s="1"/>
  <c r="AJ241" i="3"/>
  <c r="AK241" i="3" s="1"/>
  <c r="AH110" i="3"/>
  <c r="AI110" i="3" s="1"/>
  <c r="AH246" i="3"/>
  <c r="AH107" i="3"/>
  <c r="AH253" i="3"/>
  <c r="AH108" i="3"/>
  <c r="AH252" i="3"/>
  <c r="AH254" i="3"/>
  <c r="AH248" i="3"/>
  <c r="AH106" i="3"/>
  <c r="AH247" i="3"/>
  <c r="AS253" i="25"/>
  <c r="AS246" i="25"/>
  <c r="AS250" i="25"/>
  <c r="AS109" i="25"/>
  <c r="AS252" i="25"/>
  <c r="AD258" i="3"/>
  <c r="AE258" i="3" s="1"/>
  <c r="AD259" i="3"/>
  <c r="AE259" i="3" s="1"/>
  <c r="AD260" i="3"/>
  <c r="AB264" i="3"/>
  <c r="AB266" i="3"/>
  <c r="AB265" i="3"/>
  <c r="AS251" i="25"/>
  <c r="AS249" i="25"/>
  <c r="AS244" i="25"/>
  <c r="Z271" i="3"/>
  <c r="Z272" i="3"/>
  <c r="V277" i="3"/>
  <c r="X277" i="3" s="1"/>
  <c r="V278" i="3"/>
  <c r="X278" i="3" s="1"/>
  <c r="V276" i="3"/>
  <c r="W276" i="3" s="1"/>
  <c r="X276" i="3" s="1"/>
  <c r="Z270" i="3"/>
  <c r="AP289" i="25"/>
  <c r="AT289" i="25" s="1"/>
  <c r="AV289" i="25" s="1"/>
  <c r="R13" i="22"/>
  <c r="AP288" i="25"/>
  <c r="AT288" i="25" s="1"/>
  <c r="AV288" i="25" s="1"/>
  <c r="AP283" i="25"/>
  <c r="AT283" i="25" s="1"/>
  <c r="AV283" i="25" s="1"/>
  <c r="AP282" i="25"/>
  <c r="AT282" i="25" s="1"/>
  <c r="AV282" i="25" s="1"/>
  <c r="AP290" i="25"/>
  <c r="AT290" i="25" s="1"/>
  <c r="AV290" i="25" s="1"/>
  <c r="AP284" i="25"/>
  <c r="AT284" i="25" s="1"/>
  <c r="AV284" i="25" s="1"/>
  <c r="S13" i="22"/>
  <c r="G7" i="21"/>
  <c r="AQ147" i="3" l="1"/>
  <c r="AS147" i="3" s="1"/>
  <c r="AR147" i="3" s="1"/>
  <c r="AW147" i="3" s="1"/>
  <c r="AY147" i="3" s="1"/>
  <c r="AX147" i="3" s="1"/>
  <c r="AQ234" i="25"/>
  <c r="AR234" i="25" s="1"/>
  <c r="AQ235" i="3"/>
  <c r="AS235" i="3" s="1"/>
  <c r="AR235" i="3" s="1"/>
  <c r="AW235" i="3" s="1"/>
  <c r="AY235" i="3" s="1"/>
  <c r="AX235" i="3" s="1"/>
  <c r="BL235" i="3"/>
  <c r="AQ236" i="3"/>
  <c r="AS236" i="3" s="1"/>
  <c r="AR236" i="3" s="1"/>
  <c r="AW236" i="3" s="1"/>
  <c r="AY236" i="3" s="1"/>
  <c r="AX236" i="3" s="1"/>
  <c r="BL236" i="3"/>
  <c r="AQ236" i="25"/>
  <c r="AR236" i="25" s="1"/>
  <c r="AQ235" i="25"/>
  <c r="AR235" i="25" s="1"/>
  <c r="AL162" i="3"/>
  <c r="AM162" i="3" s="1"/>
  <c r="AN162" i="3" s="1"/>
  <c r="BL162" i="3" s="1"/>
  <c r="AL240" i="3"/>
  <c r="AM240" i="3" s="1"/>
  <c r="AQ240" i="25" s="1"/>
  <c r="AR240" i="25" s="1"/>
  <c r="AL241" i="3"/>
  <c r="AM241" i="3" s="1"/>
  <c r="AN241" i="3" s="1"/>
  <c r="AL142" i="3"/>
  <c r="AM142" i="3" s="1"/>
  <c r="AQ142" i="25" s="1"/>
  <c r="AR142" i="25" s="1"/>
  <c r="AL104" i="3"/>
  <c r="AM104" i="3" s="1"/>
  <c r="AN104" i="3" s="1"/>
  <c r="BL104" i="3" s="1"/>
  <c r="AL196" i="3"/>
  <c r="AM196" i="3" s="1"/>
  <c r="AQ196" i="25" s="1"/>
  <c r="AR196" i="25" s="1"/>
  <c r="AL242" i="3"/>
  <c r="AM242" i="3" s="1"/>
  <c r="AN242" i="3" s="1"/>
  <c r="AX153" i="3"/>
  <c r="AQ234" i="3"/>
  <c r="AS234" i="3" s="1"/>
  <c r="AR234" i="3" s="1"/>
  <c r="AW234" i="3" s="1"/>
  <c r="AY234" i="3" s="1"/>
  <c r="AX234" i="3" s="1"/>
  <c r="AG202" i="3"/>
  <c r="AH202" i="3" s="1"/>
  <c r="AE214" i="3"/>
  <c r="AF214" i="3" s="1"/>
  <c r="C201" i="3"/>
  <c r="C195" i="25"/>
  <c r="AE195" i="25" s="1"/>
  <c r="AP195" i="25" s="1"/>
  <c r="C63" i="3"/>
  <c r="C57" i="25"/>
  <c r="AE57" i="25" s="1"/>
  <c r="C238" i="3"/>
  <c r="C232" i="25"/>
  <c r="AE232" i="25" s="1"/>
  <c r="AP232" i="25" s="1"/>
  <c r="AT226" i="25"/>
  <c r="AV226" i="25" s="1"/>
  <c r="V226" i="3"/>
  <c r="C189" i="25"/>
  <c r="AE189" i="25" s="1"/>
  <c r="AP189" i="25" s="1"/>
  <c r="AG154" i="3"/>
  <c r="AH154" i="3" s="1"/>
  <c r="AE163" i="3"/>
  <c r="AF163" i="3" s="1"/>
  <c r="AH163" i="3" s="1"/>
  <c r="AJ163" i="3" s="1"/>
  <c r="AK163" i="3" s="1"/>
  <c r="AT220" i="25"/>
  <c r="AV220" i="25" s="1"/>
  <c r="V220" i="3"/>
  <c r="AI148" i="3"/>
  <c r="AJ148" i="3" s="1"/>
  <c r="AT169" i="25"/>
  <c r="AV169" i="25" s="1"/>
  <c r="V169" i="3"/>
  <c r="X169" i="3" s="1"/>
  <c r="Z169" i="3" s="1"/>
  <c r="AB169" i="3" s="1"/>
  <c r="AD169" i="3" s="1"/>
  <c r="C181" i="3"/>
  <c r="C181" i="25" s="1"/>
  <c r="AE181" i="25" s="1"/>
  <c r="AP181" i="25" s="1"/>
  <c r="C175" i="25"/>
  <c r="AE175" i="25" s="1"/>
  <c r="AP175" i="25" s="1"/>
  <c r="W208" i="3"/>
  <c r="X208" i="3" s="1"/>
  <c r="Z208" i="3" s="1"/>
  <c r="AB208" i="3" s="1"/>
  <c r="AD208" i="3" s="1"/>
  <c r="AF208" i="3" s="1"/>
  <c r="AH208" i="3" s="1"/>
  <c r="AJ208" i="3" s="1"/>
  <c r="C180" i="3"/>
  <c r="C180" i="25" s="1"/>
  <c r="AE180" i="25" s="1"/>
  <c r="AP180" i="25" s="1"/>
  <c r="C174" i="25"/>
  <c r="AE174" i="25" s="1"/>
  <c r="AT168" i="25"/>
  <c r="AV168" i="25" s="1"/>
  <c r="V168" i="3"/>
  <c r="X168" i="3" s="1"/>
  <c r="Z168" i="3" s="1"/>
  <c r="AB168" i="3" s="1"/>
  <c r="AD168" i="3" s="1"/>
  <c r="AF168" i="3" s="1"/>
  <c r="AH168" i="3" s="1"/>
  <c r="AJ168" i="3" s="1"/>
  <c r="AJ247" i="3"/>
  <c r="AK247" i="3" s="1"/>
  <c r="AJ108" i="3"/>
  <c r="AJ106" i="3"/>
  <c r="AK106" i="3" s="1"/>
  <c r="AJ253" i="3"/>
  <c r="AK253" i="3" s="1"/>
  <c r="AJ248" i="3"/>
  <c r="AJ107" i="3"/>
  <c r="AJ246" i="3"/>
  <c r="AK246" i="3" s="1"/>
  <c r="AJ254" i="3"/>
  <c r="AJ110" i="3"/>
  <c r="AK110" i="3" s="1"/>
  <c r="AJ252" i="3"/>
  <c r="AK252" i="3" s="1"/>
  <c r="AF258" i="3"/>
  <c r="AF260" i="3"/>
  <c r="AF259" i="3"/>
  <c r="AD264" i="3"/>
  <c r="AE264" i="3" s="1"/>
  <c r="AD265" i="3"/>
  <c r="AE265" i="3" s="1"/>
  <c r="AD266" i="3"/>
  <c r="AB270" i="3"/>
  <c r="AB272" i="3"/>
  <c r="AB271" i="3"/>
  <c r="AS259" i="25"/>
  <c r="Z278" i="3"/>
  <c r="Z277" i="3"/>
  <c r="V290" i="3"/>
  <c r="X290" i="3" s="1"/>
  <c r="V289" i="3"/>
  <c r="X289" i="3" s="1"/>
  <c r="V284" i="3"/>
  <c r="X284" i="3" s="1"/>
  <c r="V282" i="3"/>
  <c r="W282" i="3" s="1"/>
  <c r="X282" i="3" s="1"/>
  <c r="V283" i="3"/>
  <c r="X283" i="3" s="1"/>
  <c r="V288" i="3"/>
  <c r="W288" i="3" s="1"/>
  <c r="X288" i="3" s="1"/>
  <c r="AS278" i="25"/>
  <c r="Z276" i="3"/>
  <c r="Q13" i="22"/>
  <c r="L13" i="22"/>
  <c r="U13" i="22" s="1"/>
  <c r="W18" i="25"/>
  <c r="AP18" i="25" s="1"/>
  <c r="AT18" i="25" s="1"/>
  <c r="AV18" i="25" s="1"/>
  <c r="AQ242" i="3" l="1"/>
  <c r="AS242" i="3" s="1"/>
  <c r="AR242" i="3" s="1"/>
  <c r="AW242" i="3" s="1"/>
  <c r="AY242" i="3" s="1"/>
  <c r="AX242" i="3" s="1"/>
  <c r="BL242" i="3"/>
  <c r="AQ241" i="3"/>
  <c r="AS241" i="3" s="1"/>
  <c r="AR241" i="3" s="1"/>
  <c r="AW241" i="3" s="1"/>
  <c r="AY241" i="3" s="1"/>
  <c r="AX241" i="3" s="1"/>
  <c r="BL241" i="3"/>
  <c r="AN240" i="3"/>
  <c r="BL240" i="3" s="1"/>
  <c r="AQ162" i="25"/>
  <c r="AR162" i="25" s="1"/>
  <c r="AQ241" i="25"/>
  <c r="AR241" i="25" s="1"/>
  <c r="AN142" i="3"/>
  <c r="BL142" i="3" s="1"/>
  <c r="AQ242" i="25"/>
  <c r="AR242" i="25" s="1"/>
  <c r="AQ104" i="25"/>
  <c r="AR104" i="25" s="1"/>
  <c r="AN196" i="3"/>
  <c r="AL246" i="3"/>
  <c r="AM246" i="3" s="1"/>
  <c r="AQ246" i="25" s="1"/>
  <c r="AR246" i="25" s="1"/>
  <c r="AL107" i="3"/>
  <c r="AM107" i="3" s="1"/>
  <c r="AN107" i="3" s="1"/>
  <c r="BL107" i="3" s="1"/>
  <c r="AL163" i="3"/>
  <c r="AM163" i="3" s="1"/>
  <c r="AQ163" i="25" s="1"/>
  <c r="AR163" i="25" s="1"/>
  <c r="AL208" i="3"/>
  <c r="AM208" i="3" s="1"/>
  <c r="AN208" i="3" s="1"/>
  <c r="BL208" i="3" s="1"/>
  <c r="AL248" i="3"/>
  <c r="AM248" i="3" s="1"/>
  <c r="AQ248" i="25" s="1"/>
  <c r="AR248" i="25" s="1"/>
  <c r="AL253" i="3"/>
  <c r="AM253" i="3" s="1"/>
  <c r="AN253" i="3" s="1"/>
  <c r="AL168" i="3"/>
  <c r="AM168" i="3" s="1"/>
  <c r="AN168" i="3" s="1"/>
  <c r="BL168" i="3" s="1"/>
  <c r="AL254" i="3"/>
  <c r="AM254" i="3" s="1"/>
  <c r="AN254" i="3" s="1"/>
  <c r="BL254" i="3" s="1"/>
  <c r="AL106" i="3"/>
  <c r="AM106" i="3" s="1"/>
  <c r="AQ106" i="25" s="1"/>
  <c r="AR106" i="25" s="1"/>
  <c r="AL252" i="3"/>
  <c r="AM252" i="3" s="1"/>
  <c r="AN252" i="3" s="1"/>
  <c r="AL108" i="3"/>
  <c r="AM108" i="3" s="1"/>
  <c r="AN108" i="3" s="1"/>
  <c r="AL110" i="3"/>
  <c r="AM110" i="3" s="1"/>
  <c r="AQ110" i="25" s="1"/>
  <c r="AR110" i="25" s="1"/>
  <c r="AL247" i="3"/>
  <c r="AM247" i="3" s="1"/>
  <c r="AN247" i="3" s="1"/>
  <c r="AL148" i="3"/>
  <c r="AM148" i="3" s="1"/>
  <c r="AQ148" i="25" s="1"/>
  <c r="AR148" i="25" s="1"/>
  <c r="AQ104" i="3"/>
  <c r="AS104" i="3" s="1"/>
  <c r="AR104" i="3" s="1"/>
  <c r="AW104" i="3" s="1"/>
  <c r="AY104" i="3" s="1"/>
  <c r="AQ162" i="3"/>
  <c r="AS162" i="3" s="1"/>
  <c r="AR162" i="3" s="1"/>
  <c r="AW162" i="3" s="1"/>
  <c r="AY162" i="3" s="1"/>
  <c r="C69" i="3"/>
  <c r="C63" i="25"/>
  <c r="AE63" i="25" s="1"/>
  <c r="AT195" i="25"/>
  <c r="AV195" i="25" s="1"/>
  <c r="V195" i="3"/>
  <c r="W195" i="3" s="1"/>
  <c r="X195" i="3" s="1"/>
  <c r="Z195" i="3" s="1"/>
  <c r="AB195" i="3" s="1"/>
  <c r="AD195" i="3" s="1"/>
  <c r="AE195" i="3" s="1"/>
  <c r="AF195" i="3" s="1"/>
  <c r="C207" i="3"/>
  <c r="C201" i="25"/>
  <c r="AE201" i="25" s="1"/>
  <c r="AP201" i="25" s="1"/>
  <c r="W226" i="3"/>
  <c r="X226" i="3" s="1"/>
  <c r="Z226" i="3" s="1"/>
  <c r="AB226" i="3" s="1"/>
  <c r="AD226" i="3" s="1"/>
  <c r="AG214" i="3"/>
  <c r="AH214" i="3" s="1"/>
  <c r="AJ214" i="3" s="1"/>
  <c r="AT232" i="25"/>
  <c r="AV232" i="25" s="1"/>
  <c r="V232" i="3"/>
  <c r="W232" i="3" s="1"/>
  <c r="X232" i="3" s="1"/>
  <c r="Z232" i="3" s="1"/>
  <c r="AB232" i="3" s="1"/>
  <c r="AD232" i="3" s="1"/>
  <c r="AF232" i="3" s="1"/>
  <c r="AH232" i="3" s="1"/>
  <c r="AJ232" i="3" s="1"/>
  <c r="AI202" i="3"/>
  <c r="AJ202" i="3" s="1"/>
  <c r="C244" i="3"/>
  <c r="C238" i="25"/>
  <c r="AE238" i="25" s="1"/>
  <c r="AP238" i="25" s="1"/>
  <c r="AP174" i="25"/>
  <c r="AT180" i="25"/>
  <c r="AV180" i="25" s="1"/>
  <c r="V180" i="3"/>
  <c r="X180" i="3" s="1"/>
  <c r="Z180" i="3" s="1"/>
  <c r="AB180" i="3" s="1"/>
  <c r="AD180" i="3" s="1"/>
  <c r="AF180" i="3" s="1"/>
  <c r="AH180" i="3" s="1"/>
  <c r="AJ180" i="3" s="1"/>
  <c r="AI154" i="3"/>
  <c r="AJ154" i="3" s="1"/>
  <c r="AT175" i="25"/>
  <c r="AV175" i="25" s="1"/>
  <c r="V175" i="3"/>
  <c r="X175" i="3" s="1"/>
  <c r="Z175" i="3" s="1"/>
  <c r="AB175" i="3" s="1"/>
  <c r="AD175" i="3" s="1"/>
  <c r="AT181" i="25"/>
  <c r="AV181" i="25" s="1"/>
  <c r="V181" i="3"/>
  <c r="X181" i="3" s="1"/>
  <c r="Z181" i="3" s="1"/>
  <c r="AB181" i="3" s="1"/>
  <c r="AD181" i="3" s="1"/>
  <c r="AE169" i="3"/>
  <c r="AF169" i="3" s="1"/>
  <c r="AH169" i="3" s="1"/>
  <c r="AJ169" i="3" s="1"/>
  <c r="AK169" i="3" s="1"/>
  <c r="W220" i="3"/>
  <c r="X220" i="3" s="1"/>
  <c r="Z220" i="3" s="1"/>
  <c r="AB220" i="3" s="1"/>
  <c r="AD220" i="3" s="1"/>
  <c r="AT189" i="25"/>
  <c r="AV189" i="25" s="1"/>
  <c r="V189" i="3"/>
  <c r="AQ253" i="25"/>
  <c r="AR253" i="25" s="1"/>
  <c r="AS245" i="25"/>
  <c r="AS110" i="25"/>
  <c r="AH259" i="3"/>
  <c r="AH258" i="3"/>
  <c r="AH260" i="3"/>
  <c r="AS257" i="25"/>
  <c r="AS255" i="25"/>
  <c r="AS260" i="25"/>
  <c r="AF266" i="3"/>
  <c r="AF264" i="3"/>
  <c r="AF265" i="3"/>
  <c r="AS266" i="25"/>
  <c r="AS265" i="25"/>
  <c r="AD271" i="3"/>
  <c r="AE271" i="3" s="1"/>
  <c r="AD272" i="3"/>
  <c r="AD270" i="3"/>
  <c r="AE270" i="3" s="1"/>
  <c r="AB276" i="3"/>
  <c r="AB277" i="3"/>
  <c r="AB278" i="3"/>
  <c r="Z290" i="3"/>
  <c r="Z284" i="3"/>
  <c r="Z289" i="3"/>
  <c r="Z283" i="3"/>
  <c r="Z282" i="3"/>
  <c r="Z288" i="3"/>
  <c r="W23" i="25"/>
  <c r="AP23" i="25" s="1"/>
  <c r="AT23" i="25" s="1"/>
  <c r="AV23" i="25" s="1"/>
  <c r="W54" i="25"/>
  <c r="AP54" i="25" s="1"/>
  <c r="AT54" i="25" s="1"/>
  <c r="AV54" i="25" s="1"/>
  <c r="AQ240" i="3" l="1"/>
  <c r="AS240" i="3" s="1"/>
  <c r="AR240" i="3" s="1"/>
  <c r="AW240" i="3" s="1"/>
  <c r="AY240" i="3" s="1"/>
  <c r="AX240" i="3" s="1"/>
  <c r="AQ247" i="3"/>
  <c r="AS247" i="3" s="1"/>
  <c r="AR247" i="3" s="1"/>
  <c r="AW247" i="3" s="1"/>
  <c r="AY247" i="3" s="1"/>
  <c r="AX247" i="3" s="1"/>
  <c r="BL247" i="3"/>
  <c r="AQ142" i="3"/>
  <c r="AS142" i="3" s="1"/>
  <c r="AR142" i="3" s="1"/>
  <c r="AW142" i="3" s="1"/>
  <c r="AY142" i="3" s="1"/>
  <c r="AX142" i="3" s="1"/>
  <c r="AQ108" i="3"/>
  <c r="AS108" i="3" s="1"/>
  <c r="AR108" i="3" s="1"/>
  <c r="AW108" i="3" s="1"/>
  <c r="AY108" i="3" s="1"/>
  <c r="AX108" i="3" s="1"/>
  <c r="BL108" i="3"/>
  <c r="AQ252" i="3"/>
  <c r="AS252" i="3" s="1"/>
  <c r="AR252" i="3" s="1"/>
  <c r="AW252" i="3" s="1"/>
  <c r="AY252" i="3" s="1"/>
  <c r="AX252" i="3" s="1"/>
  <c r="BL252" i="3"/>
  <c r="AQ196" i="3"/>
  <c r="AS196" i="3" s="1"/>
  <c r="AR196" i="3" s="1"/>
  <c r="AW196" i="3" s="1"/>
  <c r="AY196" i="3" s="1"/>
  <c r="AX196" i="3" s="1"/>
  <c r="BL196" i="3"/>
  <c r="AQ253" i="3"/>
  <c r="AS253" i="3" s="1"/>
  <c r="AR253" i="3" s="1"/>
  <c r="AW253" i="3" s="1"/>
  <c r="AY253" i="3" s="1"/>
  <c r="BL253" i="3"/>
  <c r="AQ168" i="25"/>
  <c r="AR168" i="25" s="1"/>
  <c r="AN246" i="3"/>
  <c r="BL246" i="3" s="1"/>
  <c r="AN248" i="3"/>
  <c r="AN163" i="3"/>
  <c r="BL163" i="3" s="1"/>
  <c r="AQ252" i="25"/>
  <c r="AR252" i="25" s="1"/>
  <c r="AQ208" i="25"/>
  <c r="AR208" i="25" s="1"/>
  <c r="AQ108" i="25"/>
  <c r="AR108" i="25" s="1"/>
  <c r="AQ107" i="25"/>
  <c r="AR107" i="25" s="1"/>
  <c r="AN148" i="3"/>
  <c r="AQ254" i="25"/>
  <c r="AR254" i="25" s="1"/>
  <c r="AQ247" i="25"/>
  <c r="AR247" i="25" s="1"/>
  <c r="AN110" i="3"/>
  <c r="AN106" i="3"/>
  <c r="AL154" i="3"/>
  <c r="AM154" i="3" s="1"/>
  <c r="AQ154" i="25" s="1"/>
  <c r="AR154" i="25" s="1"/>
  <c r="AL169" i="3"/>
  <c r="AM169" i="3" s="1"/>
  <c r="AN169" i="3" s="1"/>
  <c r="BL169" i="3" s="1"/>
  <c r="AL214" i="3"/>
  <c r="AM214" i="3" s="1"/>
  <c r="AQ214" i="25" s="1"/>
  <c r="AR214" i="25" s="1"/>
  <c r="AL202" i="3"/>
  <c r="AM202" i="3" s="1"/>
  <c r="AN202" i="3" s="1"/>
  <c r="BL202" i="3" s="1"/>
  <c r="AL180" i="3"/>
  <c r="AM180" i="3" s="1"/>
  <c r="AN180" i="3" s="1"/>
  <c r="BL180" i="3" s="1"/>
  <c r="AL232" i="3"/>
  <c r="AM232" i="3" s="1"/>
  <c r="AN232" i="3" s="1"/>
  <c r="BL232" i="3" s="1"/>
  <c r="AX253" i="3"/>
  <c r="AX104" i="3"/>
  <c r="AX162" i="3"/>
  <c r="AQ208" i="3"/>
  <c r="AS208" i="3" s="1"/>
  <c r="AR208" i="3" s="1"/>
  <c r="AW208" i="3" s="1"/>
  <c r="AY208" i="3" s="1"/>
  <c r="AQ254" i="3"/>
  <c r="AS254" i="3" s="1"/>
  <c r="AR254" i="3" s="1"/>
  <c r="AW254" i="3" s="1"/>
  <c r="AY254" i="3" s="1"/>
  <c r="AX254" i="3" s="1"/>
  <c r="AQ107" i="3"/>
  <c r="AS107" i="3" s="1"/>
  <c r="AR107" i="3" s="1"/>
  <c r="AW107" i="3" s="1"/>
  <c r="AY107" i="3" s="1"/>
  <c r="AQ168" i="3"/>
  <c r="AS168" i="3" s="1"/>
  <c r="AR168" i="3" s="1"/>
  <c r="AW168" i="3" s="1"/>
  <c r="AY168" i="3" s="1"/>
  <c r="AE226" i="3"/>
  <c r="AF226" i="3" s="1"/>
  <c r="AT238" i="25"/>
  <c r="AV238" i="25" s="1"/>
  <c r="V238" i="3"/>
  <c r="W238" i="3" s="1"/>
  <c r="X238" i="3" s="1"/>
  <c r="Z238" i="3" s="1"/>
  <c r="AB238" i="3" s="1"/>
  <c r="AD238" i="3" s="1"/>
  <c r="AE238" i="3" s="1"/>
  <c r="AF238" i="3" s="1"/>
  <c r="AH238" i="3" s="1"/>
  <c r="AJ238" i="3" s="1"/>
  <c r="C244" i="25"/>
  <c r="AE244" i="25" s="1"/>
  <c r="AP244" i="25" s="1"/>
  <c r="C250" i="3"/>
  <c r="AT201" i="25"/>
  <c r="AV201" i="25" s="1"/>
  <c r="V201" i="3"/>
  <c r="C213" i="3"/>
  <c r="C207" i="25"/>
  <c r="AE207" i="25" s="1"/>
  <c r="AP207" i="25" s="1"/>
  <c r="C75" i="3"/>
  <c r="C69" i="25"/>
  <c r="AE69" i="25" s="1"/>
  <c r="AG195" i="3"/>
  <c r="AH195" i="3" s="1"/>
  <c r="AJ195" i="3" s="1"/>
  <c r="AE181" i="3"/>
  <c r="AF181" i="3" s="1"/>
  <c r="AH181" i="3" s="1"/>
  <c r="AJ181" i="3" s="1"/>
  <c r="AK181" i="3" s="1"/>
  <c r="AE220" i="3"/>
  <c r="AF220" i="3" s="1"/>
  <c r="AH220" i="3" s="1"/>
  <c r="AJ220" i="3" s="1"/>
  <c r="AT174" i="25"/>
  <c r="AV174" i="25" s="1"/>
  <c r="V174" i="3"/>
  <c r="X174" i="3" s="1"/>
  <c r="Z174" i="3" s="1"/>
  <c r="AB174" i="3" s="1"/>
  <c r="AD174" i="3" s="1"/>
  <c r="AF174" i="3" s="1"/>
  <c r="AH174" i="3" s="1"/>
  <c r="AJ174" i="3" s="1"/>
  <c r="AE175" i="3"/>
  <c r="AF175" i="3" s="1"/>
  <c r="AH175" i="3" s="1"/>
  <c r="AJ175" i="3" s="1"/>
  <c r="AK175" i="3" s="1"/>
  <c r="W189" i="3"/>
  <c r="X189" i="3" s="1"/>
  <c r="Z189" i="3" s="1"/>
  <c r="AB189" i="3" s="1"/>
  <c r="AD189" i="3" s="1"/>
  <c r="AF189" i="3" s="1"/>
  <c r="AH189" i="3" s="1"/>
  <c r="AJ189" i="3" s="1"/>
  <c r="AS243" i="25"/>
  <c r="AJ259" i="3"/>
  <c r="AK259" i="3" s="1"/>
  <c r="AJ260" i="3"/>
  <c r="AJ258" i="3"/>
  <c r="AS107" i="25"/>
  <c r="AH264" i="3"/>
  <c r="AH266" i="3"/>
  <c r="AH265" i="3"/>
  <c r="AF270" i="3"/>
  <c r="AF272" i="3"/>
  <c r="AF271" i="3"/>
  <c r="AS256" i="25"/>
  <c r="AD278" i="3"/>
  <c r="AD277" i="3"/>
  <c r="AE277" i="3" s="1"/>
  <c r="AD276" i="3"/>
  <c r="AE276" i="3" s="1"/>
  <c r="AB282" i="3"/>
  <c r="AB284" i="3"/>
  <c r="AB283" i="3"/>
  <c r="AB288" i="3"/>
  <c r="AB289" i="3"/>
  <c r="AB290" i="3"/>
  <c r="AS272" i="25"/>
  <c r="AS285" i="25"/>
  <c r="W96" i="25"/>
  <c r="AP96" i="25" s="1"/>
  <c r="AT96" i="25" s="1"/>
  <c r="AV96" i="25" s="1"/>
  <c r="AQ246" i="3" l="1"/>
  <c r="AS246" i="3" s="1"/>
  <c r="AR246" i="3" s="1"/>
  <c r="AW246" i="3" s="1"/>
  <c r="AY246" i="3" s="1"/>
  <c r="AX246" i="3" s="1"/>
  <c r="AQ163" i="3"/>
  <c r="AS163" i="3" s="1"/>
  <c r="AR163" i="3" s="1"/>
  <c r="AW163" i="3" s="1"/>
  <c r="AY163" i="3" s="1"/>
  <c r="AQ106" i="3"/>
  <c r="AS106" i="3" s="1"/>
  <c r="AR106" i="3" s="1"/>
  <c r="AW106" i="3" s="1"/>
  <c r="AY106" i="3" s="1"/>
  <c r="AS106" i="25" s="1"/>
  <c r="BL106" i="3"/>
  <c r="AQ110" i="3"/>
  <c r="AS110" i="3" s="1"/>
  <c r="AR110" i="3" s="1"/>
  <c r="AW110" i="3" s="1"/>
  <c r="AY110" i="3" s="1"/>
  <c r="AX110" i="3" s="1"/>
  <c r="BL110" i="3"/>
  <c r="AQ248" i="3"/>
  <c r="AS248" i="3" s="1"/>
  <c r="AR248" i="3" s="1"/>
  <c r="AW248" i="3" s="1"/>
  <c r="AY248" i="3" s="1"/>
  <c r="AS248" i="25" s="1"/>
  <c r="BL248" i="3"/>
  <c r="AQ148" i="3"/>
  <c r="AS148" i="3" s="1"/>
  <c r="AR148" i="3" s="1"/>
  <c r="AW148" i="3" s="1"/>
  <c r="AY148" i="3" s="1"/>
  <c r="AX148" i="3" s="1"/>
  <c r="BL148" i="3"/>
  <c r="AN214" i="3"/>
  <c r="AN154" i="3"/>
  <c r="BL154" i="3" s="1"/>
  <c r="AQ180" i="25"/>
  <c r="AR180" i="25" s="1"/>
  <c r="AQ232" i="25"/>
  <c r="AR232" i="25" s="1"/>
  <c r="AQ169" i="25"/>
  <c r="AR169" i="25" s="1"/>
  <c r="AQ202" i="25"/>
  <c r="AR202" i="25" s="1"/>
  <c r="AL260" i="3"/>
  <c r="AM260" i="3" s="1"/>
  <c r="AN260" i="3" s="1"/>
  <c r="AL259" i="3"/>
  <c r="AM259" i="3" s="1"/>
  <c r="AN259" i="3" s="1"/>
  <c r="AL189" i="3"/>
  <c r="AM189" i="3" s="1"/>
  <c r="AN189" i="3" s="1"/>
  <c r="BL189" i="3" s="1"/>
  <c r="AL220" i="3"/>
  <c r="AM220" i="3" s="1"/>
  <c r="AN220" i="3" s="1"/>
  <c r="BL220" i="3" s="1"/>
  <c r="AL175" i="3"/>
  <c r="AM175" i="3" s="1"/>
  <c r="AN175" i="3" s="1"/>
  <c r="BL175" i="3" s="1"/>
  <c r="AL181" i="3"/>
  <c r="AM181" i="3" s="1"/>
  <c r="AQ181" i="25" s="1"/>
  <c r="AR181" i="25" s="1"/>
  <c r="AL238" i="3"/>
  <c r="AM238" i="3" s="1"/>
  <c r="AN238" i="3" s="1"/>
  <c r="BL238" i="3" s="1"/>
  <c r="AL258" i="3"/>
  <c r="AM258" i="3" s="1"/>
  <c r="AN258" i="3" s="1"/>
  <c r="AL174" i="3"/>
  <c r="AM174" i="3" s="1"/>
  <c r="AQ174" i="25" s="1"/>
  <c r="AR174" i="25" s="1"/>
  <c r="AL195" i="3"/>
  <c r="AM195" i="3" s="1"/>
  <c r="AN195" i="3" s="1"/>
  <c r="BL195" i="3" s="1"/>
  <c r="AX208" i="3"/>
  <c r="AX168" i="3"/>
  <c r="AX106" i="3"/>
  <c r="AX163" i="3"/>
  <c r="AX107" i="3"/>
  <c r="AQ232" i="3"/>
  <c r="AS232" i="3" s="1"/>
  <c r="AR232" i="3" s="1"/>
  <c r="AW232" i="3" s="1"/>
  <c r="AY232" i="3" s="1"/>
  <c r="AQ180" i="3"/>
  <c r="AS180" i="3" s="1"/>
  <c r="AR180" i="3" s="1"/>
  <c r="AW180" i="3" s="1"/>
  <c r="AY180" i="3" s="1"/>
  <c r="AX180" i="3" s="1"/>
  <c r="AQ169" i="3"/>
  <c r="AS169" i="3" s="1"/>
  <c r="AR169" i="3" s="1"/>
  <c r="AW169" i="3" s="1"/>
  <c r="AY169" i="3" s="1"/>
  <c r="AX169" i="3" s="1"/>
  <c r="AQ154" i="3"/>
  <c r="AS154" i="3" s="1"/>
  <c r="AR154" i="3" s="1"/>
  <c r="AW154" i="3" s="1"/>
  <c r="AY154" i="3" s="1"/>
  <c r="AQ202" i="3"/>
  <c r="AS202" i="3" s="1"/>
  <c r="AR202" i="3" s="1"/>
  <c r="AW202" i="3" s="1"/>
  <c r="AY202" i="3" s="1"/>
  <c r="C250" i="25"/>
  <c r="AE250" i="25" s="1"/>
  <c r="AP250" i="25" s="1"/>
  <c r="C256" i="3"/>
  <c r="AT244" i="25"/>
  <c r="AV244" i="25" s="1"/>
  <c r="V244" i="3"/>
  <c r="AT207" i="25"/>
  <c r="AV207" i="25" s="1"/>
  <c r="V207" i="3"/>
  <c r="C219" i="3"/>
  <c r="C213" i="25"/>
  <c r="AE213" i="25" s="1"/>
  <c r="AP213" i="25" s="1"/>
  <c r="W201" i="3"/>
  <c r="X201" i="3" s="1"/>
  <c r="Z201" i="3" s="1"/>
  <c r="AB201" i="3" s="1"/>
  <c r="AD201" i="3" s="1"/>
  <c r="AF201" i="3" s="1"/>
  <c r="AH201" i="3" s="1"/>
  <c r="AJ201" i="3" s="1"/>
  <c r="AG226" i="3"/>
  <c r="AH226" i="3" s="1"/>
  <c r="C81" i="3"/>
  <c r="C75" i="25"/>
  <c r="AE75" i="25" s="1"/>
  <c r="AS180" i="25"/>
  <c r="AJ266" i="3"/>
  <c r="AJ264" i="3"/>
  <c r="AK264" i="3" s="1"/>
  <c r="AJ265" i="3"/>
  <c r="AK265" i="3" s="1"/>
  <c r="AH272" i="3"/>
  <c r="AH270" i="3"/>
  <c r="AH271" i="3"/>
  <c r="AS274" i="25"/>
  <c r="AS275" i="25"/>
  <c r="AS270" i="25"/>
  <c r="AS271" i="25"/>
  <c r="AF278" i="3"/>
  <c r="AF277" i="3"/>
  <c r="AF276" i="3"/>
  <c r="AS276" i="25"/>
  <c r="AD283" i="3"/>
  <c r="AE283" i="3" s="1"/>
  <c r="AD282" i="3"/>
  <c r="AE282" i="3" s="1"/>
  <c r="AD284" i="3"/>
  <c r="AD290" i="3"/>
  <c r="AD288" i="3"/>
  <c r="AE288" i="3" s="1"/>
  <c r="AD289" i="3"/>
  <c r="AE289" i="3" s="1"/>
  <c r="AS268" i="25"/>
  <c r="AS277" i="25"/>
  <c r="W86" i="25"/>
  <c r="AP86" i="25" s="1"/>
  <c r="AT86" i="25" s="1"/>
  <c r="AV86" i="25" s="1"/>
  <c r="AX248" i="3" l="1"/>
  <c r="AQ259" i="3"/>
  <c r="AS259" i="3" s="1"/>
  <c r="AR259" i="3" s="1"/>
  <c r="AW259" i="3" s="1"/>
  <c r="AY259" i="3" s="1"/>
  <c r="BL259" i="3"/>
  <c r="AQ260" i="3"/>
  <c r="AS260" i="3" s="1"/>
  <c r="AR260" i="3" s="1"/>
  <c r="AW260" i="3" s="1"/>
  <c r="AY260" i="3" s="1"/>
  <c r="AX260" i="3" s="1"/>
  <c r="BL260" i="3"/>
  <c r="AQ258" i="3"/>
  <c r="AS258" i="3" s="1"/>
  <c r="AR258" i="3" s="1"/>
  <c r="AW258" i="3" s="1"/>
  <c r="AY258" i="3" s="1"/>
  <c r="AS258" i="25" s="1"/>
  <c r="BL258" i="3"/>
  <c r="AQ214" i="3"/>
  <c r="AS214" i="3" s="1"/>
  <c r="AR214" i="3" s="1"/>
  <c r="AW214" i="3" s="1"/>
  <c r="AY214" i="3" s="1"/>
  <c r="AX214" i="3" s="1"/>
  <c r="BL214" i="3"/>
  <c r="AN174" i="3"/>
  <c r="BL174" i="3" s="1"/>
  <c r="AQ260" i="25"/>
  <c r="AR260" i="25" s="1"/>
  <c r="AQ258" i="25"/>
  <c r="AR258" i="25" s="1"/>
  <c r="AQ195" i="25"/>
  <c r="AR195" i="25" s="1"/>
  <c r="AQ259" i="25"/>
  <c r="AR259" i="25" s="1"/>
  <c r="AQ220" i="25"/>
  <c r="AR220" i="25" s="1"/>
  <c r="AQ189" i="25"/>
  <c r="AR189" i="25" s="1"/>
  <c r="AN181" i="3"/>
  <c r="AQ238" i="25"/>
  <c r="AR238" i="25" s="1"/>
  <c r="AQ175" i="25"/>
  <c r="AR175" i="25" s="1"/>
  <c r="AL201" i="3"/>
  <c r="AM201" i="3" s="1"/>
  <c r="AQ201" i="25" s="1"/>
  <c r="AR201" i="25" s="1"/>
  <c r="AL266" i="3"/>
  <c r="AM266" i="3" s="1"/>
  <c r="AN266" i="3" s="1"/>
  <c r="AL265" i="3"/>
  <c r="AM265" i="3" s="1"/>
  <c r="AN265" i="3" s="1"/>
  <c r="BL265" i="3" s="1"/>
  <c r="AL264" i="3"/>
  <c r="AM264" i="3" s="1"/>
  <c r="AN264" i="3" s="1"/>
  <c r="AX259" i="3"/>
  <c r="AX232" i="3"/>
  <c r="AX154" i="3"/>
  <c r="AQ175" i="3"/>
  <c r="AS175" i="3" s="1"/>
  <c r="AR175" i="3" s="1"/>
  <c r="AW175" i="3" s="1"/>
  <c r="AY175" i="3" s="1"/>
  <c r="AX175" i="3" s="1"/>
  <c r="AQ238" i="3"/>
  <c r="AS238" i="3" s="1"/>
  <c r="AR238" i="3" s="1"/>
  <c r="AW238" i="3" s="1"/>
  <c r="AY238" i="3" s="1"/>
  <c r="AX238" i="3" s="1"/>
  <c r="AX202" i="3"/>
  <c r="AQ174" i="3"/>
  <c r="AS174" i="3" s="1"/>
  <c r="AR174" i="3" s="1"/>
  <c r="AW174" i="3" s="1"/>
  <c r="AY174" i="3" s="1"/>
  <c r="AX174" i="3" s="1"/>
  <c r="AQ220" i="3"/>
  <c r="AS220" i="3" s="1"/>
  <c r="AR220" i="3" s="1"/>
  <c r="AW220" i="3" s="1"/>
  <c r="AY220" i="3" s="1"/>
  <c r="AQ195" i="3"/>
  <c r="AS195" i="3" s="1"/>
  <c r="AR195" i="3" s="1"/>
  <c r="AW195" i="3" s="1"/>
  <c r="AY195" i="3" s="1"/>
  <c r="AQ189" i="3"/>
  <c r="AS189" i="3" s="1"/>
  <c r="AR189" i="3" s="1"/>
  <c r="AW189" i="3" s="1"/>
  <c r="AY189" i="3" s="1"/>
  <c r="AT213" i="25"/>
  <c r="AV213" i="25" s="1"/>
  <c r="V213" i="3"/>
  <c r="C219" i="25"/>
  <c r="AE219" i="25" s="1"/>
  <c r="AP219" i="25" s="1"/>
  <c r="C225" i="3"/>
  <c r="C43" i="3"/>
  <c r="C262" i="3"/>
  <c r="C256" i="25"/>
  <c r="AE256" i="25" s="1"/>
  <c r="AP256" i="25" s="1"/>
  <c r="C87" i="3"/>
  <c r="C81" i="25"/>
  <c r="AE81" i="25" s="1"/>
  <c r="AT250" i="25"/>
  <c r="AV250" i="25" s="1"/>
  <c r="V250" i="3"/>
  <c r="AI226" i="3"/>
  <c r="AJ226" i="3" s="1"/>
  <c r="W207" i="3"/>
  <c r="X207" i="3" s="1"/>
  <c r="Z207" i="3" s="1"/>
  <c r="AB207" i="3" s="1"/>
  <c r="AD207" i="3" s="1"/>
  <c r="W244" i="3"/>
  <c r="X244" i="3" s="1"/>
  <c r="Z244" i="3" s="1"/>
  <c r="AB244" i="3" s="1"/>
  <c r="AD244" i="3" s="1"/>
  <c r="AF244" i="3" s="1"/>
  <c r="AH244" i="3" s="1"/>
  <c r="AJ244" i="3" s="1"/>
  <c r="AJ271" i="3"/>
  <c r="AK271" i="3" s="1"/>
  <c r="AJ270" i="3"/>
  <c r="AK270" i="3" s="1"/>
  <c r="AJ272" i="3"/>
  <c r="AH277" i="3"/>
  <c r="AS264" i="25"/>
  <c r="AH276" i="3"/>
  <c r="AH278" i="3"/>
  <c r="AS269" i="25"/>
  <c r="AF284" i="3"/>
  <c r="AF282" i="3"/>
  <c r="AF283" i="3"/>
  <c r="AF289" i="3"/>
  <c r="AF288" i="3"/>
  <c r="AF290" i="3"/>
  <c r="AS283" i="25"/>
  <c r="AS282" i="25"/>
  <c r="AS289" i="25"/>
  <c r="AS284" i="25"/>
  <c r="AS290" i="25"/>
  <c r="AS273" i="25"/>
  <c r="W48" i="25"/>
  <c r="AP48" i="25" s="1"/>
  <c r="AT48" i="25" s="1"/>
  <c r="AV48" i="25" s="1"/>
  <c r="AX258" i="3" l="1"/>
  <c r="AQ181" i="3"/>
  <c r="AS181" i="3" s="1"/>
  <c r="AR181" i="3" s="1"/>
  <c r="AW181" i="3" s="1"/>
  <c r="AY181" i="3" s="1"/>
  <c r="AX181" i="3" s="1"/>
  <c r="BL181" i="3"/>
  <c r="AQ264" i="3"/>
  <c r="AS264" i="3" s="1"/>
  <c r="AR264" i="3" s="1"/>
  <c r="AW264" i="3" s="1"/>
  <c r="AY264" i="3" s="1"/>
  <c r="AX264" i="3" s="1"/>
  <c r="BL264" i="3"/>
  <c r="AQ266" i="3"/>
  <c r="AS266" i="3" s="1"/>
  <c r="AR266" i="3" s="1"/>
  <c r="AW266" i="3" s="1"/>
  <c r="AY266" i="3" s="1"/>
  <c r="AX266" i="3" s="1"/>
  <c r="BL266" i="3"/>
  <c r="AN201" i="3"/>
  <c r="BL201" i="3" s="1"/>
  <c r="AQ266" i="25"/>
  <c r="AR266" i="25" s="1"/>
  <c r="AQ265" i="25"/>
  <c r="AR265" i="25" s="1"/>
  <c r="AQ264" i="25"/>
  <c r="AR264" i="25" s="1"/>
  <c r="AL244" i="3"/>
  <c r="AM244" i="3" s="1"/>
  <c r="AN244" i="3" s="1"/>
  <c r="BL244" i="3" s="1"/>
  <c r="AL270" i="3"/>
  <c r="AM270" i="3" s="1"/>
  <c r="AQ270" i="25" s="1"/>
  <c r="AR270" i="25" s="1"/>
  <c r="AL226" i="3"/>
  <c r="AM226" i="3" s="1"/>
  <c r="AN226" i="3" s="1"/>
  <c r="BL226" i="3" s="1"/>
  <c r="AL271" i="3"/>
  <c r="AM271" i="3" s="1"/>
  <c r="AN271" i="3" s="1"/>
  <c r="AL272" i="3"/>
  <c r="AM272" i="3" s="1"/>
  <c r="AN272" i="3" s="1"/>
  <c r="AX220" i="3"/>
  <c r="AX195" i="3"/>
  <c r="AX189" i="3"/>
  <c r="AQ265" i="3"/>
  <c r="AS265" i="3" s="1"/>
  <c r="AR265" i="3" s="1"/>
  <c r="AW265" i="3" s="1"/>
  <c r="AY265" i="3" s="1"/>
  <c r="C87" i="25"/>
  <c r="AE87" i="25" s="1"/>
  <c r="C93" i="3"/>
  <c r="AT256" i="25"/>
  <c r="AV256" i="25" s="1"/>
  <c r="V256" i="3"/>
  <c r="C268" i="3"/>
  <c r="C262" i="25"/>
  <c r="AE262" i="25" s="1"/>
  <c r="AP262" i="25" s="1"/>
  <c r="W250" i="3"/>
  <c r="X250" i="3" s="1"/>
  <c r="Z250" i="3" s="1"/>
  <c r="AB250" i="3" s="1"/>
  <c r="AD250" i="3" s="1"/>
  <c r="C43" i="25"/>
  <c r="AE43" i="25" s="1"/>
  <c r="C49" i="3"/>
  <c r="C225" i="25"/>
  <c r="AE225" i="25" s="1"/>
  <c r="AP225" i="25" s="1"/>
  <c r="C231" i="3"/>
  <c r="AT219" i="25"/>
  <c r="AV219" i="25" s="1"/>
  <c r="V219" i="3"/>
  <c r="W213" i="3"/>
  <c r="X213" i="3" s="1"/>
  <c r="Z213" i="3" s="1"/>
  <c r="AB213" i="3" s="1"/>
  <c r="AD213" i="3" s="1"/>
  <c r="AF213" i="3" s="1"/>
  <c r="AH213" i="3" s="1"/>
  <c r="AJ213" i="3" s="1"/>
  <c r="AE207" i="3"/>
  <c r="AF207" i="3" s="1"/>
  <c r="AJ278" i="3"/>
  <c r="AJ277" i="3"/>
  <c r="AK277" i="3" s="1"/>
  <c r="AJ276" i="3"/>
  <c r="AK276" i="3" s="1"/>
  <c r="AH288" i="3"/>
  <c r="AH289" i="3"/>
  <c r="AH283" i="3"/>
  <c r="AH282" i="3"/>
  <c r="AH284" i="3"/>
  <c r="AH290" i="3"/>
  <c r="AS288" i="25"/>
  <c r="AS279" i="25"/>
  <c r="AS287" i="25"/>
  <c r="W21" i="25"/>
  <c r="AP21" i="25" s="1"/>
  <c r="AT21" i="25" s="1"/>
  <c r="AV21" i="25" s="1"/>
  <c r="AQ201" i="3" l="1"/>
  <c r="AS201" i="3" s="1"/>
  <c r="AR201" i="3" s="1"/>
  <c r="AW201" i="3" s="1"/>
  <c r="AY201" i="3" s="1"/>
  <c r="AQ226" i="25"/>
  <c r="AR226" i="25" s="1"/>
  <c r="AQ272" i="3"/>
  <c r="AS272" i="3" s="1"/>
  <c r="AR272" i="3" s="1"/>
  <c r="AW272" i="3" s="1"/>
  <c r="AY272" i="3" s="1"/>
  <c r="AX272" i="3" s="1"/>
  <c r="BL272" i="3"/>
  <c r="AQ271" i="3"/>
  <c r="AS271" i="3" s="1"/>
  <c r="AR271" i="3" s="1"/>
  <c r="AW271" i="3" s="1"/>
  <c r="AY271" i="3" s="1"/>
  <c r="AX271" i="3" s="1"/>
  <c r="BL271" i="3"/>
  <c r="AQ244" i="25"/>
  <c r="AR244" i="25" s="1"/>
  <c r="AN270" i="3"/>
  <c r="AQ272" i="25"/>
  <c r="AR272" i="25" s="1"/>
  <c r="AQ271" i="25"/>
  <c r="AR271" i="25" s="1"/>
  <c r="AL276" i="3"/>
  <c r="AM276" i="3" s="1"/>
  <c r="AN276" i="3" s="1"/>
  <c r="AL277" i="3"/>
  <c r="AM277" i="3" s="1"/>
  <c r="AN277" i="3" s="1"/>
  <c r="AL278" i="3"/>
  <c r="AM278" i="3" s="1"/>
  <c r="AN278" i="3" s="1"/>
  <c r="AL213" i="3"/>
  <c r="AM213" i="3" s="1"/>
  <c r="AN213" i="3" s="1"/>
  <c r="BL213" i="3" s="1"/>
  <c r="AX265" i="3"/>
  <c r="AQ226" i="3"/>
  <c r="AS226" i="3" s="1"/>
  <c r="AR226" i="3" s="1"/>
  <c r="AW226" i="3" s="1"/>
  <c r="AY226" i="3" s="1"/>
  <c r="AX201" i="3"/>
  <c r="AQ244" i="3"/>
  <c r="AS244" i="3" s="1"/>
  <c r="AR244" i="3" s="1"/>
  <c r="AW244" i="3" s="1"/>
  <c r="AY244" i="3" s="1"/>
  <c r="AX244" i="3" s="1"/>
  <c r="AE250" i="3"/>
  <c r="AF250" i="3" s="1"/>
  <c r="AT262" i="25"/>
  <c r="AV262" i="25" s="1"/>
  <c r="V262" i="3"/>
  <c r="AT225" i="25"/>
  <c r="AV225" i="25" s="1"/>
  <c r="V225" i="3"/>
  <c r="C159" i="3"/>
  <c r="C268" i="25"/>
  <c r="AE268" i="25" s="1"/>
  <c r="AP268" i="25" s="1"/>
  <c r="C274" i="3"/>
  <c r="C55" i="3"/>
  <c r="C49" i="25"/>
  <c r="AE49" i="25" s="1"/>
  <c r="W256" i="3"/>
  <c r="X256" i="3" s="1"/>
  <c r="Z256" i="3" s="1"/>
  <c r="AB256" i="3" s="1"/>
  <c r="AD256" i="3" s="1"/>
  <c r="AF256" i="3" s="1"/>
  <c r="AH256" i="3" s="1"/>
  <c r="AJ256" i="3" s="1"/>
  <c r="W219" i="3"/>
  <c r="X219" i="3" s="1"/>
  <c r="Z219" i="3" s="1"/>
  <c r="AB219" i="3" s="1"/>
  <c r="AD219" i="3" s="1"/>
  <c r="AS226" i="25"/>
  <c r="AG207" i="3"/>
  <c r="AH207" i="3" s="1"/>
  <c r="C99" i="3"/>
  <c r="C93" i="25"/>
  <c r="AE93" i="25" s="1"/>
  <c r="C237" i="3"/>
  <c r="C231" i="25"/>
  <c r="AE231" i="25" s="1"/>
  <c r="AP231" i="25" s="1"/>
  <c r="AS262" i="25"/>
  <c r="AJ284" i="3"/>
  <c r="AJ289" i="3"/>
  <c r="AK289" i="3" s="1"/>
  <c r="AJ282" i="3"/>
  <c r="AK282" i="3" s="1"/>
  <c r="AJ288" i="3"/>
  <c r="AK288" i="3" s="1"/>
  <c r="AJ283" i="3"/>
  <c r="AK283" i="3" s="1"/>
  <c r="AJ290" i="3"/>
  <c r="AS286" i="25"/>
  <c r="W89" i="25"/>
  <c r="AP89" i="25" s="1"/>
  <c r="AT89" i="25" s="1"/>
  <c r="AV89" i="25" s="1"/>
  <c r="AQ270" i="3" l="1"/>
  <c r="AS270" i="3" s="1"/>
  <c r="AR270" i="3" s="1"/>
  <c r="AW270" i="3" s="1"/>
  <c r="AY270" i="3" s="1"/>
  <c r="AX270" i="3" s="1"/>
  <c r="BL270" i="3"/>
  <c r="AQ278" i="3"/>
  <c r="AS278" i="3" s="1"/>
  <c r="AR278" i="3" s="1"/>
  <c r="AW278" i="3" s="1"/>
  <c r="AY278" i="3" s="1"/>
  <c r="AX278" i="3" s="1"/>
  <c r="BL278" i="3"/>
  <c r="AQ277" i="3"/>
  <c r="AS277" i="3" s="1"/>
  <c r="AR277" i="3" s="1"/>
  <c r="AW277" i="3" s="1"/>
  <c r="AY277" i="3" s="1"/>
  <c r="AX277" i="3" s="1"/>
  <c r="BL277" i="3"/>
  <c r="AQ276" i="3"/>
  <c r="AS276" i="3" s="1"/>
  <c r="AR276" i="3" s="1"/>
  <c r="AW276" i="3" s="1"/>
  <c r="AY276" i="3" s="1"/>
  <c r="AX276" i="3" s="1"/>
  <c r="BL276" i="3"/>
  <c r="AQ276" i="25"/>
  <c r="AR276" i="25" s="1"/>
  <c r="AQ277" i="25"/>
  <c r="AR277" i="25" s="1"/>
  <c r="AQ278" i="25"/>
  <c r="AR278" i="25" s="1"/>
  <c r="AQ213" i="25"/>
  <c r="AR213" i="25" s="1"/>
  <c r="AL290" i="3"/>
  <c r="AM290" i="3" s="1"/>
  <c r="AN290" i="3" s="1"/>
  <c r="AL283" i="3"/>
  <c r="AM283" i="3" s="1"/>
  <c r="AN283" i="3" s="1"/>
  <c r="AL288" i="3"/>
  <c r="AM288" i="3" s="1"/>
  <c r="AN288" i="3" s="1"/>
  <c r="AL282" i="3"/>
  <c r="AM282" i="3" s="1"/>
  <c r="AN282" i="3" s="1"/>
  <c r="AL289" i="3"/>
  <c r="AM289" i="3" s="1"/>
  <c r="AN289" i="3" s="1"/>
  <c r="BL289" i="3" s="1"/>
  <c r="AL284" i="3"/>
  <c r="AM284" i="3" s="1"/>
  <c r="AN284" i="3" s="1"/>
  <c r="AL256" i="3"/>
  <c r="AM256" i="3" s="1"/>
  <c r="AN256" i="3" s="1"/>
  <c r="BL256" i="3" s="1"/>
  <c r="AX226" i="3"/>
  <c r="AQ213" i="3"/>
  <c r="AS213" i="3" s="1"/>
  <c r="AR213" i="3" s="1"/>
  <c r="AW213" i="3" s="1"/>
  <c r="AY213" i="3" s="1"/>
  <c r="AX213" i="3" s="1"/>
  <c r="AI207" i="3"/>
  <c r="AJ207" i="3" s="1"/>
  <c r="AT268" i="25"/>
  <c r="AV268" i="25" s="1"/>
  <c r="V268" i="3"/>
  <c r="C165" i="3"/>
  <c r="C159" i="25"/>
  <c r="AE159" i="25" s="1"/>
  <c r="AP159" i="25" s="1"/>
  <c r="AT231" i="25"/>
  <c r="AV231" i="25" s="1"/>
  <c r="V231" i="3"/>
  <c r="W231" i="3" s="1"/>
  <c r="X231" i="3" s="1"/>
  <c r="Z231" i="3" s="1"/>
  <c r="AB231" i="3" s="1"/>
  <c r="AD231" i="3" s="1"/>
  <c r="W225" i="3"/>
  <c r="X225" i="3" s="1"/>
  <c r="Z225" i="3" s="1"/>
  <c r="AB225" i="3" s="1"/>
  <c r="AD225" i="3" s="1"/>
  <c r="AF225" i="3" s="1"/>
  <c r="AH225" i="3" s="1"/>
  <c r="AJ225" i="3" s="1"/>
  <c r="C243" i="3"/>
  <c r="C237" i="25"/>
  <c r="AE237" i="25" s="1"/>
  <c r="AP237" i="25" s="1"/>
  <c r="AE219" i="3"/>
  <c r="AF219" i="3" s="1"/>
  <c r="C61" i="3"/>
  <c r="C55" i="25"/>
  <c r="AE55" i="25" s="1"/>
  <c r="W262" i="3"/>
  <c r="X262" i="3" s="1"/>
  <c r="Z262" i="3" s="1"/>
  <c r="AB262" i="3" s="1"/>
  <c r="AD262" i="3" s="1"/>
  <c r="C105" i="3"/>
  <c r="C105" i="25" s="1"/>
  <c r="AE105" i="25" s="1"/>
  <c r="AP105" i="25" s="1"/>
  <c r="C99" i="25"/>
  <c r="AE99" i="25" s="1"/>
  <c r="AG250" i="3"/>
  <c r="AH250" i="3" s="1"/>
  <c r="C160" i="3"/>
  <c r="C280" i="3"/>
  <c r="C274" i="25"/>
  <c r="AE274" i="25" s="1"/>
  <c r="AP274" i="25" s="1"/>
  <c r="AS280" i="25"/>
  <c r="W25" i="25"/>
  <c r="AP25" i="25" s="1"/>
  <c r="AT25" i="25" s="1"/>
  <c r="AV25" i="25" s="1"/>
  <c r="AQ290" i="25" l="1"/>
  <c r="AR290" i="25" s="1"/>
  <c r="AQ283" i="25"/>
  <c r="AR283" i="25" s="1"/>
  <c r="AQ288" i="25"/>
  <c r="AR288" i="25" s="1"/>
  <c r="AQ282" i="3"/>
  <c r="AS282" i="3" s="1"/>
  <c r="AR282" i="3" s="1"/>
  <c r="AW282" i="3" s="1"/>
  <c r="AY282" i="3" s="1"/>
  <c r="AX282" i="3" s="1"/>
  <c r="BL282" i="3"/>
  <c r="AQ288" i="3"/>
  <c r="AS288" i="3" s="1"/>
  <c r="AR288" i="3" s="1"/>
  <c r="AW288" i="3" s="1"/>
  <c r="AY288" i="3" s="1"/>
  <c r="AX288" i="3" s="1"/>
  <c r="BL288" i="3"/>
  <c r="AQ283" i="3"/>
  <c r="AS283" i="3" s="1"/>
  <c r="AR283" i="3" s="1"/>
  <c r="AW283" i="3" s="1"/>
  <c r="AY283" i="3" s="1"/>
  <c r="AX283" i="3" s="1"/>
  <c r="BL283" i="3"/>
  <c r="AQ290" i="3"/>
  <c r="AS290" i="3" s="1"/>
  <c r="AR290" i="3" s="1"/>
  <c r="AW290" i="3" s="1"/>
  <c r="AY290" i="3" s="1"/>
  <c r="AX290" i="3" s="1"/>
  <c r="BL290" i="3"/>
  <c r="AQ284" i="3"/>
  <c r="AS284" i="3" s="1"/>
  <c r="AR284" i="3" s="1"/>
  <c r="AW284" i="3" s="1"/>
  <c r="AY284" i="3" s="1"/>
  <c r="BL284" i="3"/>
  <c r="AQ284" i="25"/>
  <c r="AR284" i="25" s="1"/>
  <c r="AQ282" i="25"/>
  <c r="AR282" i="25" s="1"/>
  <c r="AQ289" i="25"/>
  <c r="AR289" i="25" s="1"/>
  <c r="AQ256" i="25"/>
  <c r="AR256" i="25" s="1"/>
  <c r="AL207" i="3"/>
  <c r="AM207" i="3" s="1"/>
  <c r="AQ207" i="25" s="1"/>
  <c r="AR207" i="25" s="1"/>
  <c r="AL225" i="3"/>
  <c r="AM225" i="3" s="1"/>
  <c r="AQ225" i="25" s="1"/>
  <c r="AR225" i="25" s="1"/>
  <c r="AX284" i="3"/>
  <c r="AQ256" i="3"/>
  <c r="AS256" i="3" s="1"/>
  <c r="AR256" i="3" s="1"/>
  <c r="AW256" i="3" s="1"/>
  <c r="AY256" i="3" s="1"/>
  <c r="AQ289" i="3"/>
  <c r="AS289" i="3" s="1"/>
  <c r="AR289" i="3" s="1"/>
  <c r="AW289" i="3" s="1"/>
  <c r="AY289" i="3" s="1"/>
  <c r="AT274" i="25"/>
  <c r="AV274" i="25" s="1"/>
  <c r="V274" i="3"/>
  <c r="C171" i="3"/>
  <c r="C165" i="25"/>
  <c r="AE165" i="25" s="1"/>
  <c r="AP165" i="25" s="1"/>
  <c r="AT237" i="25"/>
  <c r="AV237" i="25" s="1"/>
  <c r="V237" i="3"/>
  <c r="W237" i="3" s="1"/>
  <c r="X237" i="3" s="1"/>
  <c r="Z237" i="3" s="1"/>
  <c r="AB237" i="3" s="1"/>
  <c r="AD237" i="3" s="1"/>
  <c r="AF237" i="3" s="1"/>
  <c r="AH237" i="3" s="1"/>
  <c r="AJ237" i="3" s="1"/>
  <c r="W268" i="3"/>
  <c r="X268" i="3" s="1"/>
  <c r="Z268" i="3" s="1"/>
  <c r="AB268" i="3" s="1"/>
  <c r="AD268" i="3" s="1"/>
  <c r="AF268" i="3" s="1"/>
  <c r="AH268" i="3" s="1"/>
  <c r="AJ268" i="3" s="1"/>
  <c r="AT105" i="25"/>
  <c r="AV105" i="25" s="1"/>
  <c r="V105" i="3"/>
  <c r="X105" i="3" s="1"/>
  <c r="Z105" i="3" s="1"/>
  <c r="AB105" i="3" s="1"/>
  <c r="AD105" i="3" s="1"/>
  <c r="AF105" i="3" s="1"/>
  <c r="AH105" i="3" s="1"/>
  <c r="AJ105" i="3" s="1"/>
  <c r="C249" i="3"/>
  <c r="C243" i="25"/>
  <c r="AE243" i="25" s="1"/>
  <c r="AP243" i="25" s="1"/>
  <c r="C286" i="3"/>
  <c r="C286" i="25" s="1"/>
  <c r="AE286" i="25" s="1"/>
  <c r="AP286" i="25" s="1"/>
  <c r="C280" i="25"/>
  <c r="AE280" i="25" s="1"/>
  <c r="AP280" i="25" s="1"/>
  <c r="C166" i="3"/>
  <c r="C160" i="25"/>
  <c r="AE160" i="25" s="1"/>
  <c r="AP160" i="25" s="1"/>
  <c r="AI250" i="3"/>
  <c r="AJ250" i="3" s="1"/>
  <c r="AE262" i="3"/>
  <c r="AF262" i="3" s="1"/>
  <c r="AE231" i="3"/>
  <c r="AF231" i="3" s="1"/>
  <c r="AH231" i="3" s="1"/>
  <c r="AJ231" i="3" s="1"/>
  <c r="C67" i="3"/>
  <c r="C67" i="25" s="1"/>
  <c r="AE67" i="25" s="1"/>
  <c r="C61" i="25"/>
  <c r="AE61" i="25" s="1"/>
  <c r="AG219" i="3"/>
  <c r="AH219" i="3" s="1"/>
  <c r="AT159" i="25"/>
  <c r="AV159" i="25" s="1"/>
  <c r="V159" i="3"/>
  <c r="X159" i="3" s="1"/>
  <c r="Z159" i="3" s="1"/>
  <c r="AB159" i="3" s="1"/>
  <c r="AD159" i="3" s="1"/>
  <c r="AF159" i="3" s="1"/>
  <c r="AH159" i="3" s="1"/>
  <c r="AJ159" i="3" s="1"/>
  <c r="W30" i="25"/>
  <c r="AP30" i="25" s="1"/>
  <c r="AT30" i="25" s="1"/>
  <c r="AV30" i="25" s="1"/>
  <c r="AN207" i="3" l="1"/>
  <c r="BL207" i="3" s="1"/>
  <c r="AN225" i="3"/>
  <c r="BL225" i="3" s="1"/>
  <c r="AL159" i="3"/>
  <c r="AM159" i="3" s="1"/>
  <c r="AN159" i="3" s="1"/>
  <c r="BL159" i="3" s="1"/>
  <c r="AL105" i="3"/>
  <c r="AM105" i="3" s="1"/>
  <c r="AN105" i="3" s="1"/>
  <c r="BL105" i="3" s="1"/>
  <c r="AL250" i="3"/>
  <c r="AM250" i="3" s="1"/>
  <c r="AN250" i="3" s="1"/>
  <c r="BL250" i="3" s="1"/>
  <c r="AL268" i="3"/>
  <c r="AM268" i="3" s="1"/>
  <c r="AN268" i="3" s="1"/>
  <c r="BL268" i="3" s="1"/>
  <c r="AL237" i="3"/>
  <c r="AM237" i="3" s="1"/>
  <c r="AN237" i="3" s="1"/>
  <c r="BL237" i="3" s="1"/>
  <c r="AL231" i="3"/>
  <c r="AM231" i="3" s="1"/>
  <c r="AN231" i="3" s="1"/>
  <c r="BL231" i="3" s="1"/>
  <c r="AX256" i="3"/>
  <c r="AX289" i="3"/>
  <c r="AQ225" i="3"/>
  <c r="AS225" i="3" s="1"/>
  <c r="AR225" i="3" s="1"/>
  <c r="AW225" i="3" s="1"/>
  <c r="AY225" i="3" s="1"/>
  <c r="AX225" i="3" s="1"/>
  <c r="AI219" i="3"/>
  <c r="AJ219" i="3" s="1"/>
  <c r="AT286" i="25"/>
  <c r="AV286" i="25" s="1"/>
  <c r="V286" i="3"/>
  <c r="C73" i="3"/>
  <c r="AT243" i="25"/>
  <c r="AV243" i="25" s="1"/>
  <c r="V243" i="3"/>
  <c r="AT165" i="25"/>
  <c r="AV165" i="25" s="1"/>
  <c r="V165" i="3"/>
  <c r="X165" i="3" s="1"/>
  <c r="Z165" i="3" s="1"/>
  <c r="AB165" i="3" s="1"/>
  <c r="AD165" i="3" s="1"/>
  <c r="AG262" i="3"/>
  <c r="AH262" i="3" s="1"/>
  <c r="AJ262" i="3" s="1"/>
  <c r="AT160" i="25"/>
  <c r="AV160" i="25" s="1"/>
  <c r="V160" i="3"/>
  <c r="X160" i="3" s="1"/>
  <c r="Z160" i="3" s="1"/>
  <c r="AB160" i="3" s="1"/>
  <c r="AD160" i="3" s="1"/>
  <c r="AF160" i="3" s="1"/>
  <c r="AH160" i="3" s="1"/>
  <c r="AJ160" i="3" s="1"/>
  <c r="C249" i="25"/>
  <c r="AE249" i="25" s="1"/>
  <c r="AP249" i="25" s="1"/>
  <c r="C255" i="3"/>
  <c r="C177" i="3"/>
  <c r="C177" i="25" s="1"/>
  <c r="AE177" i="25" s="1"/>
  <c r="AP177" i="25" s="1"/>
  <c r="C171" i="25"/>
  <c r="AE171" i="25" s="1"/>
  <c r="AP171" i="25" s="1"/>
  <c r="C172" i="3"/>
  <c r="C166" i="25"/>
  <c r="AE166" i="25" s="1"/>
  <c r="AP166" i="25" s="1"/>
  <c r="W274" i="3"/>
  <c r="X274" i="3" s="1"/>
  <c r="Z274" i="3" s="1"/>
  <c r="AB274" i="3" s="1"/>
  <c r="AD274" i="3" s="1"/>
  <c r="AF274" i="3" s="1"/>
  <c r="AH274" i="3" s="1"/>
  <c r="AJ274" i="3" s="1"/>
  <c r="AQ159" i="25"/>
  <c r="AR159" i="25" s="1"/>
  <c r="AT280" i="25"/>
  <c r="AV280" i="25" s="1"/>
  <c r="V280" i="3"/>
  <c r="AS281" i="25"/>
  <c r="W58" i="25"/>
  <c r="AP58" i="25" s="1"/>
  <c r="AT58" i="25" s="1"/>
  <c r="AV58" i="25" s="1"/>
  <c r="AQ268" i="25" l="1"/>
  <c r="AR268" i="25" s="1"/>
  <c r="AQ207" i="3"/>
  <c r="AS207" i="3" s="1"/>
  <c r="AQ250" i="25"/>
  <c r="AR250" i="25" s="1"/>
  <c r="AQ105" i="25"/>
  <c r="AR105" i="25" s="1"/>
  <c r="AQ237" i="25"/>
  <c r="AR237" i="25" s="1"/>
  <c r="AQ231" i="25"/>
  <c r="AR231" i="25" s="1"/>
  <c r="AL262" i="3"/>
  <c r="AM262" i="3" s="1"/>
  <c r="AN262" i="3" s="1"/>
  <c r="BL262" i="3" s="1"/>
  <c r="AL274" i="3"/>
  <c r="AM274" i="3" s="1"/>
  <c r="AN274" i="3" s="1"/>
  <c r="BL274" i="3" s="1"/>
  <c r="AL160" i="3"/>
  <c r="AM160" i="3" s="1"/>
  <c r="AN160" i="3" s="1"/>
  <c r="BL160" i="3" s="1"/>
  <c r="AL219" i="3"/>
  <c r="AM219" i="3" s="1"/>
  <c r="AN219" i="3" s="1"/>
  <c r="BL219" i="3" s="1"/>
  <c r="AR207" i="3"/>
  <c r="AW207" i="3" s="1"/>
  <c r="AY207" i="3" s="1"/>
  <c r="AQ250" i="3"/>
  <c r="AS250" i="3" s="1"/>
  <c r="AR250" i="3" s="1"/>
  <c r="AW250" i="3" s="1"/>
  <c r="AY250" i="3" s="1"/>
  <c r="AQ105" i="3"/>
  <c r="AS105" i="3" s="1"/>
  <c r="AR105" i="3" s="1"/>
  <c r="AW105" i="3" s="1"/>
  <c r="AY105" i="3" s="1"/>
  <c r="AX105" i="3" s="1"/>
  <c r="AQ268" i="3"/>
  <c r="AS268" i="3" s="1"/>
  <c r="AR268" i="3" s="1"/>
  <c r="AW268" i="3" s="1"/>
  <c r="AY268" i="3" s="1"/>
  <c r="AQ237" i="3"/>
  <c r="AS237" i="3" s="1"/>
  <c r="AR237" i="3" s="1"/>
  <c r="AW237" i="3" s="1"/>
  <c r="AY237" i="3" s="1"/>
  <c r="AQ159" i="3"/>
  <c r="AS159" i="3" s="1"/>
  <c r="AR159" i="3" s="1"/>
  <c r="AW159" i="3" s="1"/>
  <c r="AY159" i="3" s="1"/>
  <c r="AX159" i="3" s="1"/>
  <c r="AQ231" i="3"/>
  <c r="AS231" i="3" s="1"/>
  <c r="AR231" i="3" s="1"/>
  <c r="AW231" i="3" s="1"/>
  <c r="AY231" i="3" s="1"/>
  <c r="AT177" i="25"/>
  <c r="AV177" i="25" s="1"/>
  <c r="V177" i="3"/>
  <c r="X177" i="3" s="1"/>
  <c r="Z177" i="3" s="1"/>
  <c r="AB177" i="3" s="1"/>
  <c r="AD177" i="3" s="1"/>
  <c r="W286" i="3"/>
  <c r="X286" i="3" s="1"/>
  <c r="Z286" i="3" s="1"/>
  <c r="AB286" i="3" s="1"/>
  <c r="AD286" i="3" s="1"/>
  <c r="C261" i="3"/>
  <c r="C255" i="25"/>
  <c r="AE255" i="25" s="1"/>
  <c r="AP255" i="25" s="1"/>
  <c r="AE165" i="3"/>
  <c r="AF165" i="3" s="1"/>
  <c r="AH165" i="3" s="1"/>
  <c r="AJ165" i="3" s="1"/>
  <c r="AT249" i="25"/>
  <c r="AV249" i="25" s="1"/>
  <c r="V249" i="3"/>
  <c r="W243" i="3"/>
  <c r="X243" i="3" s="1"/>
  <c r="Z243" i="3" s="1"/>
  <c r="AB243" i="3" s="1"/>
  <c r="AD243" i="3" s="1"/>
  <c r="AT166" i="25"/>
  <c r="AV166" i="25" s="1"/>
  <c r="V166" i="3"/>
  <c r="X166" i="3" s="1"/>
  <c r="Z166" i="3" s="1"/>
  <c r="AB166" i="3" s="1"/>
  <c r="AD166" i="3" s="1"/>
  <c r="C178" i="3"/>
  <c r="C178" i="25" s="1"/>
  <c r="AE178" i="25" s="1"/>
  <c r="AP178" i="25" s="1"/>
  <c r="C172" i="25"/>
  <c r="AE172" i="25" s="1"/>
  <c r="AP172" i="25" s="1"/>
  <c r="C79" i="3"/>
  <c r="C73" i="25"/>
  <c r="AE73" i="25" s="1"/>
  <c r="W280" i="3"/>
  <c r="X280" i="3" s="1"/>
  <c r="Z280" i="3" s="1"/>
  <c r="AB280" i="3" s="1"/>
  <c r="AD280" i="3" s="1"/>
  <c r="AT171" i="25"/>
  <c r="AV171" i="25" s="1"/>
  <c r="V171" i="3"/>
  <c r="X171" i="3" s="1"/>
  <c r="Z171" i="3" s="1"/>
  <c r="AB171" i="3" s="1"/>
  <c r="AD171" i="3" s="1"/>
  <c r="W67" i="25"/>
  <c r="AP67" i="25" s="1"/>
  <c r="AT67" i="25" s="1"/>
  <c r="AV67" i="25" s="1"/>
  <c r="W82" i="25"/>
  <c r="AP82" i="25" s="1"/>
  <c r="AT82" i="25" s="1"/>
  <c r="AV82" i="25" s="1"/>
  <c r="AQ262" i="25" l="1"/>
  <c r="AR262" i="25" s="1"/>
  <c r="AQ274" i="25"/>
  <c r="AR274" i="25" s="1"/>
  <c r="AQ219" i="25"/>
  <c r="AR219" i="25" s="1"/>
  <c r="AQ160" i="25"/>
  <c r="AR160" i="25" s="1"/>
  <c r="AL165" i="3"/>
  <c r="AM165" i="3" s="1"/>
  <c r="AN165" i="3" s="1"/>
  <c r="BL165" i="3" s="1"/>
  <c r="AX207" i="3"/>
  <c r="AX268" i="3"/>
  <c r="AX250" i="3"/>
  <c r="AX231" i="3"/>
  <c r="AX237" i="3"/>
  <c r="AQ262" i="3"/>
  <c r="AS262" i="3" s="1"/>
  <c r="AR262" i="3" s="1"/>
  <c r="AW262" i="3" s="1"/>
  <c r="AY262" i="3" s="1"/>
  <c r="AQ274" i="3"/>
  <c r="AS274" i="3" s="1"/>
  <c r="AR274" i="3" s="1"/>
  <c r="AW274" i="3" s="1"/>
  <c r="AY274" i="3" s="1"/>
  <c r="AX274" i="3" s="1"/>
  <c r="AQ219" i="3"/>
  <c r="AS219" i="3" s="1"/>
  <c r="AR219" i="3" s="1"/>
  <c r="AW219" i="3" s="1"/>
  <c r="AY219" i="3" s="1"/>
  <c r="AX219" i="3" s="1"/>
  <c r="AQ160" i="3"/>
  <c r="AS160" i="3" s="1"/>
  <c r="AR160" i="3" s="1"/>
  <c r="AW160" i="3" s="1"/>
  <c r="AY160" i="3" s="1"/>
  <c r="AX160" i="3" s="1"/>
  <c r="AE286" i="3"/>
  <c r="AF286" i="3" s="1"/>
  <c r="AT172" i="25"/>
  <c r="AV172" i="25" s="1"/>
  <c r="V172" i="3"/>
  <c r="X172" i="3" s="1"/>
  <c r="Z172" i="3" s="1"/>
  <c r="AB172" i="3" s="1"/>
  <c r="AD172" i="3" s="1"/>
  <c r="AT178" i="25"/>
  <c r="AV178" i="25" s="1"/>
  <c r="V178" i="3"/>
  <c r="X178" i="3" s="1"/>
  <c r="Z178" i="3" s="1"/>
  <c r="AB178" i="3" s="1"/>
  <c r="AD178" i="3" s="1"/>
  <c r="W249" i="3"/>
  <c r="X249" i="3" s="1"/>
  <c r="Z249" i="3" s="1"/>
  <c r="AB249" i="3" s="1"/>
  <c r="AD249" i="3" s="1"/>
  <c r="AF249" i="3" s="1"/>
  <c r="AH249" i="3" s="1"/>
  <c r="AJ249" i="3" s="1"/>
  <c r="AE177" i="3"/>
  <c r="AF177" i="3" s="1"/>
  <c r="AH177" i="3" s="1"/>
  <c r="AJ177" i="3" s="1"/>
  <c r="AE166" i="3"/>
  <c r="AF166" i="3" s="1"/>
  <c r="AE280" i="3"/>
  <c r="AF280" i="3" s="1"/>
  <c r="AH280" i="3" s="1"/>
  <c r="AJ280" i="3" s="1"/>
  <c r="C79" i="25"/>
  <c r="AE79" i="25" s="1"/>
  <c r="C85" i="3"/>
  <c r="AT255" i="25"/>
  <c r="AV255" i="25" s="1"/>
  <c r="V255" i="3"/>
  <c r="W255" i="3" s="1"/>
  <c r="X255" i="3" s="1"/>
  <c r="Z255" i="3" s="1"/>
  <c r="AB255" i="3" s="1"/>
  <c r="AD255" i="3" s="1"/>
  <c r="AE171" i="3"/>
  <c r="AF171" i="3" s="1"/>
  <c r="AH171" i="3" s="1"/>
  <c r="AJ171" i="3" s="1"/>
  <c r="AE243" i="3"/>
  <c r="AF243" i="3" s="1"/>
  <c r="C215" i="3"/>
  <c r="C261" i="25"/>
  <c r="AE261" i="25" s="1"/>
  <c r="AP261" i="25" s="1"/>
  <c r="C267" i="3"/>
  <c r="W31" i="25"/>
  <c r="AP31" i="25" s="1"/>
  <c r="AT31" i="25" s="1"/>
  <c r="AV31" i="25" s="1"/>
  <c r="AQ165" i="25" l="1"/>
  <c r="AR165" i="25" s="1"/>
  <c r="AL177" i="3"/>
  <c r="AM177" i="3" s="1"/>
  <c r="AN177" i="3" s="1"/>
  <c r="BL177" i="3" s="1"/>
  <c r="AL249" i="3"/>
  <c r="AM249" i="3" s="1"/>
  <c r="AN249" i="3" s="1"/>
  <c r="BL249" i="3" s="1"/>
  <c r="AL171" i="3"/>
  <c r="AM171" i="3" s="1"/>
  <c r="AN171" i="3" s="1"/>
  <c r="BL171" i="3" s="1"/>
  <c r="AL280" i="3"/>
  <c r="AM280" i="3" s="1"/>
  <c r="AN280" i="3" s="1"/>
  <c r="BL280" i="3" s="1"/>
  <c r="AX262" i="3"/>
  <c r="AQ165" i="3"/>
  <c r="AS165" i="3" s="1"/>
  <c r="AR165" i="3" s="1"/>
  <c r="AW165" i="3" s="1"/>
  <c r="AY165" i="3" s="1"/>
  <c r="AX165" i="3" s="1"/>
  <c r="AG166" i="3"/>
  <c r="AH166" i="3" s="1"/>
  <c r="AE178" i="3"/>
  <c r="AF178" i="3" s="1"/>
  <c r="AQ177" i="25"/>
  <c r="AR177" i="25" s="1"/>
  <c r="AE172" i="3"/>
  <c r="AF172" i="3" s="1"/>
  <c r="C267" i="25"/>
  <c r="AE267" i="25" s="1"/>
  <c r="AP267" i="25" s="1"/>
  <c r="C273" i="3"/>
  <c r="AT261" i="25"/>
  <c r="AV261" i="25" s="1"/>
  <c r="V261" i="3"/>
  <c r="AQ249" i="25"/>
  <c r="AR249" i="25" s="1"/>
  <c r="AG243" i="3"/>
  <c r="AH243" i="3" s="1"/>
  <c r="C91" i="3"/>
  <c r="C85" i="25"/>
  <c r="AE85" i="25" s="1"/>
  <c r="AE255" i="3"/>
  <c r="AF255" i="3" s="1"/>
  <c r="C215" i="25"/>
  <c r="AE215" i="25" s="1"/>
  <c r="AP215" i="25" s="1"/>
  <c r="C221" i="3"/>
  <c r="AG286" i="3"/>
  <c r="AH286" i="3" s="1"/>
  <c r="W32" i="25"/>
  <c r="AP32" i="25" s="1"/>
  <c r="AT32" i="25" s="1"/>
  <c r="AV32" i="25" s="1"/>
  <c r="AQ171" i="25" l="1"/>
  <c r="AR171" i="25" s="1"/>
  <c r="AQ280" i="25"/>
  <c r="AR280" i="25" s="1"/>
  <c r="AQ171" i="3"/>
  <c r="AS171" i="3" s="1"/>
  <c r="AR171" i="3" s="1"/>
  <c r="AW171" i="3" s="1"/>
  <c r="AY171" i="3" s="1"/>
  <c r="AQ280" i="3"/>
  <c r="AS280" i="3" s="1"/>
  <c r="AR280" i="3" s="1"/>
  <c r="AW280" i="3" s="1"/>
  <c r="AY280" i="3" s="1"/>
  <c r="AX280" i="3" s="1"/>
  <c r="AQ249" i="3"/>
  <c r="AS249" i="3" s="1"/>
  <c r="AR249" i="3" s="1"/>
  <c r="AW249" i="3" s="1"/>
  <c r="AY249" i="3" s="1"/>
  <c r="AX249" i="3" s="1"/>
  <c r="AQ177" i="3"/>
  <c r="AS177" i="3" s="1"/>
  <c r="AR177" i="3" s="1"/>
  <c r="AW177" i="3" s="1"/>
  <c r="AY177" i="3" s="1"/>
  <c r="AG178" i="3"/>
  <c r="AH178" i="3" s="1"/>
  <c r="W261" i="3"/>
  <c r="X261" i="3" s="1"/>
  <c r="Z261" i="3" s="1"/>
  <c r="AB261" i="3" s="1"/>
  <c r="AD261" i="3" s="1"/>
  <c r="C273" i="25"/>
  <c r="AE273" i="25" s="1"/>
  <c r="AP273" i="25" s="1"/>
  <c r="C279" i="3"/>
  <c r="AI166" i="3"/>
  <c r="AJ166" i="3" s="1"/>
  <c r="AT267" i="25"/>
  <c r="AV267" i="25" s="1"/>
  <c r="V267" i="3"/>
  <c r="AG255" i="3"/>
  <c r="AH255" i="3" s="1"/>
  <c r="AI286" i="3"/>
  <c r="AJ286" i="3" s="1"/>
  <c r="C91" i="25"/>
  <c r="AE91" i="25" s="1"/>
  <c r="C97" i="3"/>
  <c r="C227" i="3"/>
  <c r="C221" i="25"/>
  <c r="AE221" i="25" s="1"/>
  <c r="AP221" i="25" s="1"/>
  <c r="AI243" i="3"/>
  <c r="AJ243" i="3" s="1"/>
  <c r="AK243" i="3" s="1"/>
  <c r="AG172" i="3"/>
  <c r="AH172" i="3" s="1"/>
  <c r="AT215" i="25"/>
  <c r="AV215" i="25" s="1"/>
  <c r="V215" i="3"/>
  <c r="W215" i="3" s="1"/>
  <c r="X215" i="3" s="1"/>
  <c r="Z215" i="3" s="1"/>
  <c r="AB215" i="3" s="1"/>
  <c r="AD215" i="3" s="1"/>
  <c r="AF215" i="3" s="1"/>
  <c r="AH215" i="3" s="1"/>
  <c r="AJ215" i="3" s="1"/>
  <c r="W45" i="25"/>
  <c r="AP45" i="25" s="1"/>
  <c r="AT45" i="25" s="1"/>
  <c r="AV45" i="25" s="1"/>
  <c r="AX171" i="3" l="1"/>
  <c r="AL286" i="3"/>
  <c r="AM286" i="3" s="1"/>
  <c r="AQ286" i="25" s="1"/>
  <c r="AR286" i="25" s="1"/>
  <c r="AL215" i="3"/>
  <c r="AM215" i="3" s="1"/>
  <c r="AN215" i="3" s="1"/>
  <c r="BL215" i="3" s="1"/>
  <c r="AL243" i="3"/>
  <c r="AM243" i="3" s="1"/>
  <c r="AN243" i="3" s="1"/>
  <c r="BL243" i="3" s="1"/>
  <c r="AL166" i="3"/>
  <c r="AM166" i="3" s="1"/>
  <c r="AQ166" i="25" s="1"/>
  <c r="AR166" i="25" s="1"/>
  <c r="AX177" i="3"/>
  <c r="C103" i="3"/>
  <c r="C97" i="25"/>
  <c r="AE97" i="25" s="1"/>
  <c r="AI172" i="3"/>
  <c r="AJ172" i="3" s="1"/>
  <c r="C279" i="25"/>
  <c r="AE279" i="25" s="1"/>
  <c r="AP279" i="25" s="1"/>
  <c r="C285" i="3"/>
  <c r="C285" i="25" s="1"/>
  <c r="AE285" i="25" s="1"/>
  <c r="AP285" i="25" s="1"/>
  <c r="AT273" i="25"/>
  <c r="AV273" i="25" s="1"/>
  <c r="V273" i="3"/>
  <c r="AI255" i="3"/>
  <c r="AJ255" i="3" s="1"/>
  <c r="AE261" i="3"/>
  <c r="AF261" i="3" s="1"/>
  <c r="AH261" i="3" s="1"/>
  <c r="AJ261" i="3" s="1"/>
  <c r="W267" i="3"/>
  <c r="X267" i="3" s="1"/>
  <c r="Z267" i="3" s="1"/>
  <c r="AB267" i="3" s="1"/>
  <c r="AD267" i="3" s="1"/>
  <c r="AI178" i="3"/>
  <c r="AJ178" i="3" s="1"/>
  <c r="AT221" i="25"/>
  <c r="AV221" i="25" s="1"/>
  <c r="V221" i="3"/>
  <c r="C227" i="25"/>
  <c r="AE227" i="25" s="1"/>
  <c r="AP227" i="25" s="1"/>
  <c r="C233" i="3"/>
  <c r="W37" i="25"/>
  <c r="AP37" i="25" s="1"/>
  <c r="AT37" i="25" s="1"/>
  <c r="AV37" i="25" s="1"/>
  <c r="AQ215" i="25" l="1"/>
  <c r="AR215" i="25" s="1"/>
  <c r="AN286" i="3"/>
  <c r="BL286" i="3" s="1"/>
  <c r="AQ243" i="25"/>
  <c r="AR243" i="25" s="1"/>
  <c r="AN166" i="3"/>
  <c r="AL178" i="3"/>
  <c r="AM178" i="3" s="1"/>
  <c r="AQ178" i="25" s="1"/>
  <c r="AR178" i="25" s="1"/>
  <c r="AL172" i="3"/>
  <c r="AM172" i="3" s="1"/>
  <c r="AN172" i="3" s="1"/>
  <c r="BL172" i="3" s="1"/>
  <c r="AL261" i="3"/>
  <c r="AM261" i="3" s="1"/>
  <c r="AN261" i="3" s="1"/>
  <c r="BL261" i="3" s="1"/>
  <c r="AL255" i="3"/>
  <c r="AM255" i="3" s="1"/>
  <c r="AN255" i="3" s="1"/>
  <c r="BL255" i="3" s="1"/>
  <c r="AQ243" i="3"/>
  <c r="AS243" i="3" s="1"/>
  <c r="AR243" i="3" s="1"/>
  <c r="AW243" i="3" s="1"/>
  <c r="AY243" i="3" s="1"/>
  <c r="AX243" i="3" s="1"/>
  <c r="AQ215" i="3"/>
  <c r="AS215" i="3" s="1"/>
  <c r="AR215" i="3" s="1"/>
  <c r="AW215" i="3" s="1"/>
  <c r="AY215" i="3" s="1"/>
  <c r="C233" i="25"/>
  <c r="AE233" i="25" s="1"/>
  <c r="AP233" i="25" s="1"/>
  <c r="C239" i="3"/>
  <c r="AT227" i="25"/>
  <c r="AV227" i="25" s="1"/>
  <c r="V227" i="3"/>
  <c r="C103" i="25"/>
  <c r="AE103" i="25" s="1"/>
  <c r="C109" i="3"/>
  <c r="C109" i="25" s="1"/>
  <c r="AE109" i="25" s="1"/>
  <c r="AP109" i="25" s="1"/>
  <c r="W273" i="3"/>
  <c r="X273" i="3" s="1"/>
  <c r="Z273" i="3" s="1"/>
  <c r="AB273" i="3" s="1"/>
  <c r="AD273" i="3" s="1"/>
  <c r="AF273" i="3" s="1"/>
  <c r="AH273" i="3" s="1"/>
  <c r="AJ273" i="3" s="1"/>
  <c r="AT285" i="25"/>
  <c r="AV285" i="25" s="1"/>
  <c r="V285" i="3"/>
  <c r="AE267" i="3"/>
  <c r="AF267" i="3" s="1"/>
  <c r="W221" i="3"/>
  <c r="X221" i="3" s="1"/>
  <c r="Z221" i="3" s="1"/>
  <c r="AB221" i="3" s="1"/>
  <c r="AD221" i="3" s="1"/>
  <c r="AT279" i="25"/>
  <c r="AV279" i="25" s="1"/>
  <c r="V279" i="3"/>
  <c r="W36" i="25"/>
  <c r="AP36" i="25" s="1"/>
  <c r="AT36" i="25" s="1"/>
  <c r="AV36" i="25" s="1"/>
  <c r="AQ286" i="3" l="1"/>
  <c r="AS286" i="3" s="1"/>
  <c r="AR286" i="3" s="1"/>
  <c r="AW286" i="3" s="1"/>
  <c r="AY286" i="3" s="1"/>
  <c r="AX286" i="3" s="1"/>
  <c r="AQ166" i="3"/>
  <c r="AS166" i="3" s="1"/>
  <c r="AR166" i="3" s="1"/>
  <c r="AW166" i="3" s="1"/>
  <c r="AY166" i="3" s="1"/>
  <c r="AX166" i="3" s="1"/>
  <c r="BL166" i="3"/>
  <c r="AN178" i="3"/>
  <c r="BL178" i="3" s="1"/>
  <c r="AQ255" i="25"/>
  <c r="AR255" i="25" s="1"/>
  <c r="AQ261" i="25"/>
  <c r="AR261" i="25" s="1"/>
  <c r="AQ172" i="25"/>
  <c r="AR172" i="25" s="1"/>
  <c r="AL273" i="3"/>
  <c r="AM273" i="3" s="1"/>
  <c r="AN273" i="3" s="1"/>
  <c r="BL273" i="3" s="1"/>
  <c r="AX215" i="3"/>
  <c r="AQ255" i="3"/>
  <c r="AS255" i="3" s="1"/>
  <c r="AR255" i="3" s="1"/>
  <c r="AW255" i="3" s="1"/>
  <c r="AY255" i="3" s="1"/>
  <c r="AQ172" i="3"/>
  <c r="AS172" i="3" s="1"/>
  <c r="AR172" i="3" s="1"/>
  <c r="AW172" i="3" s="1"/>
  <c r="AY172" i="3" s="1"/>
  <c r="AQ178" i="3"/>
  <c r="AS178" i="3" s="1"/>
  <c r="AR178" i="3" s="1"/>
  <c r="AW178" i="3" s="1"/>
  <c r="AY178" i="3" s="1"/>
  <c r="AQ261" i="3"/>
  <c r="AS261" i="3" s="1"/>
  <c r="AR261" i="3" s="1"/>
  <c r="AW261" i="3" s="1"/>
  <c r="AY261" i="3" s="1"/>
  <c r="AX261" i="3" s="1"/>
  <c r="AE221" i="3"/>
  <c r="AF221" i="3" s="1"/>
  <c r="AH221" i="3" s="1"/>
  <c r="AJ221" i="3" s="1"/>
  <c r="W279" i="3"/>
  <c r="X279" i="3" s="1"/>
  <c r="Z279" i="3" s="1"/>
  <c r="AB279" i="3" s="1"/>
  <c r="AD279" i="3" s="1"/>
  <c r="AG267" i="3"/>
  <c r="AH267" i="3" s="1"/>
  <c r="W227" i="3"/>
  <c r="X227" i="3" s="1"/>
  <c r="Z227" i="3" s="1"/>
  <c r="AB227" i="3" s="1"/>
  <c r="AD227" i="3" s="1"/>
  <c r="AT109" i="25"/>
  <c r="AV109" i="25" s="1"/>
  <c r="V109" i="3"/>
  <c r="C245" i="3"/>
  <c r="C239" i="25"/>
  <c r="AE239" i="25" s="1"/>
  <c r="AP239" i="25" s="1"/>
  <c r="AT233" i="25"/>
  <c r="AV233" i="25" s="1"/>
  <c r="V233" i="3"/>
  <c r="W285" i="3"/>
  <c r="X285" i="3" s="1"/>
  <c r="Z285" i="3" s="1"/>
  <c r="AB285" i="3" s="1"/>
  <c r="AD285" i="3" s="1"/>
  <c r="AS261" i="25"/>
  <c r="W49" i="25"/>
  <c r="AP49" i="25" s="1"/>
  <c r="AT49" i="25" s="1"/>
  <c r="AV49" i="25" s="1"/>
  <c r="W64" i="25"/>
  <c r="AP64" i="25" s="1"/>
  <c r="AT64" i="25" s="1"/>
  <c r="AV64" i="25" s="1"/>
  <c r="AQ273" i="25" l="1"/>
  <c r="AR273" i="25" s="1"/>
  <c r="AL221" i="3"/>
  <c r="AM221" i="3" s="1"/>
  <c r="AN221" i="3" s="1"/>
  <c r="BL221" i="3" s="1"/>
  <c r="AX255" i="3"/>
  <c r="AX172" i="3"/>
  <c r="AX178" i="3"/>
  <c r="AQ273" i="3"/>
  <c r="AS273" i="3" s="1"/>
  <c r="AR273" i="3" s="1"/>
  <c r="AW273" i="3" s="1"/>
  <c r="AY273" i="3" s="1"/>
  <c r="AE227" i="3"/>
  <c r="AF227" i="3" s="1"/>
  <c r="AH227" i="3" s="1"/>
  <c r="AJ227" i="3" s="1"/>
  <c r="W233" i="3"/>
  <c r="X233" i="3" s="1"/>
  <c r="Z233" i="3" s="1"/>
  <c r="AB233" i="3" s="1"/>
  <c r="AD233" i="3" s="1"/>
  <c r="AT239" i="25"/>
  <c r="AV239" i="25" s="1"/>
  <c r="V239" i="3"/>
  <c r="AI267" i="3"/>
  <c r="AJ267" i="3" s="1"/>
  <c r="AK267" i="3" s="1"/>
  <c r="C251" i="3"/>
  <c r="C245" i="25"/>
  <c r="AE245" i="25" s="1"/>
  <c r="AP245" i="25" s="1"/>
  <c r="AE285" i="3"/>
  <c r="AF285" i="3" s="1"/>
  <c r="AH285" i="3" s="1"/>
  <c r="AJ285" i="3" s="1"/>
  <c r="W109" i="3"/>
  <c r="X109" i="3" s="1"/>
  <c r="Z109" i="3" s="1"/>
  <c r="AB109" i="3" s="1"/>
  <c r="AD109" i="3" s="1"/>
  <c r="AE279" i="3"/>
  <c r="AF279" i="3" s="1"/>
  <c r="AQ221" i="25"/>
  <c r="AR221" i="25" s="1"/>
  <c r="W69" i="25"/>
  <c r="AP69" i="25" s="1"/>
  <c r="AT69" i="25" s="1"/>
  <c r="AV69" i="25" s="1"/>
  <c r="AL285" i="3" l="1"/>
  <c r="AM285" i="3" s="1"/>
  <c r="AN285" i="3" s="1"/>
  <c r="BL285" i="3" s="1"/>
  <c r="AL227" i="3"/>
  <c r="AM227" i="3" s="1"/>
  <c r="AN227" i="3" s="1"/>
  <c r="BL227" i="3" s="1"/>
  <c r="AL267" i="3"/>
  <c r="AM267" i="3" s="1"/>
  <c r="AN267" i="3" s="1"/>
  <c r="BL267" i="3" s="1"/>
  <c r="AX273" i="3"/>
  <c r="AQ221" i="3"/>
  <c r="AS221" i="3" s="1"/>
  <c r="AR221" i="3" s="1"/>
  <c r="AW221" i="3" s="1"/>
  <c r="AY221" i="3" s="1"/>
  <c r="AX221" i="3" s="1"/>
  <c r="AG279" i="3"/>
  <c r="AH279" i="3" s="1"/>
  <c r="AI279" i="3" s="1"/>
  <c r="W239" i="3"/>
  <c r="X239" i="3" s="1"/>
  <c r="Z239" i="3" s="1"/>
  <c r="AB239" i="3" s="1"/>
  <c r="AD239" i="3" s="1"/>
  <c r="AF239" i="3" s="1"/>
  <c r="AH239" i="3" s="1"/>
  <c r="AJ239" i="3" s="1"/>
  <c r="AE109" i="3"/>
  <c r="AF109" i="3" s="1"/>
  <c r="AQ285" i="25"/>
  <c r="AR285" i="25" s="1"/>
  <c r="AE233" i="3"/>
  <c r="AF233" i="3" s="1"/>
  <c r="AH233" i="3" s="1"/>
  <c r="AJ233" i="3" s="1"/>
  <c r="AT245" i="25"/>
  <c r="AV245" i="25" s="1"/>
  <c r="V245" i="3"/>
  <c r="W245" i="3" s="1"/>
  <c r="X245" i="3" s="1"/>
  <c r="Z245" i="3" s="1"/>
  <c r="AB245" i="3" s="1"/>
  <c r="AD245" i="3" s="1"/>
  <c r="C251" i="25"/>
  <c r="AE251" i="25" s="1"/>
  <c r="AP251" i="25" s="1"/>
  <c r="C257" i="3"/>
  <c r="W103" i="25"/>
  <c r="AP103" i="25" s="1"/>
  <c r="AT103" i="25" s="1"/>
  <c r="AV103" i="25" s="1"/>
  <c r="AQ267" i="25" l="1"/>
  <c r="AR267" i="25" s="1"/>
  <c r="AQ227" i="25"/>
  <c r="AR227" i="25" s="1"/>
  <c r="AL233" i="3"/>
  <c r="AM233" i="3" s="1"/>
  <c r="AN233" i="3" s="1"/>
  <c r="BL233" i="3" s="1"/>
  <c r="AL239" i="3"/>
  <c r="AM239" i="3" s="1"/>
  <c r="AN239" i="3" s="1"/>
  <c r="BL239" i="3" s="1"/>
  <c r="AQ227" i="3"/>
  <c r="AS227" i="3" s="1"/>
  <c r="AR227" i="3" s="1"/>
  <c r="AW227" i="3" s="1"/>
  <c r="AY227" i="3" s="1"/>
  <c r="AX227" i="3" s="1"/>
  <c r="AQ267" i="3"/>
  <c r="AS267" i="3" s="1"/>
  <c r="AR267" i="3" s="1"/>
  <c r="AW267" i="3" s="1"/>
  <c r="AY267" i="3" s="1"/>
  <c r="AQ285" i="3"/>
  <c r="AS285" i="3" s="1"/>
  <c r="AR285" i="3" s="1"/>
  <c r="AW285" i="3" s="1"/>
  <c r="AY285" i="3" s="1"/>
  <c r="AJ279" i="3"/>
  <c r="AK279" i="3" s="1"/>
  <c r="AG109" i="3"/>
  <c r="AH109" i="3" s="1"/>
  <c r="AI109" i="3" s="1"/>
  <c r="AE245" i="3"/>
  <c r="AF245" i="3" s="1"/>
  <c r="AH245" i="3" s="1"/>
  <c r="AJ245" i="3" s="1"/>
  <c r="C263" i="3"/>
  <c r="C257" i="25"/>
  <c r="AE257" i="25" s="1"/>
  <c r="AP257" i="25" s="1"/>
  <c r="AT251" i="25"/>
  <c r="AV251" i="25" s="1"/>
  <c r="V251" i="3"/>
  <c r="AS267" i="25"/>
  <c r="W39" i="25"/>
  <c r="AP39" i="25" s="1"/>
  <c r="AT39" i="25" s="1"/>
  <c r="AV39" i="25" s="1"/>
  <c r="W44" i="25"/>
  <c r="AP44" i="25" s="1"/>
  <c r="AT44" i="25" s="1"/>
  <c r="AV44" i="25" s="1"/>
  <c r="AQ233" i="25" l="1"/>
  <c r="AR233" i="25" s="1"/>
  <c r="AQ239" i="25"/>
  <c r="AR239" i="25" s="1"/>
  <c r="AL245" i="3"/>
  <c r="AM245" i="3" s="1"/>
  <c r="AN245" i="3" s="1"/>
  <c r="BL245" i="3" s="1"/>
  <c r="AL279" i="3"/>
  <c r="AM279" i="3" s="1"/>
  <c r="AN279" i="3" s="1"/>
  <c r="BL279" i="3" s="1"/>
  <c r="AX267" i="3"/>
  <c r="AX285" i="3"/>
  <c r="AQ239" i="3"/>
  <c r="AS239" i="3" s="1"/>
  <c r="AR239" i="3" s="1"/>
  <c r="AW239" i="3" s="1"/>
  <c r="AY239" i="3" s="1"/>
  <c r="AX239" i="3" s="1"/>
  <c r="AQ233" i="3"/>
  <c r="AS233" i="3" s="1"/>
  <c r="AR233" i="3" s="1"/>
  <c r="AW233" i="3" s="1"/>
  <c r="AY233" i="3" s="1"/>
  <c r="AX233" i="3" s="1"/>
  <c r="AQ279" i="25"/>
  <c r="AR279" i="25" s="1"/>
  <c r="W251" i="3"/>
  <c r="X251" i="3" s="1"/>
  <c r="Z251" i="3" s="1"/>
  <c r="AB251" i="3" s="1"/>
  <c r="AD251" i="3" s="1"/>
  <c r="AQ245" i="25"/>
  <c r="AR245" i="25" s="1"/>
  <c r="AT257" i="25"/>
  <c r="AV257" i="25" s="1"/>
  <c r="V257" i="3"/>
  <c r="AJ109" i="3"/>
  <c r="C140" i="3"/>
  <c r="C269" i="3"/>
  <c r="C263" i="25"/>
  <c r="AE263" i="25" s="1"/>
  <c r="AP263" i="25" s="1"/>
  <c r="W40" i="25"/>
  <c r="AP40" i="25" s="1"/>
  <c r="AT40" i="25" s="1"/>
  <c r="AV40" i="25" s="1"/>
  <c r="AL109" i="3" l="1"/>
  <c r="AM109" i="3" s="1"/>
  <c r="AN109" i="3" s="1"/>
  <c r="BL109" i="3" s="1"/>
  <c r="AQ245" i="3"/>
  <c r="AS245" i="3" s="1"/>
  <c r="AR245" i="3" s="1"/>
  <c r="AW245" i="3" s="1"/>
  <c r="AY245" i="3" s="1"/>
  <c r="AX245" i="3" s="1"/>
  <c r="AQ279" i="3"/>
  <c r="AS279" i="3" s="1"/>
  <c r="AR279" i="3" s="1"/>
  <c r="AW279" i="3" s="1"/>
  <c r="AY279" i="3" s="1"/>
  <c r="AX279" i="3" s="1"/>
  <c r="C269" i="25"/>
  <c r="AE269" i="25" s="1"/>
  <c r="AP269" i="25" s="1"/>
  <c r="C275" i="3"/>
  <c r="C146" i="3"/>
  <c r="C140" i="25"/>
  <c r="AE140" i="25" s="1"/>
  <c r="AP140" i="25" s="1"/>
  <c r="W257" i="3"/>
  <c r="X257" i="3" s="1"/>
  <c r="Z257" i="3" s="1"/>
  <c r="AB257" i="3" s="1"/>
  <c r="AD257" i="3" s="1"/>
  <c r="AF257" i="3" s="1"/>
  <c r="AH257" i="3" s="1"/>
  <c r="AJ257" i="3" s="1"/>
  <c r="AE251" i="3"/>
  <c r="AF251" i="3" s="1"/>
  <c r="AH251" i="3" s="1"/>
  <c r="AJ251" i="3" s="1"/>
  <c r="AT263" i="25"/>
  <c r="AV263" i="25" s="1"/>
  <c r="V263" i="3"/>
  <c r="W34" i="25"/>
  <c r="AP34" i="25" s="1"/>
  <c r="AT34" i="25" s="1"/>
  <c r="AV34" i="25" s="1"/>
  <c r="AQ109" i="25" l="1"/>
  <c r="AR109" i="25" s="1"/>
  <c r="AL251" i="3"/>
  <c r="AM251" i="3" s="1"/>
  <c r="AN251" i="3" s="1"/>
  <c r="BL251" i="3" s="1"/>
  <c r="AL257" i="3"/>
  <c r="AM257" i="3" s="1"/>
  <c r="AN257" i="3" s="1"/>
  <c r="BL257" i="3" s="1"/>
  <c r="AQ109" i="3"/>
  <c r="AS109" i="3" s="1"/>
  <c r="AR109" i="3" s="1"/>
  <c r="AW109" i="3" s="1"/>
  <c r="AY109" i="3" s="1"/>
  <c r="W263" i="3"/>
  <c r="X263" i="3" s="1"/>
  <c r="Z263" i="3" s="1"/>
  <c r="AB263" i="3" s="1"/>
  <c r="AD263" i="3" s="1"/>
  <c r="AF263" i="3" s="1"/>
  <c r="AH263" i="3" s="1"/>
  <c r="AJ263" i="3" s="1"/>
  <c r="AQ251" i="25"/>
  <c r="AR251" i="25" s="1"/>
  <c r="C152" i="3"/>
  <c r="C146" i="25"/>
  <c r="AE146" i="25" s="1"/>
  <c r="AP146" i="25" s="1"/>
  <c r="AT140" i="25"/>
  <c r="AV140" i="25" s="1"/>
  <c r="V140" i="3"/>
  <c r="X140" i="3" s="1"/>
  <c r="Z140" i="3" s="1"/>
  <c r="AB140" i="3" s="1"/>
  <c r="AD140" i="3" s="1"/>
  <c r="AF140" i="3" s="1"/>
  <c r="AH140" i="3" s="1"/>
  <c r="AJ140" i="3" s="1"/>
  <c r="C275" i="25"/>
  <c r="AE275" i="25" s="1"/>
  <c r="AP275" i="25" s="1"/>
  <c r="C281" i="3"/>
  <c r="AT269" i="25"/>
  <c r="AV269" i="25" s="1"/>
  <c r="V269" i="3"/>
  <c r="W99" i="25"/>
  <c r="AP99" i="25" s="1"/>
  <c r="AT99" i="25" s="1"/>
  <c r="AV99" i="25" s="1"/>
  <c r="AQ257" i="25" l="1"/>
  <c r="AR257" i="25" s="1"/>
  <c r="AL140" i="3"/>
  <c r="AM140" i="3" s="1"/>
  <c r="AN140" i="3" s="1"/>
  <c r="BL140" i="3" s="1"/>
  <c r="AL263" i="3"/>
  <c r="AM263" i="3" s="1"/>
  <c r="AN263" i="3" s="1"/>
  <c r="BL263" i="3" s="1"/>
  <c r="AX109" i="3"/>
  <c r="AQ257" i="3"/>
  <c r="AS257" i="3" s="1"/>
  <c r="AR257" i="3" s="1"/>
  <c r="AW257" i="3" s="1"/>
  <c r="AY257" i="3" s="1"/>
  <c r="AX257" i="3" s="1"/>
  <c r="AQ251" i="3"/>
  <c r="AS251" i="3" s="1"/>
  <c r="AR251" i="3" s="1"/>
  <c r="AW251" i="3" s="1"/>
  <c r="AY251" i="3" s="1"/>
  <c r="W269" i="3"/>
  <c r="X269" i="3" s="1"/>
  <c r="Z269" i="3" s="1"/>
  <c r="AB269" i="3" s="1"/>
  <c r="AD269" i="3" s="1"/>
  <c r="AT275" i="25"/>
  <c r="AV275" i="25" s="1"/>
  <c r="V275" i="3"/>
  <c r="W275" i="3" s="1"/>
  <c r="X275" i="3" s="1"/>
  <c r="Z275" i="3" s="1"/>
  <c r="AB275" i="3" s="1"/>
  <c r="AD275" i="3" s="1"/>
  <c r="AF275" i="3" s="1"/>
  <c r="AH275" i="3" s="1"/>
  <c r="AJ275" i="3" s="1"/>
  <c r="C281" i="25"/>
  <c r="AE281" i="25" s="1"/>
  <c r="AP281" i="25" s="1"/>
  <c r="C287" i="3"/>
  <c r="C287" i="25" s="1"/>
  <c r="AE287" i="25" s="1"/>
  <c r="AT146" i="25"/>
  <c r="AV146" i="25" s="1"/>
  <c r="V146" i="3"/>
  <c r="X146" i="3" s="1"/>
  <c r="Z146" i="3" s="1"/>
  <c r="AB146" i="3" s="1"/>
  <c r="AD146" i="3" s="1"/>
  <c r="C152" i="25"/>
  <c r="AE152" i="25" s="1"/>
  <c r="AP152" i="25" s="1"/>
  <c r="C158" i="3"/>
  <c r="W81" i="25"/>
  <c r="AP81" i="25" s="1"/>
  <c r="AT81" i="25" s="1"/>
  <c r="AV81" i="25" s="1"/>
  <c r="AQ263" i="25" l="1"/>
  <c r="AR263" i="25" s="1"/>
  <c r="AQ140" i="25"/>
  <c r="AR140" i="25" s="1"/>
  <c r="AL275" i="3"/>
  <c r="AM275" i="3" s="1"/>
  <c r="AN275" i="3" s="1"/>
  <c r="BL275" i="3" s="1"/>
  <c r="AX251" i="3"/>
  <c r="AQ263" i="3"/>
  <c r="AS263" i="3" s="1"/>
  <c r="AR263" i="3" s="1"/>
  <c r="AW263" i="3" s="1"/>
  <c r="AY263" i="3" s="1"/>
  <c r="AX263" i="3" s="1"/>
  <c r="AQ140" i="3"/>
  <c r="AS140" i="3" s="1"/>
  <c r="AR140" i="3" s="1"/>
  <c r="AW140" i="3" s="1"/>
  <c r="AY140" i="3" s="1"/>
  <c r="AS263" i="25"/>
  <c r="AP287" i="25"/>
  <c r="AE269" i="3"/>
  <c r="AF269" i="3" s="1"/>
  <c r="AH269" i="3" s="1"/>
  <c r="AJ269" i="3" s="1"/>
  <c r="AT281" i="25"/>
  <c r="AV281" i="25" s="1"/>
  <c r="V281" i="3"/>
  <c r="AE146" i="3"/>
  <c r="AF146" i="3" s="1"/>
  <c r="AH146" i="3" s="1"/>
  <c r="AJ146" i="3" s="1"/>
  <c r="AK146" i="3" s="1"/>
  <c r="C158" i="25"/>
  <c r="AE158" i="25" s="1"/>
  <c r="AP158" i="25" s="1"/>
  <c r="C164" i="3"/>
  <c r="AT152" i="25"/>
  <c r="AV152" i="25" s="1"/>
  <c r="V152" i="3"/>
  <c r="X152" i="3" s="1"/>
  <c r="Z152" i="3" s="1"/>
  <c r="AB152" i="3" s="1"/>
  <c r="AD152" i="3" s="1"/>
  <c r="W46" i="25"/>
  <c r="AP46" i="25" s="1"/>
  <c r="AT46" i="25" s="1"/>
  <c r="AV46" i="25" s="1"/>
  <c r="AQ275" i="25" l="1"/>
  <c r="AR275" i="25" s="1"/>
  <c r="AL146" i="3"/>
  <c r="AM146" i="3" s="1"/>
  <c r="AN146" i="3" s="1"/>
  <c r="BL146" i="3" s="1"/>
  <c r="AL269" i="3"/>
  <c r="AM269" i="3" s="1"/>
  <c r="AN269" i="3" s="1"/>
  <c r="BL269" i="3" s="1"/>
  <c r="AX140" i="3"/>
  <c r="AQ275" i="3"/>
  <c r="AS275" i="3" s="1"/>
  <c r="AR275" i="3" s="1"/>
  <c r="AW275" i="3" s="1"/>
  <c r="AY275" i="3" s="1"/>
  <c r="AQ269" i="25"/>
  <c r="AR269" i="25" s="1"/>
  <c r="AE152" i="3"/>
  <c r="AF152" i="3" s="1"/>
  <c r="AH152" i="3" s="1"/>
  <c r="AJ152" i="3" s="1"/>
  <c r="AK152" i="3" s="1"/>
  <c r="AT287" i="25"/>
  <c r="AV287" i="25" s="1"/>
  <c r="V287" i="3"/>
  <c r="C170" i="3"/>
  <c r="C164" i="25"/>
  <c r="AE164" i="25" s="1"/>
  <c r="AP164" i="25" s="1"/>
  <c r="W281" i="3"/>
  <c r="X281" i="3" s="1"/>
  <c r="Z281" i="3" s="1"/>
  <c r="AB281" i="3" s="1"/>
  <c r="AD281" i="3" s="1"/>
  <c r="AF281" i="3" s="1"/>
  <c r="AH281" i="3" s="1"/>
  <c r="AJ281" i="3" s="1"/>
  <c r="AQ146" i="25"/>
  <c r="AR146" i="25" s="1"/>
  <c r="AT158" i="25"/>
  <c r="AV158" i="25" s="1"/>
  <c r="V158" i="3"/>
  <c r="X158" i="3" s="1"/>
  <c r="Z158" i="3" s="1"/>
  <c r="AB158" i="3" s="1"/>
  <c r="AD158" i="3" s="1"/>
  <c r="W50" i="25"/>
  <c r="AP50" i="25" s="1"/>
  <c r="AT50" i="25" s="1"/>
  <c r="AV50" i="25" s="1"/>
  <c r="W38" i="25"/>
  <c r="AP38" i="25" s="1"/>
  <c r="AT38" i="25" s="1"/>
  <c r="AV38" i="25" s="1"/>
  <c r="AL281" i="3" l="1"/>
  <c r="AM281" i="3" s="1"/>
  <c r="AN281" i="3" s="1"/>
  <c r="BL281" i="3" s="1"/>
  <c r="AL152" i="3"/>
  <c r="AM152" i="3" s="1"/>
  <c r="AN152" i="3" s="1"/>
  <c r="BL152" i="3" s="1"/>
  <c r="AX275" i="3"/>
  <c r="AQ146" i="3"/>
  <c r="AS146" i="3" s="1"/>
  <c r="AR146" i="3" s="1"/>
  <c r="AW146" i="3" s="1"/>
  <c r="AY146" i="3" s="1"/>
  <c r="AQ269" i="3"/>
  <c r="AS269" i="3" s="1"/>
  <c r="AR269" i="3" s="1"/>
  <c r="AW269" i="3" s="1"/>
  <c r="AY269" i="3" s="1"/>
  <c r="W287" i="3"/>
  <c r="X287" i="3" s="1"/>
  <c r="Z287" i="3" s="1"/>
  <c r="AB287" i="3" s="1"/>
  <c r="AD287" i="3" s="1"/>
  <c r="AE158" i="3"/>
  <c r="AF158" i="3" s="1"/>
  <c r="AH158" i="3" s="1"/>
  <c r="AJ158" i="3" s="1"/>
  <c r="AK158" i="3" s="1"/>
  <c r="AQ152" i="25"/>
  <c r="AR152" i="25" s="1"/>
  <c r="AT164" i="25"/>
  <c r="AV164" i="25" s="1"/>
  <c r="V164" i="3"/>
  <c r="X164" i="3" s="1"/>
  <c r="Z164" i="3" s="1"/>
  <c r="AB164" i="3" s="1"/>
  <c r="AD164" i="3" s="1"/>
  <c r="C176" i="3"/>
  <c r="C170" i="25"/>
  <c r="AE170" i="25" s="1"/>
  <c r="W17" i="25"/>
  <c r="AP17" i="25" s="1"/>
  <c r="AT17" i="25" s="1"/>
  <c r="AV17" i="25" s="1"/>
  <c r="AQ281" i="25" l="1"/>
  <c r="AR281" i="25" s="1"/>
  <c r="AL158" i="3"/>
  <c r="AM158" i="3" s="1"/>
  <c r="AN158" i="3" s="1"/>
  <c r="BL158" i="3" s="1"/>
  <c r="AX146" i="3"/>
  <c r="AX269" i="3"/>
  <c r="AQ152" i="3"/>
  <c r="AS152" i="3" s="1"/>
  <c r="AR152" i="3" s="1"/>
  <c r="AW152" i="3" s="1"/>
  <c r="AY152" i="3" s="1"/>
  <c r="AQ281" i="3"/>
  <c r="AS281" i="3" s="1"/>
  <c r="AR281" i="3" s="1"/>
  <c r="AW281" i="3" s="1"/>
  <c r="AY281" i="3" s="1"/>
  <c r="AX281" i="3" s="1"/>
  <c r="AP170" i="25"/>
  <c r="C182" i="3"/>
  <c r="C176" i="25"/>
  <c r="AE176" i="25" s="1"/>
  <c r="AP176" i="25" s="1"/>
  <c r="AS152" i="25"/>
  <c r="AE164" i="3"/>
  <c r="AF164" i="3" s="1"/>
  <c r="AH164" i="3" s="1"/>
  <c r="AJ164" i="3" s="1"/>
  <c r="AQ158" i="25"/>
  <c r="AR158" i="25" s="1"/>
  <c r="AE287" i="3"/>
  <c r="AF287" i="3" s="1"/>
  <c r="AH287" i="3" s="1"/>
  <c r="AJ287" i="3" s="1"/>
  <c r="W52" i="25"/>
  <c r="AP52" i="25" s="1"/>
  <c r="AT52" i="25" s="1"/>
  <c r="AV52" i="25" s="1"/>
  <c r="AL287" i="3" l="1"/>
  <c r="AM287" i="3" s="1"/>
  <c r="AQ287" i="25" s="1"/>
  <c r="AR287" i="25" s="1"/>
  <c r="AL164" i="3"/>
  <c r="AM164" i="3" s="1"/>
  <c r="AN164" i="3" s="1"/>
  <c r="BL164" i="3" s="1"/>
  <c r="C182" i="25"/>
  <c r="AE182" i="25" s="1"/>
  <c r="AP182" i="25" s="1"/>
  <c r="AT182" i="25" s="1"/>
  <c r="AV182" i="25" s="1"/>
  <c r="AX152" i="3"/>
  <c r="AQ158" i="3"/>
  <c r="AS158" i="3" s="1"/>
  <c r="AR158" i="3" s="1"/>
  <c r="AW158" i="3" s="1"/>
  <c r="AY158" i="3" s="1"/>
  <c r="H12" i="22"/>
  <c r="AT176" i="25"/>
  <c r="AV176" i="25" s="1"/>
  <c r="V176" i="3"/>
  <c r="X176" i="3" s="1"/>
  <c r="Z176" i="3" s="1"/>
  <c r="AB176" i="3" s="1"/>
  <c r="AD176" i="3" s="1"/>
  <c r="AQ164" i="25"/>
  <c r="AR164" i="25" s="1"/>
  <c r="AT170" i="25"/>
  <c r="AV170" i="25" s="1"/>
  <c r="V170" i="3"/>
  <c r="X170" i="3" s="1"/>
  <c r="Z170" i="3" s="1"/>
  <c r="AB170" i="3" s="1"/>
  <c r="AD170" i="3" s="1"/>
  <c r="W57" i="25"/>
  <c r="AP57" i="25" s="1"/>
  <c r="AT57" i="25" s="1"/>
  <c r="AV57" i="25" s="1"/>
  <c r="AN287" i="3" l="1"/>
  <c r="BL287" i="3" s="1"/>
  <c r="J12" i="22"/>
  <c r="S12" i="22" s="1"/>
  <c r="K12" i="22"/>
  <c r="T12" i="22" s="1"/>
  <c r="I12" i="22"/>
  <c r="R12" i="22" s="1"/>
  <c r="V182" i="3"/>
  <c r="X182" i="3" s="1"/>
  <c r="Z182" i="3" s="1"/>
  <c r="AB182" i="3" s="1"/>
  <c r="AD182" i="3" s="1"/>
  <c r="AE182" i="3" s="1"/>
  <c r="AF182" i="3" s="1"/>
  <c r="AH182" i="3" s="1"/>
  <c r="AJ182" i="3" s="1"/>
  <c r="AK182" i="3" s="1"/>
  <c r="AX158" i="3"/>
  <c r="AQ164" i="3"/>
  <c r="AS164" i="3" s="1"/>
  <c r="AR164" i="3" s="1"/>
  <c r="AW164" i="3" s="1"/>
  <c r="AY164" i="3" s="1"/>
  <c r="AX164" i="3" s="1"/>
  <c r="AQ287" i="3"/>
  <c r="AS287" i="3" s="1"/>
  <c r="AR287" i="3" s="1"/>
  <c r="AW287" i="3" s="1"/>
  <c r="AY287" i="3" s="1"/>
  <c r="AX287" i="3" s="1"/>
  <c r="AE176" i="3"/>
  <c r="AF176" i="3" s="1"/>
  <c r="AH176" i="3" s="1"/>
  <c r="AJ176" i="3" s="1"/>
  <c r="AE170" i="3"/>
  <c r="AF170" i="3" s="1"/>
  <c r="AH170" i="3" s="1"/>
  <c r="AJ170" i="3" s="1"/>
  <c r="AK170" i="3" s="1"/>
  <c r="Q12" i="22"/>
  <c r="W33" i="25"/>
  <c r="AP33" i="25" s="1"/>
  <c r="AT33" i="25" s="1"/>
  <c r="AV33" i="25" s="1"/>
  <c r="AL176" i="3" l="1"/>
  <c r="AM176" i="3" s="1"/>
  <c r="AN176" i="3" s="1"/>
  <c r="BL176" i="3" s="1"/>
  <c r="AL182" i="3"/>
  <c r="AM182" i="3" s="1"/>
  <c r="AN182" i="3" s="1"/>
  <c r="BL182" i="3" s="1"/>
  <c r="AL170" i="3"/>
  <c r="AM170" i="3" s="1"/>
  <c r="AN170" i="3" s="1"/>
  <c r="BL170" i="3" s="1"/>
  <c r="L12" i="22"/>
  <c r="U12" i="22" s="1"/>
  <c r="W59" i="25"/>
  <c r="AP59" i="25" s="1"/>
  <c r="AT59" i="25" s="1"/>
  <c r="AV59" i="25" s="1"/>
  <c r="AQ182" i="25" l="1"/>
  <c r="AR182" i="25" s="1"/>
  <c r="AQ170" i="25"/>
  <c r="AR170" i="25" s="1"/>
  <c r="AQ176" i="25"/>
  <c r="AR176" i="25" s="1"/>
  <c r="AQ182" i="3"/>
  <c r="AS182" i="3" s="1"/>
  <c r="AR182" i="3" s="1"/>
  <c r="AW182" i="3" s="1"/>
  <c r="AY182" i="3" s="1"/>
  <c r="AX182" i="3" s="1"/>
  <c r="AQ170" i="3"/>
  <c r="AS170" i="3" s="1"/>
  <c r="AR170" i="3" s="1"/>
  <c r="AW170" i="3" s="1"/>
  <c r="AY170" i="3" s="1"/>
  <c r="AQ176" i="3"/>
  <c r="AS176" i="3" s="1"/>
  <c r="AR176" i="3" s="1"/>
  <c r="AW176" i="3" s="1"/>
  <c r="AY176" i="3" s="1"/>
  <c r="AX176" i="3" s="1"/>
  <c r="W66" i="25"/>
  <c r="AP66" i="25" s="1"/>
  <c r="AT66" i="25" s="1"/>
  <c r="AV66" i="25" s="1"/>
  <c r="AX170" i="3" l="1"/>
  <c r="W43" i="25"/>
  <c r="AP43" i="25" s="1"/>
  <c r="AT43" i="25" s="1"/>
  <c r="AV43" i="25" s="1"/>
  <c r="W85" i="25" l="1"/>
  <c r="AP85" i="25" s="1"/>
  <c r="AT85" i="25" s="1"/>
  <c r="AV85" i="25" s="1"/>
  <c r="W95" i="25" l="1"/>
  <c r="AP95" i="25" s="1"/>
  <c r="AT95" i="25" s="1"/>
  <c r="AV95" i="25" s="1"/>
  <c r="W55" i="25" l="1"/>
  <c r="AP55" i="25" s="1"/>
  <c r="AT55" i="25" s="1"/>
  <c r="AV55" i="25" s="1"/>
  <c r="W71" i="25" l="1"/>
  <c r="AP71" i="25" s="1"/>
  <c r="AT71" i="25" s="1"/>
  <c r="AV71" i="25" s="1"/>
  <c r="W76" i="25" l="1"/>
  <c r="AP76" i="25" s="1"/>
  <c r="AT76" i="25" s="1"/>
  <c r="AV76" i="25" s="1"/>
  <c r="W74" i="25"/>
  <c r="AP74" i="25" s="1"/>
  <c r="AT74" i="25" s="1"/>
  <c r="AV74" i="25" s="1"/>
  <c r="W73" i="25" l="1"/>
  <c r="AP73" i="25" s="1"/>
  <c r="AT73" i="25" s="1"/>
  <c r="AV73" i="25" s="1"/>
  <c r="W42" i="25" l="1"/>
  <c r="AP42" i="25" s="1"/>
  <c r="AT42" i="25" s="1"/>
  <c r="AV42" i="25" s="1"/>
  <c r="W14" i="25" l="1"/>
  <c r="AP14" i="25" s="1"/>
  <c r="AT14" i="25" s="1"/>
  <c r="AV14" i="25" s="1"/>
  <c r="W60" i="25" l="1"/>
  <c r="AP60" i="25" s="1"/>
  <c r="AT60" i="25" s="1"/>
  <c r="AV60" i="25" s="1"/>
  <c r="W78" i="25" l="1"/>
  <c r="AP78" i="25" s="1"/>
  <c r="AT78" i="25" s="1"/>
  <c r="AV78" i="25" s="1"/>
  <c r="W19" i="25" l="1"/>
  <c r="AP19" i="25" s="1"/>
  <c r="AT19" i="25" s="1"/>
  <c r="AV19" i="25" s="1"/>
  <c r="W41" i="25" l="1"/>
  <c r="AP41" i="25" s="1"/>
  <c r="AT41" i="25" s="1"/>
  <c r="AV41" i="25" s="1"/>
  <c r="W79" i="25" l="1"/>
  <c r="AP79" i="25" s="1"/>
  <c r="AT79" i="25" s="1"/>
  <c r="AV79" i="25" s="1"/>
  <c r="W61" i="25" l="1"/>
  <c r="AP61" i="25" s="1"/>
  <c r="AT61" i="25" s="1"/>
  <c r="AV61" i="25" s="1"/>
  <c r="W94" i="25" l="1"/>
  <c r="AP94" i="25" s="1"/>
  <c r="AT94" i="25" s="1"/>
  <c r="AV94" i="25" s="1"/>
  <c r="W87" i="25" l="1"/>
  <c r="AP87" i="25" s="1"/>
  <c r="AT87" i="25" s="1"/>
  <c r="AV87" i="25" s="1"/>
  <c r="W101" i="25" l="1"/>
  <c r="AP101" i="25" s="1"/>
  <c r="AT101" i="25" s="1"/>
  <c r="AV101" i="25" s="1"/>
  <c r="W80" i="25" l="1"/>
  <c r="AP80" i="25" s="1"/>
  <c r="AT80" i="25" s="1"/>
  <c r="AV80" i="25" s="1"/>
  <c r="W68" i="25" l="1"/>
  <c r="AP68" i="25" s="1"/>
  <c r="AT68" i="25" s="1"/>
  <c r="AV68" i="25" s="1"/>
  <c r="W47" i="25" l="1"/>
  <c r="AP47" i="25" s="1"/>
  <c r="AT47" i="25" s="1"/>
  <c r="AV47" i="25" s="1"/>
  <c r="W20" i="25" l="1"/>
  <c r="AP20" i="25" s="1"/>
  <c r="AT20" i="25" s="1"/>
  <c r="AV20" i="25" s="1"/>
  <c r="W83" i="25" l="1"/>
  <c r="AP83" i="25" s="1"/>
  <c r="AT83" i="25" s="1"/>
  <c r="AV83" i="25" s="1"/>
  <c r="W84" i="25" l="1"/>
  <c r="AP84" i="25" s="1"/>
  <c r="AT84" i="25" s="1"/>
  <c r="AV84" i="25" s="1"/>
  <c r="W90" i="25" l="1"/>
  <c r="AP90" i="25" s="1"/>
  <c r="AT90" i="25" s="1"/>
  <c r="AV90" i="25" s="1"/>
  <c r="W91" i="25" l="1"/>
  <c r="AP91" i="25" s="1"/>
  <c r="AT91" i="25" s="1"/>
  <c r="AV91" i="25" s="1"/>
  <c r="W28" i="25" l="1"/>
  <c r="AP28" i="25" s="1"/>
  <c r="AT28" i="25" s="1"/>
  <c r="AV28" i="25" s="1"/>
  <c r="W75" i="25" l="1"/>
  <c r="AP75" i="25" s="1"/>
  <c r="AT75" i="25" s="1"/>
  <c r="AV75" i="25" s="1"/>
  <c r="W97" i="25" l="1"/>
  <c r="AP97" i="25" s="1"/>
  <c r="AT97" i="25" s="1"/>
  <c r="AV97" i="25" s="1"/>
  <c r="W27" i="25"/>
  <c r="AP27" i="25" s="1"/>
  <c r="AT27" i="25" s="1"/>
  <c r="AV27" i="25" s="1"/>
  <c r="W98" i="25" l="1"/>
  <c r="AP98" i="25" s="1"/>
  <c r="AT98" i="25" s="1"/>
  <c r="AV98" i="25" s="1"/>
  <c r="W10" i="25" l="1"/>
  <c r="AP10" i="25" s="1"/>
  <c r="AT10" i="25" s="1"/>
  <c r="AV10" i="25" s="1"/>
  <c r="W15" i="25" l="1"/>
  <c r="AP15" i="25" s="1"/>
  <c r="AT15" i="25" s="1"/>
  <c r="AV15" i="25" s="1"/>
  <c r="W102" i="25" l="1"/>
  <c r="AP102" i="25" s="1"/>
  <c r="AT102" i="25" s="1"/>
  <c r="AV102" i="25" s="1"/>
  <c r="W35" i="25" l="1"/>
  <c r="AP35" i="25" s="1"/>
  <c r="AT35" i="25" s="1"/>
  <c r="AV35" i="25" s="1"/>
  <c r="W93" i="25" l="1"/>
  <c r="AP93" i="25" s="1"/>
  <c r="AT93" i="25" s="1"/>
  <c r="AV93" i="25" s="1"/>
  <c r="W63" i="25" l="1"/>
  <c r="AP63" i="25" s="1"/>
  <c r="AT63" i="25" s="1"/>
  <c r="AV63" i="25" s="1"/>
  <c r="W72" i="25" l="1"/>
  <c r="AP72" i="25" s="1"/>
  <c r="AT72" i="25" s="1"/>
  <c r="AV72" i="25" s="1"/>
  <c r="W77" i="25" l="1"/>
  <c r="AP77" i="25" s="1"/>
  <c r="AT77" i="25" s="1"/>
  <c r="AV77" i="25" s="1"/>
  <c r="W29" i="25" l="1"/>
  <c r="AP29" i="25" s="1"/>
  <c r="AT29" i="25" s="1"/>
  <c r="AV29" i="25" s="1"/>
  <c r="W24" i="25" l="1"/>
  <c r="AP24" i="25" s="1"/>
  <c r="AT24" i="25" s="1"/>
  <c r="AV24" i="25" s="1"/>
  <c r="W53" i="25" l="1"/>
  <c r="AP53" i="25" s="1"/>
  <c r="AT53" i="25" s="1"/>
  <c r="AV53" i="25" s="1"/>
  <c r="W88" i="25" l="1"/>
  <c r="AP88" i="25" s="1"/>
  <c r="AT88" i="25" s="1"/>
  <c r="AV88" i="25" s="1"/>
  <c r="W51" i="25" l="1"/>
  <c r="AP51" i="25" s="1"/>
  <c r="AT51" i="25" s="1"/>
  <c r="AV51" i="25" s="1"/>
  <c r="W56" i="25" l="1"/>
  <c r="AP56" i="25" s="1"/>
  <c r="AT56" i="25" s="1"/>
  <c r="AV56" i="25" s="1"/>
  <c r="W70" i="25" l="1"/>
  <c r="AP70" i="25" s="1"/>
  <c r="AT70" i="25" s="1"/>
  <c r="AV70" i="25" s="1"/>
  <c r="W65" i="25" l="1"/>
  <c r="AP65" i="25" s="1"/>
  <c r="AT65" i="25" s="1"/>
  <c r="AV65" i="25" s="1"/>
  <c r="W22" i="25" l="1"/>
  <c r="AP22" i="25" s="1"/>
  <c r="AT22" i="25" s="1"/>
  <c r="AV22" i="25" s="1"/>
  <c r="W92" i="25"/>
  <c r="AP92" i="25" s="1"/>
  <c r="AT92" i="25" s="1"/>
  <c r="AV92" i="25" s="1"/>
  <c r="W26" i="25" l="1"/>
  <c r="AP26" i="25" s="1"/>
  <c r="AT26" i="25" s="1"/>
  <c r="AV26" i="25" s="1"/>
  <c r="W62" i="25" l="1"/>
  <c r="AP62" i="25" s="1"/>
  <c r="AT62" i="25" s="1"/>
  <c r="AV62" i="25" s="1"/>
  <c r="V4" i="3" l="1"/>
  <c r="X4" i="3" l="1"/>
  <c r="V5" i="3"/>
  <c r="Z4" i="3" l="1"/>
  <c r="X5" i="3"/>
  <c r="V6" i="3"/>
  <c r="AB4" i="3" l="1"/>
  <c r="Z5" i="3"/>
  <c r="X6" i="3"/>
  <c r="V7" i="3"/>
  <c r="AD4" i="3" l="1"/>
  <c r="AE4" i="3" s="1"/>
  <c r="AB5" i="3"/>
  <c r="Z6" i="3"/>
  <c r="X7" i="3"/>
  <c r="V8" i="3"/>
  <c r="AF4" i="3" l="1"/>
  <c r="AD5" i="3"/>
  <c r="AE5" i="3" s="1"/>
  <c r="AB6" i="3"/>
  <c r="Z7" i="3"/>
  <c r="X8" i="3"/>
  <c r="V9" i="3"/>
  <c r="AH4" i="3" l="1"/>
  <c r="AF5" i="3"/>
  <c r="AD6" i="3"/>
  <c r="AE6" i="3" s="1"/>
  <c r="AB7" i="3"/>
  <c r="Z8" i="3"/>
  <c r="X9" i="3"/>
  <c r="V10" i="3"/>
  <c r="AJ4" i="3" l="1"/>
  <c r="AK4" i="3" s="1"/>
  <c r="AH5" i="3"/>
  <c r="AS5" i="25"/>
  <c r="AF6" i="3"/>
  <c r="AD7" i="3"/>
  <c r="AE7" i="3" s="1"/>
  <c r="AB8" i="3"/>
  <c r="Z9" i="3"/>
  <c r="X10" i="3"/>
  <c r="V11" i="3"/>
  <c r="AL4" i="3" l="1"/>
  <c r="AM4" i="3" s="1"/>
  <c r="AN4" i="3" s="1"/>
  <c r="BL4" i="3" s="1"/>
  <c r="AJ5" i="3"/>
  <c r="AH6" i="3"/>
  <c r="AF7" i="3"/>
  <c r="AG7" i="3" s="1"/>
  <c r="AD8" i="3"/>
  <c r="AE8" i="3" s="1"/>
  <c r="AB9" i="3"/>
  <c r="Z10" i="3"/>
  <c r="X11" i="3"/>
  <c r="V12" i="3"/>
  <c r="AQ4" i="3" l="1"/>
  <c r="AS4" i="3" s="1"/>
  <c r="AR4" i="3" s="1"/>
  <c r="AW4" i="3" s="1"/>
  <c r="AY4" i="3" s="1"/>
  <c r="AS4" i="25" s="1"/>
  <c r="AQ4" i="25"/>
  <c r="AR4" i="25" s="1"/>
  <c r="AL5" i="3"/>
  <c r="AM5" i="3" s="1"/>
  <c r="AN5" i="3" s="1"/>
  <c r="AJ6" i="3"/>
  <c r="AK6" i="3" s="1"/>
  <c r="AH7" i="3"/>
  <c r="AI7" i="3" s="1"/>
  <c r="AF8" i="3"/>
  <c r="AG8" i="3" s="1"/>
  <c r="AD9" i="3"/>
  <c r="AB10" i="3"/>
  <c r="Z11" i="3"/>
  <c r="X12" i="3"/>
  <c r="V13" i="3"/>
  <c r="W13" i="3" s="1"/>
  <c r="AX4" i="3" l="1"/>
  <c r="AQ5" i="3"/>
  <c r="AS5" i="3" s="1"/>
  <c r="AR5" i="3" s="1"/>
  <c r="AW5" i="3" s="1"/>
  <c r="AY5" i="3" s="1"/>
  <c r="AX5" i="3" s="1"/>
  <c r="BL5" i="3"/>
  <c r="AQ5" i="25"/>
  <c r="AR5" i="25" s="1"/>
  <c r="AL6" i="3"/>
  <c r="AM6" i="3" s="1"/>
  <c r="AN6" i="3" s="1"/>
  <c r="AS6" i="25"/>
  <c r="AJ7" i="3"/>
  <c r="AH8" i="3"/>
  <c r="AI8" i="3" s="1"/>
  <c r="AF9" i="3"/>
  <c r="AD10" i="3"/>
  <c r="AE10" i="3" s="1"/>
  <c r="AB11" i="3"/>
  <c r="Z12" i="3"/>
  <c r="X13" i="3"/>
  <c r="V14" i="3"/>
  <c r="AQ6" i="3" l="1"/>
  <c r="AS6" i="3" s="1"/>
  <c r="AR6" i="3" s="1"/>
  <c r="AW6" i="3" s="1"/>
  <c r="AY6" i="3" s="1"/>
  <c r="AX6" i="3" s="1"/>
  <c r="BL6" i="3"/>
  <c r="AQ6" i="25"/>
  <c r="AR6" i="25" s="1"/>
  <c r="AL7" i="3"/>
  <c r="AM7" i="3" s="1"/>
  <c r="AN7" i="3" s="1"/>
  <c r="AJ8" i="3"/>
  <c r="AK8" i="3" s="1"/>
  <c r="AH9" i="3"/>
  <c r="AF10" i="3"/>
  <c r="AD11" i="3"/>
  <c r="AE11" i="3" s="1"/>
  <c r="AB12" i="3"/>
  <c r="Z13" i="3"/>
  <c r="X14" i="3"/>
  <c r="V15" i="3"/>
  <c r="AQ7" i="3" l="1"/>
  <c r="AS7" i="3" s="1"/>
  <c r="AR7" i="3" s="1"/>
  <c r="AW7" i="3" s="1"/>
  <c r="AY7" i="3" s="1"/>
  <c r="AS7" i="25" s="1"/>
  <c r="BL7" i="3"/>
  <c r="AQ7" i="25"/>
  <c r="AR7" i="25" s="1"/>
  <c r="AL8" i="3"/>
  <c r="AM8" i="3" s="1"/>
  <c r="AN8" i="3" s="1"/>
  <c r="AJ9" i="3"/>
  <c r="AH10" i="3"/>
  <c r="AF11" i="3"/>
  <c r="AD12" i="3"/>
  <c r="AE12" i="3" s="1"/>
  <c r="AB13" i="3"/>
  <c r="Z14" i="3"/>
  <c r="X15" i="3"/>
  <c r="V16" i="3"/>
  <c r="AX7" i="3" l="1"/>
  <c r="AQ8" i="3"/>
  <c r="AS8" i="3" s="1"/>
  <c r="AR8" i="3" s="1"/>
  <c r="AW8" i="3" s="1"/>
  <c r="AY8" i="3" s="1"/>
  <c r="AS8" i="25" s="1"/>
  <c r="BL8" i="3"/>
  <c r="AQ8" i="25"/>
  <c r="AR8" i="25" s="1"/>
  <c r="AL9" i="3"/>
  <c r="AM9" i="3" s="1"/>
  <c r="AN9" i="3" s="1"/>
  <c r="AJ10" i="3"/>
  <c r="AK10" i="3" s="1"/>
  <c r="AH11" i="3"/>
  <c r="AS11" i="25"/>
  <c r="AF12" i="3"/>
  <c r="AD13" i="3"/>
  <c r="AE13" i="3" s="1"/>
  <c r="AB14" i="3"/>
  <c r="Z15" i="3"/>
  <c r="X16" i="3"/>
  <c r="V17" i="3"/>
  <c r="AX8" i="3" l="1"/>
  <c r="AQ9" i="25"/>
  <c r="AR9" i="25" s="1"/>
  <c r="AQ9" i="3"/>
  <c r="AS9" i="3" s="1"/>
  <c r="AR9" i="3" s="1"/>
  <c r="AW9" i="3" s="1"/>
  <c r="AY9" i="3" s="1"/>
  <c r="AS9" i="25" s="1"/>
  <c r="BL9" i="3"/>
  <c r="AL10" i="3"/>
  <c r="AM10" i="3" s="1"/>
  <c r="AN10" i="3" s="1"/>
  <c r="BL10" i="3" s="1"/>
  <c r="AJ11" i="3"/>
  <c r="AH12" i="3"/>
  <c r="AF13" i="3"/>
  <c r="AG13" i="3" s="1"/>
  <c r="AD14" i="3"/>
  <c r="AE14" i="3" s="1"/>
  <c r="AB15" i="3"/>
  <c r="Z16" i="3"/>
  <c r="X17" i="3"/>
  <c r="V18" i="3"/>
  <c r="AX9" i="3" l="1"/>
  <c r="AQ10" i="25"/>
  <c r="AR10" i="25" s="1"/>
  <c r="AL11" i="3"/>
  <c r="AM11" i="3" s="1"/>
  <c r="AN11" i="3" s="1"/>
  <c r="AJ12" i="3"/>
  <c r="AH13" i="3"/>
  <c r="AI13" i="3" s="1"/>
  <c r="AF14" i="3"/>
  <c r="AG14" i="3" s="1"/>
  <c r="AD15" i="3"/>
  <c r="AB16" i="3"/>
  <c r="Z17" i="3"/>
  <c r="X18" i="3"/>
  <c r="V19" i="3"/>
  <c r="W19" i="3" s="1"/>
  <c r="AQ11" i="3" l="1"/>
  <c r="AS11" i="3" s="1"/>
  <c r="AR11" i="3" s="1"/>
  <c r="AW11" i="3" s="1"/>
  <c r="AY11" i="3" s="1"/>
  <c r="AX11" i="3" s="1"/>
  <c r="BL11" i="3"/>
  <c r="AQ11" i="25"/>
  <c r="AR11" i="25" s="1"/>
  <c r="AL12" i="3"/>
  <c r="AM12" i="3" s="1"/>
  <c r="AN12" i="3" s="1"/>
  <c r="AJ13" i="3"/>
  <c r="AH14" i="3"/>
  <c r="AI14" i="3" s="1"/>
  <c r="AF15" i="3"/>
  <c r="AD16" i="3"/>
  <c r="AE16" i="3" s="1"/>
  <c r="AB17" i="3"/>
  <c r="Z18" i="3"/>
  <c r="X19" i="3"/>
  <c r="V20" i="3"/>
  <c r="AQ12" i="3" l="1"/>
  <c r="AS12" i="3" s="1"/>
  <c r="AR12" i="3" s="1"/>
  <c r="AW12" i="3" s="1"/>
  <c r="AY12" i="3" s="1"/>
  <c r="AS12" i="25" s="1"/>
  <c r="BL12" i="3"/>
  <c r="AQ12" i="25"/>
  <c r="AR12" i="25" s="1"/>
  <c r="AL13" i="3"/>
  <c r="AM13" i="3" s="1"/>
  <c r="AN13" i="3" s="1"/>
  <c r="BL13" i="3" s="1"/>
  <c r="AJ14" i="3"/>
  <c r="AK14" i="3" s="1"/>
  <c r="AH15" i="3"/>
  <c r="AS15" i="25"/>
  <c r="AF16" i="3"/>
  <c r="AD17" i="3"/>
  <c r="AE17" i="3" s="1"/>
  <c r="AB18" i="3"/>
  <c r="Z19" i="3"/>
  <c r="X20" i="3"/>
  <c r="V21" i="3"/>
  <c r="AX12" i="3" l="1"/>
  <c r="AQ13" i="25"/>
  <c r="AR13" i="25" s="1"/>
  <c r="AL14" i="3"/>
  <c r="AM14" i="3" s="1"/>
  <c r="AN14" i="3" s="1"/>
  <c r="BL14" i="3" s="1"/>
  <c r="AJ15" i="3"/>
  <c r="AH16" i="3"/>
  <c r="AF17" i="3"/>
  <c r="AD18" i="3"/>
  <c r="AE18" i="3" s="1"/>
  <c r="AB19" i="3"/>
  <c r="Z20" i="3"/>
  <c r="X21" i="3"/>
  <c r="V22" i="3"/>
  <c r="AQ14" i="25" l="1"/>
  <c r="AR14" i="25" s="1"/>
  <c r="AL15" i="3"/>
  <c r="AM15" i="3" s="1"/>
  <c r="AN15" i="3" s="1"/>
  <c r="AJ16" i="3"/>
  <c r="AK16" i="3" s="1"/>
  <c r="AH17" i="3"/>
  <c r="AF18" i="3"/>
  <c r="AD19" i="3"/>
  <c r="AE19" i="3" s="1"/>
  <c r="AB20" i="3"/>
  <c r="Z21" i="3"/>
  <c r="X22" i="3"/>
  <c r="V23" i="3"/>
  <c r="AQ15" i="3" l="1"/>
  <c r="AS15" i="3" s="1"/>
  <c r="AR15" i="3" s="1"/>
  <c r="AW15" i="3" s="1"/>
  <c r="AY15" i="3" s="1"/>
  <c r="AX15" i="3" s="1"/>
  <c r="BL15" i="3"/>
  <c r="AQ15" i="25"/>
  <c r="AR15" i="25" s="1"/>
  <c r="AL16" i="3"/>
  <c r="AM16" i="3" s="1"/>
  <c r="AN16" i="3" s="1"/>
  <c r="AJ17" i="3"/>
  <c r="AH18" i="3"/>
  <c r="AF19" i="3"/>
  <c r="AG19" i="3" s="1"/>
  <c r="AD20" i="3"/>
  <c r="AE20" i="3" s="1"/>
  <c r="AB21" i="3"/>
  <c r="Z22" i="3"/>
  <c r="X23" i="3"/>
  <c r="V24" i="3"/>
  <c r="AQ16" i="3" l="1"/>
  <c r="AS16" i="3" s="1"/>
  <c r="AR16" i="3" s="1"/>
  <c r="AW16" i="3" s="1"/>
  <c r="AY16" i="3" s="1"/>
  <c r="AS16" i="25" s="1"/>
  <c r="BL16" i="3"/>
  <c r="AQ16" i="25"/>
  <c r="AR16" i="25" s="1"/>
  <c r="AL17" i="3"/>
  <c r="AM17" i="3" s="1"/>
  <c r="AN17" i="3" s="1"/>
  <c r="BL17" i="3" s="1"/>
  <c r="AJ18" i="3"/>
  <c r="AH19" i="3"/>
  <c r="AI19" i="3" s="1"/>
  <c r="AF20" i="3"/>
  <c r="AG20" i="3" s="1"/>
  <c r="AD21" i="3"/>
  <c r="AB22" i="3"/>
  <c r="Z23" i="3"/>
  <c r="X24" i="3"/>
  <c r="V25" i="3"/>
  <c r="W25" i="3" s="1"/>
  <c r="AX16" i="3" l="1"/>
  <c r="AQ17" i="25"/>
  <c r="AR17" i="25" s="1"/>
  <c r="AL18" i="3"/>
  <c r="AM18" i="3" s="1"/>
  <c r="AN18" i="3" s="1"/>
  <c r="AJ19" i="3"/>
  <c r="AH20" i="3"/>
  <c r="AI20" i="3" s="1"/>
  <c r="AF21" i="3"/>
  <c r="AD22" i="3"/>
  <c r="AE22" i="3" s="1"/>
  <c r="AB23" i="3"/>
  <c r="Z24" i="3"/>
  <c r="X25" i="3"/>
  <c r="V26" i="3"/>
  <c r="AQ18" i="3" l="1"/>
  <c r="AS18" i="3" s="1"/>
  <c r="AR18" i="3" s="1"/>
  <c r="AW18" i="3" s="1"/>
  <c r="AY18" i="3" s="1"/>
  <c r="AS18" i="25" s="1"/>
  <c r="BL18" i="3"/>
  <c r="AQ18" i="25"/>
  <c r="AR18" i="25" s="1"/>
  <c r="AL19" i="3"/>
  <c r="AM19" i="3" s="1"/>
  <c r="AN19" i="3" s="1"/>
  <c r="BL19" i="3" s="1"/>
  <c r="AJ20" i="3"/>
  <c r="AK20" i="3" s="1"/>
  <c r="AH21" i="3"/>
  <c r="AF22" i="3"/>
  <c r="AD23" i="3"/>
  <c r="AE23" i="3" s="1"/>
  <c r="AB24" i="3"/>
  <c r="Z25" i="3"/>
  <c r="X26" i="3"/>
  <c r="V27" i="3"/>
  <c r="AQ19" i="25" l="1"/>
  <c r="AR19" i="25" s="1"/>
  <c r="AX18" i="3"/>
  <c r="AL20" i="3"/>
  <c r="AM20" i="3" s="1"/>
  <c r="AN20" i="3" s="1"/>
  <c r="BL20" i="3" s="1"/>
  <c r="AJ21" i="3"/>
  <c r="AH22" i="3"/>
  <c r="AF23" i="3"/>
  <c r="AD24" i="3"/>
  <c r="AE24" i="3" s="1"/>
  <c r="AB25" i="3"/>
  <c r="Z26" i="3"/>
  <c r="X27" i="3"/>
  <c r="V28" i="3"/>
  <c r="AQ20" i="25" l="1"/>
  <c r="AR20" i="25" s="1"/>
  <c r="AL21" i="3"/>
  <c r="AM21" i="3" s="1"/>
  <c r="AN21" i="3" s="1"/>
  <c r="BL21" i="3" s="1"/>
  <c r="AJ22" i="3"/>
  <c r="AK22" i="3" s="1"/>
  <c r="AH23" i="3"/>
  <c r="AF24" i="3"/>
  <c r="AD25" i="3"/>
  <c r="AB26" i="3"/>
  <c r="Z27" i="3"/>
  <c r="X28" i="3"/>
  <c r="V29" i="3"/>
  <c r="AQ21" i="25" l="1"/>
  <c r="AR21" i="25" s="1"/>
  <c r="AL22" i="3"/>
  <c r="AM22" i="3" s="1"/>
  <c r="AN22" i="3" s="1"/>
  <c r="BL22" i="3" s="1"/>
  <c r="AJ23" i="3"/>
  <c r="AH24" i="3"/>
  <c r="AF25" i="3"/>
  <c r="AD26" i="3"/>
  <c r="AE26" i="3" s="1"/>
  <c r="AB27" i="3"/>
  <c r="Z28" i="3"/>
  <c r="X29" i="3"/>
  <c r="V30" i="3"/>
  <c r="AQ22" i="25" l="1"/>
  <c r="AR22" i="25" s="1"/>
  <c r="AL23" i="3"/>
  <c r="AM23" i="3" s="1"/>
  <c r="AN23" i="3" s="1"/>
  <c r="BL23" i="3" s="1"/>
  <c r="AJ24" i="3"/>
  <c r="AH25" i="3"/>
  <c r="AF26" i="3"/>
  <c r="AG26" i="3" s="1"/>
  <c r="AD27" i="3"/>
  <c r="AB28" i="3"/>
  <c r="Z29" i="3"/>
  <c r="X30" i="3"/>
  <c r="V31" i="3"/>
  <c r="W31" i="3" s="1"/>
  <c r="AQ23" i="25" l="1"/>
  <c r="AR23" i="25" s="1"/>
  <c r="AL24" i="3"/>
  <c r="AM24" i="3" s="1"/>
  <c r="AN24" i="3" s="1"/>
  <c r="BL24" i="3" s="1"/>
  <c r="AJ25" i="3"/>
  <c r="AH26" i="3"/>
  <c r="AI26" i="3" s="1"/>
  <c r="AF27" i="3"/>
  <c r="AD28" i="3"/>
  <c r="AE28" i="3" s="1"/>
  <c r="AB29" i="3"/>
  <c r="Z30" i="3"/>
  <c r="X31" i="3"/>
  <c r="V32" i="3"/>
  <c r="AQ24" i="25" l="1"/>
  <c r="AR24" i="25" s="1"/>
  <c r="AL25" i="3"/>
  <c r="AM25" i="3" s="1"/>
  <c r="AN25" i="3" s="1"/>
  <c r="BL25" i="3" s="1"/>
  <c r="AJ26" i="3"/>
  <c r="AK26" i="3" s="1"/>
  <c r="AH27" i="3"/>
  <c r="AF28" i="3"/>
  <c r="AD29" i="3"/>
  <c r="AE29" i="3" s="1"/>
  <c r="AB30" i="3"/>
  <c r="Z31" i="3"/>
  <c r="AB31" i="3" s="1"/>
  <c r="X32" i="3"/>
  <c r="V33" i="3"/>
  <c r="AQ25" i="25" l="1"/>
  <c r="AL26" i="3"/>
  <c r="AM26" i="3" s="1"/>
  <c r="AN26" i="3" s="1"/>
  <c r="BL26" i="3" s="1"/>
  <c r="AJ27" i="3"/>
  <c r="AH28" i="3"/>
  <c r="AF29" i="3"/>
  <c r="AD30" i="3"/>
  <c r="AE30" i="3" s="1"/>
  <c r="AD31" i="3"/>
  <c r="Z32" i="3"/>
  <c r="X33" i="3"/>
  <c r="V34" i="3"/>
  <c r="AQ26" i="25" l="1"/>
  <c r="AL27" i="3"/>
  <c r="AM27" i="3" s="1"/>
  <c r="AN27" i="3" s="1"/>
  <c r="BL27" i="3" s="1"/>
  <c r="AJ28" i="3"/>
  <c r="AK28" i="3" s="1"/>
  <c r="AH29" i="3"/>
  <c r="AF30" i="3"/>
  <c r="AF31" i="3"/>
  <c r="AB32" i="3"/>
  <c r="Z33" i="3"/>
  <c r="X34" i="3"/>
  <c r="V35" i="3"/>
  <c r="AQ27" i="25" l="1"/>
  <c r="AL28" i="3"/>
  <c r="AM28" i="3" s="1"/>
  <c r="AN28" i="3" s="1"/>
  <c r="BL28" i="3" s="1"/>
  <c r="AJ29" i="3"/>
  <c r="AH31" i="3"/>
  <c r="AH30" i="3"/>
  <c r="AD32" i="3"/>
  <c r="AE32" i="3" s="1"/>
  <c r="AB33" i="3"/>
  <c r="Z34" i="3"/>
  <c r="X35" i="3"/>
  <c r="V36" i="3"/>
  <c r="AQ28" i="25" l="1"/>
  <c r="AL29" i="3"/>
  <c r="AM29" i="3" s="1"/>
  <c r="AN29" i="3" s="1"/>
  <c r="BL29" i="3" s="1"/>
  <c r="AJ30" i="3"/>
  <c r="AJ31" i="3"/>
  <c r="AF32" i="3"/>
  <c r="AG32" i="3" s="1"/>
  <c r="AD33" i="3"/>
  <c r="AB34" i="3"/>
  <c r="Z35" i="3"/>
  <c r="X36" i="3"/>
  <c r="V37" i="3"/>
  <c r="W37" i="3" s="1"/>
  <c r="AQ29" i="25" l="1"/>
  <c r="AL30" i="3"/>
  <c r="AM30" i="3" s="1"/>
  <c r="AN30" i="3" s="1"/>
  <c r="BL30" i="3" s="1"/>
  <c r="AL31" i="3"/>
  <c r="AM31" i="3" s="1"/>
  <c r="AN31" i="3" s="1"/>
  <c r="BL31" i="3" s="1"/>
  <c r="AH32" i="3"/>
  <c r="AI32" i="3" s="1"/>
  <c r="AF33" i="3"/>
  <c r="AD34" i="3"/>
  <c r="AE34" i="3" s="1"/>
  <c r="AB35" i="3"/>
  <c r="Z36" i="3"/>
  <c r="X37" i="3"/>
  <c r="V38" i="3"/>
  <c r="AQ30" i="25" l="1"/>
  <c r="AQ31" i="25"/>
  <c r="AJ32" i="3"/>
  <c r="AK32" i="3" s="1"/>
  <c r="AH33" i="3"/>
  <c r="AF34" i="3"/>
  <c r="AD35" i="3"/>
  <c r="AE35" i="3" s="1"/>
  <c r="AB36" i="3"/>
  <c r="Z37" i="3"/>
  <c r="AB37" i="3" s="1"/>
  <c r="X38" i="3"/>
  <c r="V39" i="3"/>
  <c r="AL32" i="3" l="1"/>
  <c r="AM32" i="3" s="1"/>
  <c r="AN32" i="3" s="1"/>
  <c r="BL32" i="3" s="1"/>
  <c r="AJ33" i="3"/>
  <c r="AH34" i="3"/>
  <c r="AF35" i="3"/>
  <c r="AD36" i="3"/>
  <c r="AE36" i="3" s="1"/>
  <c r="AD37" i="3"/>
  <c r="Z38" i="3"/>
  <c r="X39" i="3"/>
  <c r="V40" i="3"/>
  <c r="AQ32" i="25" l="1"/>
  <c r="AL33" i="3"/>
  <c r="AM33" i="3" s="1"/>
  <c r="AN33" i="3" s="1"/>
  <c r="BL33" i="3" s="1"/>
  <c r="AJ34" i="3"/>
  <c r="AK34" i="3" s="1"/>
  <c r="AH35" i="3"/>
  <c r="AF36" i="3"/>
  <c r="AF37" i="3"/>
  <c r="AB38" i="3"/>
  <c r="Z39" i="3"/>
  <c r="X40" i="3"/>
  <c r="V41" i="3"/>
  <c r="AQ33" i="25" l="1"/>
  <c r="AL34" i="3"/>
  <c r="AM34" i="3" s="1"/>
  <c r="AN34" i="3" s="1"/>
  <c r="BL34" i="3" s="1"/>
  <c r="AJ35" i="3"/>
  <c r="AH37" i="3"/>
  <c r="AH36" i="3"/>
  <c r="AD38" i="3"/>
  <c r="AE38" i="3" s="1"/>
  <c r="AB39" i="3"/>
  <c r="Z40" i="3"/>
  <c r="X41" i="3"/>
  <c r="V42" i="3"/>
  <c r="AQ34" i="25" l="1"/>
  <c r="AL35" i="3"/>
  <c r="AM35" i="3" s="1"/>
  <c r="AN35" i="3" s="1"/>
  <c r="BL35" i="3" s="1"/>
  <c r="AJ37" i="3"/>
  <c r="AJ36" i="3"/>
  <c r="AF38" i="3"/>
  <c r="AG38" i="3" s="1"/>
  <c r="AD39" i="3"/>
  <c r="AB40" i="3"/>
  <c r="Z41" i="3"/>
  <c r="X42" i="3"/>
  <c r="V43" i="3"/>
  <c r="W43" i="3" s="1"/>
  <c r="AQ35" i="25" l="1"/>
  <c r="AL37" i="3"/>
  <c r="AM37" i="3" s="1"/>
  <c r="AN37" i="3" s="1"/>
  <c r="BL37" i="3" s="1"/>
  <c r="AL36" i="3"/>
  <c r="AM36" i="3" s="1"/>
  <c r="AN36" i="3" s="1"/>
  <c r="BL36" i="3" s="1"/>
  <c r="AH38" i="3"/>
  <c r="AI38" i="3" s="1"/>
  <c r="AF39" i="3"/>
  <c r="AD40" i="3"/>
  <c r="AE40" i="3" s="1"/>
  <c r="AB41" i="3"/>
  <c r="Z42" i="3"/>
  <c r="X43" i="3"/>
  <c r="V44" i="3"/>
  <c r="AQ37" i="25" l="1"/>
  <c r="AQ36" i="25"/>
  <c r="AJ38" i="3"/>
  <c r="AH39" i="3"/>
  <c r="AF40" i="3"/>
  <c r="AD41" i="3"/>
  <c r="AE41" i="3" s="1"/>
  <c r="AB42" i="3"/>
  <c r="Z43" i="3"/>
  <c r="AB43" i="3" s="1"/>
  <c r="X44" i="3"/>
  <c r="V45" i="3"/>
  <c r="AL38" i="3" l="1"/>
  <c r="AM38" i="3" s="1"/>
  <c r="AN38" i="3" s="1"/>
  <c r="BL38" i="3" s="1"/>
  <c r="AJ39" i="3"/>
  <c r="AH40" i="3"/>
  <c r="AF41" i="3"/>
  <c r="AD43" i="3"/>
  <c r="AD42" i="3"/>
  <c r="AE42" i="3" s="1"/>
  <c r="Z44" i="3"/>
  <c r="X45" i="3"/>
  <c r="V46" i="3"/>
  <c r="AQ38" i="25" l="1"/>
  <c r="AL39" i="3"/>
  <c r="AM39" i="3" s="1"/>
  <c r="AN39" i="3" s="1"/>
  <c r="BL39" i="3" s="1"/>
  <c r="AJ40" i="3"/>
  <c r="AK40" i="3" s="1"/>
  <c r="AH41" i="3"/>
  <c r="AF43" i="3"/>
  <c r="AF42" i="3"/>
  <c r="AB44" i="3"/>
  <c r="Z45" i="3"/>
  <c r="X46" i="3"/>
  <c r="V47" i="3"/>
  <c r="AQ39" i="25" l="1"/>
  <c r="AL40" i="3"/>
  <c r="AM40" i="3" s="1"/>
  <c r="AN40" i="3" s="1"/>
  <c r="BL40" i="3" s="1"/>
  <c r="AJ41" i="3"/>
  <c r="AH42" i="3"/>
  <c r="AH43" i="3"/>
  <c r="AD44" i="3"/>
  <c r="AE44" i="3" s="1"/>
  <c r="AB45" i="3"/>
  <c r="Z46" i="3"/>
  <c r="X47" i="3"/>
  <c r="V48" i="3"/>
  <c r="AQ40" i="25" l="1"/>
  <c r="AL41" i="3"/>
  <c r="AM41" i="3" s="1"/>
  <c r="AN41" i="3" s="1"/>
  <c r="BL41" i="3" s="1"/>
  <c r="AJ42" i="3"/>
  <c r="AJ43" i="3"/>
  <c r="AF44" i="3"/>
  <c r="AG44" i="3" s="1"/>
  <c r="AD45" i="3"/>
  <c r="AB46" i="3"/>
  <c r="Z47" i="3"/>
  <c r="X48" i="3"/>
  <c r="V49" i="3"/>
  <c r="W49" i="3" s="1"/>
  <c r="AQ41" i="25" l="1"/>
  <c r="AL43" i="3"/>
  <c r="AM43" i="3" s="1"/>
  <c r="AN43" i="3" s="1"/>
  <c r="BL43" i="3" s="1"/>
  <c r="AL42" i="3"/>
  <c r="AM42" i="3" s="1"/>
  <c r="AN42" i="3" s="1"/>
  <c r="BL42" i="3" s="1"/>
  <c r="AQ43" i="25"/>
  <c r="AH44" i="3"/>
  <c r="AI44" i="3" s="1"/>
  <c r="AF45" i="3"/>
  <c r="AD46" i="3"/>
  <c r="AE46" i="3" s="1"/>
  <c r="AB47" i="3"/>
  <c r="Z48" i="3"/>
  <c r="X49" i="3"/>
  <c r="V50" i="3"/>
  <c r="AQ42" i="25" l="1"/>
  <c r="AJ44" i="3"/>
  <c r="AK44" i="3" s="1"/>
  <c r="AH45" i="3"/>
  <c r="AF46" i="3"/>
  <c r="AD47" i="3"/>
  <c r="AE47" i="3" s="1"/>
  <c r="AB48" i="3"/>
  <c r="Z49" i="3"/>
  <c r="AB49" i="3" s="1"/>
  <c r="X50" i="3"/>
  <c r="V51" i="3"/>
  <c r="AL44" i="3" l="1"/>
  <c r="AM44" i="3" s="1"/>
  <c r="AN44" i="3" s="1"/>
  <c r="BL44" i="3" s="1"/>
  <c r="AJ45" i="3"/>
  <c r="AH46" i="3"/>
  <c r="AF47" i="3"/>
  <c r="AD48" i="3"/>
  <c r="AE48" i="3" s="1"/>
  <c r="AD49" i="3"/>
  <c r="Z50" i="3"/>
  <c r="X51" i="3"/>
  <c r="V52" i="3"/>
  <c r="AQ44" i="25" l="1"/>
  <c r="AL45" i="3"/>
  <c r="AM45" i="3" s="1"/>
  <c r="AN45" i="3" s="1"/>
  <c r="BL45" i="3" s="1"/>
  <c r="AJ46" i="3"/>
  <c r="AK46" i="3" s="1"/>
  <c r="AH47" i="3"/>
  <c r="AF48" i="3"/>
  <c r="AF49" i="3"/>
  <c r="AB50" i="3"/>
  <c r="Z51" i="3"/>
  <c r="X52" i="3"/>
  <c r="V53" i="3"/>
  <c r="AQ45" i="25" l="1"/>
  <c r="AL46" i="3"/>
  <c r="AM46" i="3" s="1"/>
  <c r="AN46" i="3" s="1"/>
  <c r="BL46" i="3" s="1"/>
  <c r="AJ47" i="3"/>
  <c r="AH48" i="3"/>
  <c r="AH49" i="3"/>
  <c r="AD50" i="3"/>
  <c r="AE50" i="3" s="1"/>
  <c r="AB51" i="3"/>
  <c r="Z52" i="3"/>
  <c r="X53" i="3"/>
  <c r="V54" i="3"/>
  <c r="AQ46" i="25" l="1"/>
  <c r="AL47" i="3"/>
  <c r="AM47" i="3" s="1"/>
  <c r="AN47" i="3" s="1"/>
  <c r="BL47" i="3" s="1"/>
  <c r="AJ49" i="3"/>
  <c r="AJ48" i="3"/>
  <c r="AF50" i="3"/>
  <c r="AG50" i="3" s="1"/>
  <c r="AD51" i="3"/>
  <c r="AB52" i="3"/>
  <c r="Z53" i="3"/>
  <c r="X54" i="3"/>
  <c r="V55" i="3"/>
  <c r="W55" i="3" s="1"/>
  <c r="AQ47" i="25" l="1"/>
  <c r="AL48" i="3"/>
  <c r="AM48" i="3" s="1"/>
  <c r="AN48" i="3" s="1"/>
  <c r="BL48" i="3" s="1"/>
  <c r="AL49" i="3"/>
  <c r="AM49" i="3" s="1"/>
  <c r="AN49" i="3" s="1"/>
  <c r="BL49" i="3" s="1"/>
  <c r="AH50" i="3"/>
  <c r="AI50" i="3" s="1"/>
  <c r="AF51" i="3"/>
  <c r="AD52" i="3"/>
  <c r="AE52" i="3" s="1"/>
  <c r="AB53" i="3"/>
  <c r="Z54" i="3"/>
  <c r="X55" i="3"/>
  <c r="V56" i="3"/>
  <c r="AQ48" i="25" l="1"/>
  <c r="AQ49" i="25"/>
  <c r="AJ50" i="3"/>
  <c r="AK50" i="3" s="1"/>
  <c r="AH51" i="3"/>
  <c r="AF52" i="3"/>
  <c r="AD53" i="3"/>
  <c r="AE53" i="3" s="1"/>
  <c r="AB54" i="3"/>
  <c r="Z55" i="3"/>
  <c r="AB55" i="3" s="1"/>
  <c r="X56" i="3"/>
  <c r="V57" i="3"/>
  <c r="AL50" i="3" l="1"/>
  <c r="AM50" i="3" s="1"/>
  <c r="AN50" i="3" s="1"/>
  <c r="BL50" i="3" s="1"/>
  <c r="AJ51" i="3"/>
  <c r="AH52" i="3"/>
  <c r="AF53" i="3"/>
  <c r="AD55" i="3"/>
  <c r="AD54" i="3"/>
  <c r="AE54" i="3" s="1"/>
  <c r="Z56" i="3"/>
  <c r="X57" i="3"/>
  <c r="V58" i="3"/>
  <c r="AQ50" i="25" l="1"/>
  <c r="AL51" i="3"/>
  <c r="AM51" i="3" s="1"/>
  <c r="AN51" i="3" s="1"/>
  <c r="BL51" i="3" s="1"/>
  <c r="AJ52" i="3"/>
  <c r="AK52" i="3" s="1"/>
  <c r="AH53" i="3"/>
  <c r="AF54" i="3"/>
  <c r="AF55" i="3"/>
  <c r="AB56" i="3"/>
  <c r="Z57" i="3"/>
  <c r="AB57" i="3" s="1"/>
  <c r="X58" i="3"/>
  <c r="V59" i="3"/>
  <c r="AQ51" i="25" l="1"/>
  <c r="AL52" i="3"/>
  <c r="AM52" i="3" s="1"/>
  <c r="AN52" i="3" s="1"/>
  <c r="BL52" i="3" s="1"/>
  <c r="AJ53" i="3"/>
  <c r="AH55" i="3"/>
  <c r="AH54" i="3"/>
  <c r="AD57" i="3"/>
  <c r="AD56" i="3"/>
  <c r="AE56" i="3" s="1"/>
  <c r="Z58" i="3"/>
  <c r="X59" i="3"/>
  <c r="V60" i="3"/>
  <c r="AQ52" i="25" l="1"/>
  <c r="AL53" i="3"/>
  <c r="AM53" i="3" s="1"/>
  <c r="AN53" i="3" s="1"/>
  <c r="BL53" i="3" s="1"/>
  <c r="AJ55" i="3"/>
  <c r="AJ54" i="3"/>
  <c r="AF56" i="3"/>
  <c r="AG56" i="3" s="1"/>
  <c r="AF57" i="3"/>
  <c r="AB58" i="3"/>
  <c r="Z59" i="3"/>
  <c r="X60" i="3"/>
  <c r="V61" i="3"/>
  <c r="W61" i="3" s="1"/>
  <c r="AQ53" i="25" l="1"/>
  <c r="AL55" i="3"/>
  <c r="AM55" i="3" s="1"/>
  <c r="AN55" i="3" s="1"/>
  <c r="BL55" i="3" s="1"/>
  <c r="AL54" i="3"/>
  <c r="AM54" i="3" s="1"/>
  <c r="AN54" i="3" s="1"/>
  <c r="BL54" i="3" s="1"/>
  <c r="AH57" i="3"/>
  <c r="AH56" i="3"/>
  <c r="AI56" i="3" s="1"/>
  <c r="AD58" i="3"/>
  <c r="AE58" i="3" s="1"/>
  <c r="AB59" i="3"/>
  <c r="Z60" i="3"/>
  <c r="X61" i="3"/>
  <c r="V62" i="3"/>
  <c r="AQ54" i="25" l="1"/>
  <c r="AQ55" i="25"/>
  <c r="AJ56" i="3"/>
  <c r="AK56" i="3" s="1"/>
  <c r="AJ57" i="3"/>
  <c r="AF58" i="3"/>
  <c r="AD59" i="3"/>
  <c r="AE59" i="3" s="1"/>
  <c r="AB60" i="3"/>
  <c r="Z61" i="3"/>
  <c r="AB61" i="3" s="1"/>
  <c r="X62" i="3"/>
  <c r="V63" i="3"/>
  <c r="AL57" i="3" l="1"/>
  <c r="AM57" i="3" s="1"/>
  <c r="AN57" i="3" s="1"/>
  <c r="BL57" i="3" s="1"/>
  <c r="AL56" i="3"/>
  <c r="AM56" i="3" s="1"/>
  <c r="AN56" i="3" s="1"/>
  <c r="BL56" i="3" s="1"/>
  <c r="AH58" i="3"/>
  <c r="AF59" i="3"/>
  <c r="AD60" i="3"/>
  <c r="AE60" i="3" s="1"/>
  <c r="AD61" i="3"/>
  <c r="Z62" i="3"/>
  <c r="X63" i="3"/>
  <c r="V64" i="3"/>
  <c r="AQ57" i="25" l="1"/>
  <c r="AQ56" i="25"/>
  <c r="AJ58" i="3"/>
  <c r="AK58" i="3" s="1"/>
  <c r="AH59" i="3"/>
  <c r="AF61" i="3"/>
  <c r="AF60" i="3"/>
  <c r="AB62" i="3"/>
  <c r="Z63" i="3"/>
  <c r="X64" i="3"/>
  <c r="V65" i="3"/>
  <c r="AL58" i="3" l="1"/>
  <c r="AM58" i="3" s="1"/>
  <c r="AN58" i="3" s="1"/>
  <c r="BL58" i="3" s="1"/>
  <c r="AJ59" i="3"/>
  <c r="AH60" i="3"/>
  <c r="AH61" i="3"/>
  <c r="AD62" i="3"/>
  <c r="AE62" i="3" s="1"/>
  <c r="AB63" i="3"/>
  <c r="Z64" i="3"/>
  <c r="X65" i="3"/>
  <c r="V66" i="3"/>
  <c r="AQ58" i="25" l="1"/>
  <c r="AL59" i="3"/>
  <c r="AM59" i="3" s="1"/>
  <c r="AN59" i="3" s="1"/>
  <c r="BL59" i="3" s="1"/>
  <c r="AJ61" i="3"/>
  <c r="AJ60" i="3"/>
  <c r="AF62" i="3"/>
  <c r="AG62" i="3" s="1"/>
  <c r="AD63" i="3"/>
  <c r="AB64" i="3"/>
  <c r="Z65" i="3"/>
  <c r="X66" i="3"/>
  <c r="V67" i="3"/>
  <c r="W67" i="3" s="1"/>
  <c r="AQ59" i="25" l="1"/>
  <c r="AL60" i="3"/>
  <c r="AM60" i="3" s="1"/>
  <c r="AN60" i="3" s="1"/>
  <c r="BL60" i="3" s="1"/>
  <c r="AL61" i="3"/>
  <c r="AM61" i="3" s="1"/>
  <c r="AN61" i="3" s="1"/>
  <c r="BL61" i="3" s="1"/>
  <c r="AH62" i="3"/>
  <c r="AI62" i="3" s="1"/>
  <c r="AF63" i="3"/>
  <c r="AD64" i="3"/>
  <c r="AE64" i="3" s="1"/>
  <c r="AB65" i="3"/>
  <c r="Z66" i="3"/>
  <c r="X67" i="3"/>
  <c r="V68" i="3"/>
  <c r="AQ60" i="25" l="1"/>
  <c r="AQ61" i="25"/>
  <c r="AJ62" i="3"/>
  <c r="AK62" i="3" s="1"/>
  <c r="AH63" i="3"/>
  <c r="AF64" i="3"/>
  <c r="AD65" i="3"/>
  <c r="AE65" i="3" s="1"/>
  <c r="AB66" i="3"/>
  <c r="Z67" i="3"/>
  <c r="X68" i="3"/>
  <c r="V69" i="3"/>
  <c r="AL62" i="3" l="1"/>
  <c r="AM62" i="3" s="1"/>
  <c r="AN62" i="3" s="1"/>
  <c r="BL62" i="3" s="1"/>
  <c r="AJ63" i="3"/>
  <c r="AH64" i="3"/>
  <c r="AF65" i="3"/>
  <c r="AD66" i="3"/>
  <c r="AE66" i="3" s="1"/>
  <c r="AB67" i="3"/>
  <c r="Z68" i="3"/>
  <c r="X69" i="3"/>
  <c r="V70" i="3"/>
  <c r="AQ62" i="25" l="1"/>
  <c r="AL63" i="3"/>
  <c r="AM63" i="3" s="1"/>
  <c r="AN63" i="3" s="1"/>
  <c r="BL63" i="3" s="1"/>
  <c r="AJ64" i="3"/>
  <c r="AK64" i="3" s="1"/>
  <c r="AH65" i="3"/>
  <c r="AF66" i="3"/>
  <c r="AD67" i="3"/>
  <c r="AE67" i="3" s="1"/>
  <c r="AB68" i="3"/>
  <c r="Z69" i="3"/>
  <c r="X70" i="3"/>
  <c r="V71" i="3"/>
  <c r="AQ63" i="25" l="1"/>
  <c r="AL64" i="3"/>
  <c r="AM64" i="3" s="1"/>
  <c r="AN64" i="3" s="1"/>
  <c r="BL64" i="3" s="1"/>
  <c r="AJ65" i="3"/>
  <c r="AH66" i="3"/>
  <c r="AF67" i="3"/>
  <c r="AG67" i="3" s="1"/>
  <c r="AD68" i="3"/>
  <c r="AE68" i="3" s="1"/>
  <c r="AB69" i="3"/>
  <c r="Z70" i="3"/>
  <c r="X71" i="3"/>
  <c r="V72" i="3"/>
  <c r="AQ64" i="25" l="1"/>
  <c r="AL65" i="3"/>
  <c r="AM65" i="3" s="1"/>
  <c r="AN65" i="3" s="1"/>
  <c r="BL65" i="3" s="1"/>
  <c r="AJ66" i="3"/>
  <c r="AH67" i="3"/>
  <c r="AI67" i="3" s="1"/>
  <c r="AF68" i="3"/>
  <c r="AG68" i="3" s="1"/>
  <c r="AD69" i="3"/>
  <c r="AB70" i="3"/>
  <c r="Z71" i="3"/>
  <c r="X72" i="3"/>
  <c r="V73" i="3"/>
  <c r="W73" i="3" s="1"/>
  <c r="AQ65" i="25" l="1"/>
  <c r="AL66" i="3"/>
  <c r="AM66" i="3" s="1"/>
  <c r="AN66" i="3" s="1"/>
  <c r="BL66" i="3" s="1"/>
  <c r="AJ67" i="3"/>
  <c r="AH68" i="3"/>
  <c r="AI68" i="3" s="1"/>
  <c r="AF69" i="3"/>
  <c r="AD70" i="3"/>
  <c r="AE70" i="3" s="1"/>
  <c r="AB71" i="3"/>
  <c r="Z72" i="3"/>
  <c r="X73" i="3"/>
  <c r="V74" i="3"/>
  <c r="AQ66" i="25" l="1"/>
  <c r="AL67" i="3"/>
  <c r="AM67" i="3" s="1"/>
  <c r="AN67" i="3" s="1"/>
  <c r="BL67" i="3" s="1"/>
  <c r="AJ68" i="3"/>
  <c r="AK68" i="3" s="1"/>
  <c r="AH69" i="3"/>
  <c r="AF70" i="3"/>
  <c r="AD71" i="3"/>
  <c r="AE71" i="3" s="1"/>
  <c r="AB72" i="3"/>
  <c r="Z73" i="3"/>
  <c r="AB73" i="3" s="1"/>
  <c r="X74" i="3"/>
  <c r="V75" i="3"/>
  <c r="AQ67" i="25" l="1"/>
  <c r="AL68" i="3"/>
  <c r="AM68" i="3" s="1"/>
  <c r="AN68" i="3" s="1"/>
  <c r="BL68" i="3" s="1"/>
  <c r="AJ69" i="3"/>
  <c r="AH70" i="3"/>
  <c r="AF71" i="3"/>
  <c r="AD72" i="3"/>
  <c r="AE72" i="3" s="1"/>
  <c r="AD73" i="3"/>
  <c r="Z74" i="3"/>
  <c r="X75" i="3"/>
  <c r="V76" i="3"/>
  <c r="AQ68" i="25" l="1"/>
  <c r="AL69" i="3"/>
  <c r="AM69" i="3" s="1"/>
  <c r="AN69" i="3" s="1"/>
  <c r="BL69" i="3" s="1"/>
  <c r="AJ70" i="3"/>
  <c r="AK70" i="3" s="1"/>
  <c r="AH71" i="3"/>
  <c r="AF72" i="3"/>
  <c r="AF73" i="3"/>
  <c r="AB74" i="3"/>
  <c r="Z75" i="3"/>
  <c r="X76" i="3"/>
  <c r="V77" i="3"/>
  <c r="AQ69" i="25" l="1"/>
  <c r="AL70" i="3"/>
  <c r="AM70" i="3" s="1"/>
  <c r="AN70" i="3" s="1"/>
  <c r="BL70" i="3" s="1"/>
  <c r="AJ71" i="3"/>
  <c r="AH72" i="3"/>
  <c r="AH73" i="3"/>
  <c r="AD74" i="3"/>
  <c r="AE74" i="3" s="1"/>
  <c r="AB75" i="3"/>
  <c r="Z76" i="3"/>
  <c r="X77" i="3"/>
  <c r="V78" i="3"/>
  <c r="AQ70" i="25" l="1"/>
  <c r="AL71" i="3"/>
  <c r="AM71" i="3" s="1"/>
  <c r="AN71" i="3" s="1"/>
  <c r="BL71" i="3" s="1"/>
  <c r="AJ73" i="3"/>
  <c r="AJ72" i="3"/>
  <c r="AF74" i="3"/>
  <c r="AG74" i="3" s="1"/>
  <c r="AD75" i="3"/>
  <c r="AB76" i="3"/>
  <c r="Z77" i="3"/>
  <c r="X78" i="3"/>
  <c r="V79" i="3"/>
  <c r="W79" i="3" s="1"/>
  <c r="AQ71" i="25" l="1"/>
  <c r="AL72" i="3"/>
  <c r="AM72" i="3" s="1"/>
  <c r="AN72" i="3" s="1"/>
  <c r="BL72" i="3" s="1"/>
  <c r="AL73" i="3"/>
  <c r="AM73" i="3" s="1"/>
  <c r="AN73" i="3" s="1"/>
  <c r="BL73" i="3" s="1"/>
  <c r="AQ72" i="25"/>
  <c r="AH74" i="3"/>
  <c r="AI74" i="3" s="1"/>
  <c r="AF75" i="3"/>
  <c r="AD76" i="3"/>
  <c r="AE76" i="3" s="1"/>
  <c r="AB77" i="3"/>
  <c r="Z78" i="3"/>
  <c r="X79" i="3"/>
  <c r="V80" i="3"/>
  <c r="AQ73" i="25" l="1"/>
  <c r="AJ74" i="3"/>
  <c r="AK74" i="3" s="1"/>
  <c r="AH75" i="3"/>
  <c r="AF76" i="3"/>
  <c r="AD77" i="3"/>
  <c r="AE77" i="3" s="1"/>
  <c r="AB78" i="3"/>
  <c r="Z79" i="3"/>
  <c r="X80" i="3"/>
  <c r="V81" i="3"/>
  <c r="AL74" i="3" l="1"/>
  <c r="AM74" i="3" s="1"/>
  <c r="AN74" i="3" s="1"/>
  <c r="BL74" i="3" s="1"/>
  <c r="AJ75" i="3"/>
  <c r="AH76" i="3"/>
  <c r="AF77" i="3"/>
  <c r="AD78" i="3"/>
  <c r="AE78" i="3" s="1"/>
  <c r="AB79" i="3"/>
  <c r="Z80" i="3"/>
  <c r="X81" i="3"/>
  <c r="V82" i="3"/>
  <c r="AQ74" i="25" l="1"/>
  <c r="AL75" i="3"/>
  <c r="AM75" i="3" s="1"/>
  <c r="AN75" i="3" s="1"/>
  <c r="BL75" i="3" s="1"/>
  <c r="AJ76" i="3"/>
  <c r="AK76" i="3" s="1"/>
  <c r="AH77" i="3"/>
  <c r="AF78" i="3"/>
  <c r="AD79" i="3"/>
  <c r="AB80" i="3"/>
  <c r="Z81" i="3"/>
  <c r="AB81" i="3" s="1"/>
  <c r="X82" i="3"/>
  <c r="V83" i="3"/>
  <c r="AQ75" i="25" l="1"/>
  <c r="AL76" i="3"/>
  <c r="AM76" i="3" s="1"/>
  <c r="AN76" i="3" s="1"/>
  <c r="BL76" i="3" s="1"/>
  <c r="AJ77" i="3"/>
  <c r="AH78" i="3"/>
  <c r="AF79" i="3"/>
  <c r="AD80" i="3"/>
  <c r="AE80" i="3" s="1"/>
  <c r="AD81" i="3"/>
  <c r="Z82" i="3"/>
  <c r="X83" i="3"/>
  <c r="V84" i="3"/>
  <c r="AQ76" i="25" l="1"/>
  <c r="AL77" i="3"/>
  <c r="AM77" i="3" s="1"/>
  <c r="AN77" i="3" s="1"/>
  <c r="BL77" i="3" s="1"/>
  <c r="AJ78" i="3"/>
  <c r="AH79" i="3"/>
  <c r="AF81" i="3"/>
  <c r="AF80" i="3"/>
  <c r="AG80" i="3" s="1"/>
  <c r="AB82" i="3"/>
  <c r="Z83" i="3"/>
  <c r="X84" i="3"/>
  <c r="V85" i="3"/>
  <c r="W85" i="3" s="1"/>
  <c r="AQ77" i="25" l="1"/>
  <c r="AL78" i="3"/>
  <c r="AM78" i="3" s="1"/>
  <c r="AN78" i="3" s="1"/>
  <c r="BL78" i="3" s="1"/>
  <c r="AJ79" i="3"/>
  <c r="AH80" i="3"/>
  <c r="AI80" i="3" s="1"/>
  <c r="AH81" i="3"/>
  <c r="AD82" i="3"/>
  <c r="AE82" i="3" s="1"/>
  <c r="AB83" i="3"/>
  <c r="Z84" i="3"/>
  <c r="X85" i="3"/>
  <c r="V86" i="3"/>
  <c r="AQ78" i="25" l="1"/>
  <c r="AL79" i="3"/>
  <c r="AM79" i="3" s="1"/>
  <c r="AN79" i="3" s="1"/>
  <c r="BL79" i="3" s="1"/>
  <c r="AJ80" i="3"/>
  <c r="AK80" i="3" s="1"/>
  <c r="AJ81" i="3"/>
  <c r="AF82" i="3"/>
  <c r="AD83" i="3"/>
  <c r="AE83" i="3" s="1"/>
  <c r="AB84" i="3"/>
  <c r="Z85" i="3"/>
  <c r="X86" i="3"/>
  <c r="V87" i="3"/>
  <c r="AQ79" i="25" l="1"/>
  <c r="AL81" i="3"/>
  <c r="AM81" i="3" s="1"/>
  <c r="AN81" i="3" s="1"/>
  <c r="BL81" i="3" s="1"/>
  <c r="AL80" i="3"/>
  <c r="AM80" i="3" s="1"/>
  <c r="AN80" i="3" s="1"/>
  <c r="BL80" i="3" s="1"/>
  <c r="AH82" i="3"/>
  <c r="AF83" i="3"/>
  <c r="AD84" i="3"/>
  <c r="AE84" i="3" s="1"/>
  <c r="AB85" i="3"/>
  <c r="Z86" i="3"/>
  <c r="X87" i="3"/>
  <c r="V88" i="3"/>
  <c r="AQ80" i="25" l="1"/>
  <c r="AQ81" i="25"/>
  <c r="AJ82" i="3"/>
  <c r="AK82" i="3" s="1"/>
  <c r="AH83" i="3"/>
  <c r="AF84" i="3"/>
  <c r="AD85" i="3"/>
  <c r="AB86" i="3"/>
  <c r="Z87" i="3"/>
  <c r="X88" i="3"/>
  <c r="V89" i="3"/>
  <c r="AL82" i="3" l="1"/>
  <c r="AM82" i="3" s="1"/>
  <c r="AN82" i="3" s="1"/>
  <c r="BL82" i="3" s="1"/>
  <c r="AJ83" i="3"/>
  <c r="AH84" i="3"/>
  <c r="AF85" i="3"/>
  <c r="AD86" i="3"/>
  <c r="AE86" i="3" s="1"/>
  <c r="AB87" i="3"/>
  <c r="Z88" i="3"/>
  <c r="X89" i="3"/>
  <c r="V90" i="3"/>
  <c r="AQ82" i="25" l="1"/>
  <c r="AL83" i="3"/>
  <c r="AM83" i="3" s="1"/>
  <c r="AN83" i="3" s="1"/>
  <c r="BL83" i="3" s="1"/>
  <c r="AJ84" i="3"/>
  <c r="AH85" i="3"/>
  <c r="AF86" i="3"/>
  <c r="AG86" i="3" s="1"/>
  <c r="AD87" i="3"/>
  <c r="AB88" i="3"/>
  <c r="Z89" i="3"/>
  <c r="X90" i="3"/>
  <c r="V91" i="3"/>
  <c r="W91" i="3" s="1"/>
  <c r="AQ83" i="25" l="1"/>
  <c r="AL84" i="3"/>
  <c r="AM84" i="3" s="1"/>
  <c r="AN84" i="3" s="1"/>
  <c r="BL84" i="3" s="1"/>
  <c r="AJ85" i="3"/>
  <c r="AH86" i="3"/>
  <c r="AI86" i="3" s="1"/>
  <c r="AF87" i="3"/>
  <c r="AD88" i="3"/>
  <c r="AE88" i="3" s="1"/>
  <c r="AB89" i="3"/>
  <c r="Z90" i="3"/>
  <c r="X91" i="3"/>
  <c r="V92" i="3"/>
  <c r="AQ84" i="25" l="1"/>
  <c r="AL85" i="3"/>
  <c r="AM85" i="3" s="1"/>
  <c r="AN85" i="3" s="1"/>
  <c r="BL85" i="3" s="1"/>
  <c r="AJ86" i="3"/>
  <c r="AH87" i="3"/>
  <c r="AF88" i="3"/>
  <c r="AD89" i="3"/>
  <c r="AE89" i="3" s="1"/>
  <c r="AB90" i="3"/>
  <c r="Z91" i="3"/>
  <c r="X92" i="3"/>
  <c r="V93" i="3"/>
  <c r="AQ85" i="25" l="1"/>
  <c r="AL86" i="3"/>
  <c r="AM86" i="3" s="1"/>
  <c r="AN86" i="3" s="1"/>
  <c r="BL86" i="3" s="1"/>
  <c r="AJ87" i="3"/>
  <c r="AH88" i="3"/>
  <c r="AF89" i="3"/>
  <c r="AD90" i="3"/>
  <c r="AE90" i="3" s="1"/>
  <c r="AB91" i="3"/>
  <c r="Z92" i="3"/>
  <c r="X93" i="3"/>
  <c r="V94" i="3"/>
  <c r="AQ86" i="25" l="1"/>
  <c r="AL87" i="3"/>
  <c r="AM87" i="3" s="1"/>
  <c r="AN87" i="3" s="1"/>
  <c r="BL87" i="3" s="1"/>
  <c r="AJ88" i="3"/>
  <c r="AK88" i="3" s="1"/>
  <c r="AH89" i="3"/>
  <c r="AF90" i="3"/>
  <c r="AD91" i="3"/>
  <c r="AE91" i="3" s="1"/>
  <c r="AB92" i="3"/>
  <c r="Z93" i="3"/>
  <c r="X94" i="3"/>
  <c r="V95" i="3"/>
  <c r="AQ87" i="25" l="1"/>
  <c r="AL88" i="3"/>
  <c r="AM88" i="3" s="1"/>
  <c r="AN88" i="3" s="1"/>
  <c r="BL88" i="3" s="1"/>
  <c r="AJ89" i="3"/>
  <c r="AH90" i="3"/>
  <c r="AF91" i="3"/>
  <c r="AG91" i="3" s="1"/>
  <c r="AD92" i="3"/>
  <c r="AE92" i="3" s="1"/>
  <c r="AB93" i="3"/>
  <c r="Z94" i="3"/>
  <c r="X95" i="3"/>
  <c r="V96" i="3"/>
  <c r="AQ88" i="25" l="1"/>
  <c r="AL89" i="3"/>
  <c r="AM89" i="3" s="1"/>
  <c r="AN89" i="3" s="1"/>
  <c r="BL89" i="3" s="1"/>
  <c r="AJ90" i="3"/>
  <c r="AH91" i="3"/>
  <c r="AI91" i="3" s="1"/>
  <c r="AF92" i="3"/>
  <c r="AG92" i="3" s="1"/>
  <c r="AD93" i="3"/>
  <c r="AB94" i="3"/>
  <c r="Z95" i="3"/>
  <c r="X96" i="3"/>
  <c r="V97" i="3"/>
  <c r="W97" i="3" s="1"/>
  <c r="AQ89" i="25" l="1"/>
  <c r="AL90" i="3"/>
  <c r="AM90" i="3" s="1"/>
  <c r="AN90" i="3" s="1"/>
  <c r="BL90" i="3" s="1"/>
  <c r="AJ91" i="3"/>
  <c r="AH92" i="3"/>
  <c r="AI92" i="3" s="1"/>
  <c r="AF93" i="3"/>
  <c r="AD94" i="3"/>
  <c r="AE94" i="3" s="1"/>
  <c r="AB95" i="3"/>
  <c r="Z96" i="3"/>
  <c r="X97" i="3"/>
  <c r="V98" i="3"/>
  <c r="AQ90" i="25" l="1"/>
  <c r="AL91" i="3"/>
  <c r="AM91" i="3" s="1"/>
  <c r="AN91" i="3" s="1"/>
  <c r="BL91" i="3" s="1"/>
  <c r="AJ92" i="3"/>
  <c r="AK92" i="3" s="1"/>
  <c r="AH93" i="3"/>
  <c r="AF94" i="3"/>
  <c r="AD95" i="3"/>
  <c r="AE95" i="3" s="1"/>
  <c r="AB96" i="3"/>
  <c r="Z97" i="3"/>
  <c r="X98" i="3"/>
  <c r="V99" i="3"/>
  <c r="AQ91" i="25" l="1"/>
  <c r="AL92" i="3"/>
  <c r="AM92" i="3" s="1"/>
  <c r="AN92" i="3" s="1"/>
  <c r="BL92" i="3" s="1"/>
  <c r="AJ93" i="3"/>
  <c r="AH94" i="3"/>
  <c r="AF95" i="3"/>
  <c r="AD96" i="3"/>
  <c r="AE96" i="3" s="1"/>
  <c r="AB97" i="3"/>
  <c r="Z98" i="3"/>
  <c r="X99" i="3"/>
  <c r="V100" i="3"/>
  <c r="AQ92" i="25" l="1"/>
  <c r="AL93" i="3"/>
  <c r="AM93" i="3" s="1"/>
  <c r="AN93" i="3" s="1"/>
  <c r="BL93" i="3" s="1"/>
  <c r="AJ94" i="3"/>
  <c r="AK94" i="3" s="1"/>
  <c r="AH95" i="3"/>
  <c r="AF96" i="3"/>
  <c r="AD97" i="3"/>
  <c r="AB98" i="3"/>
  <c r="Z99" i="3"/>
  <c r="X100" i="3"/>
  <c r="V101" i="3"/>
  <c r="AQ93" i="25" l="1"/>
  <c r="AL94" i="3"/>
  <c r="AM94" i="3" s="1"/>
  <c r="AN94" i="3" s="1"/>
  <c r="BL94" i="3" s="1"/>
  <c r="AJ95" i="3"/>
  <c r="AH96" i="3"/>
  <c r="AF97" i="3"/>
  <c r="AD98" i="3"/>
  <c r="AE98" i="3" s="1"/>
  <c r="AB99" i="3"/>
  <c r="Z100" i="3"/>
  <c r="X101" i="3"/>
  <c r="V102" i="3"/>
  <c r="AQ94" i="25" l="1"/>
  <c r="AL95" i="3"/>
  <c r="AM95" i="3" s="1"/>
  <c r="AN95" i="3" s="1"/>
  <c r="BL95" i="3" s="1"/>
  <c r="AJ96" i="3"/>
  <c r="AH97" i="3"/>
  <c r="AF98" i="3"/>
  <c r="AG98" i="3" s="1"/>
  <c r="AD99" i="3"/>
  <c r="AB100" i="3"/>
  <c r="Z101" i="3"/>
  <c r="X102" i="3"/>
  <c r="V103" i="3"/>
  <c r="W103" i="3" s="1"/>
  <c r="AQ95" i="25" l="1"/>
  <c r="AL96" i="3"/>
  <c r="AM96" i="3" s="1"/>
  <c r="AN96" i="3" s="1"/>
  <c r="BL96" i="3" s="1"/>
  <c r="AJ97" i="3"/>
  <c r="AH98" i="3"/>
  <c r="AI98" i="3" s="1"/>
  <c r="AF99" i="3"/>
  <c r="AD100" i="3"/>
  <c r="AE100" i="3" s="1"/>
  <c r="AB101" i="3"/>
  <c r="Z102" i="3"/>
  <c r="X103" i="3"/>
  <c r="AQ96" i="25" l="1"/>
  <c r="AL97" i="3"/>
  <c r="AM97" i="3" s="1"/>
  <c r="AN97" i="3" s="1"/>
  <c r="BL97" i="3" s="1"/>
  <c r="AJ98" i="3"/>
  <c r="AK98" i="3" s="1"/>
  <c r="AH99" i="3"/>
  <c r="AF100" i="3"/>
  <c r="AD101" i="3"/>
  <c r="AE101" i="3" s="1"/>
  <c r="AB102" i="3"/>
  <c r="Z103" i="3"/>
  <c r="AQ97" i="25" l="1"/>
  <c r="AL98" i="3"/>
  <c r="AM98" i="3" s="1"/>
  <c r="AN98" i="3" s="1"/>
  <c r="BL98" i="3" s="1"/>
  <c r="AJ99" i="3"/>
  <c r="AH100" i="3"/>
  <c r="AF101" i="3"/>
  <c r="AD102" i="3"/>
  <c r="AE102" i="3" s="1"/>
  <c r="AB103" i="3"/>
  <c r="AQ36" i="3"/>
  <c r="AS36" i="3" s="1"/>
  <c r="AQ95" i="3"/>
  <c r="AS95" i="3" s="1"/>
  <c r="AQ32" i="3"/>
  <c r="AS32" i="3" s="1"/>
  <c r="AQ54" i="3"/>
  <c r="AS54" i="3" s="1"/>
  <c r="AQ23" i="3"/>
  <c r="AS23" i="3" s="1"/>
  <c r="AQ43" i="3"/>
  <c r="AS43" i="3" s="1"/>
  <c r="AQ78" i="3"/>
  <c r="AS78" i="3" s="1"/>
  <c r="AQ47" i="3"/>
  <c r="AS47" i="3" s="1"/>
  <c r="AQ77" i="3"/>
  <c r="AS77" i="3" s="1"/>
  <c r="AQ92" i="3"/>
  <c r="AS92" i="3" s="1"/>
  <c r="AQ86" i="3"/>
  <c r="AS86" i="3" s="1"/>
  <c r="AQ14" i="3"/>
  <c r="AS14" i="3" s="1"/>
  <c r="AQ79" i="3"/>
  <c r="AS79" i="3" s="1"/>
  <c r="AQ40" i="3"/>
  <c r="AS40" i="3" s="1"/>
  <c r="AQ67" i="3"/>
  <c r="AS67" i="3" s="1"/>
  <c r="AQ50" i="3"/>
  <c r="AS50" i="3" s="1"/>
  <c r="AQ65" i="3"/>
  <c r="AS65" i="3" s="1"/>
  <c r="AQ96" i="3"/>
  <c r="AS96" i="3" s="1"/>
  <c r="AQ53" i="3"/>
  <c r="AS53" i="3" s="1"/>
  <c r="AQ21" i="3"/>
  <c r="AS21" i="3" s="1"/>
  <c r="AQ93" i="3"/>
  <c r="AS93" i="3" s="1"/>
  <c r="AQ85" i="3"/>
  <c r="AS85" i="3" s="1"/>
  <c r="AQ44" i="3"/>
  <c r="AS44" i="3" s="1"/>
  <c r="AQ29" i="3"/>
  <c r="AS29" i="3" s="1"/>
  <c r="AQ39" i="3"/>
  <c r="AS39" i="3" s="1"/>
  <c r="AQ46" i="3"/>
  <c r="AS46" i="3" s="1"/>
  <c r="AQ70" i="3"/>
  <c r="AS70" i="3" s="1"/>
  <c r="AQ28" i="3"/>
  <c r="AS28" i="3" s="1"/>
  <c r="AQ58" i="3"/>
  <c r="AS58" i="3" s="1"/>
  <c r="AQ74" i="3"/>
  <c r="AS74" i="3" s="1"/>
  <c r="AQ81" i="3"/>
  <c r="AS81" i="3" s="1"/>
  <c r="AQ63" i="3"/>
  <c r="AS63" i="3" s="1"/>
  <c r="AQ60" i="3"/>
  <c r="AS60" i="3" s="1"/>
  <c r="AQ88" i="3"/>
  <c r="AS88" i="3" s="1"/>
  <c r="AQ71" i="3"/>
  <c r="AS71" i="3" s="1"/>
  <c r="AQ72" i="3"/>
  <c r="AS72" i="3" s="1"/>
  <c r="AQ49" i="3"/>
  <c r="AS49" i="3" s="1"/>
  <c r="AQ64" i="3"/>
  <c r="AS64" i="3" s="1"/>
  <c r="AQ37" i="3"/>
  <c r="AS37" i="3" s="1"/>
  <c r="AQ30" i="3"/>
  <c r="AS30" i="3" s="1"/>
  <c r="AQ35" i="3"/>
  <c r="AS35" i="3" s="1"/>
  <c r="AQ25" i="3"/>
  <c r="AS25" i="3" s="1"/>
  <c r="AQ51" i="3"/>
  <c r="AS51" i="3" s="1"/>
  <c r="AQ57" i="3"/>
  <c r="AS57" i="3" s="1"/>
  <c r="AQ98" i="25" l="1"/>
  <c r="AL99" i="3"/>
  <c r="AM99" i="3" s="1"/>
  <c r="AN99" i="3" s="1"/>
  <c r="BL99" i="3" s="1"/>
  <c r="AJ100" i="3"/>
  <c r="AK100" i="3" s="1"/>
  <c r="AH101" i="3"/>
  <c r="AF102" i="3"/>
  <c r="AD103" i="3"/>
  <c r="AE103" i="3" s="1"/>
  <c r="AR65" i="3"/>
  <c r="AW65" i="3" s="1"/>
  <c r="AY65" i="3" s="1"/>
  <c r="AR64" i="3"/>
  <c r="AW64" i="3" s="1"/>
  <c r="AY64" i="3" s="1"/>
  <c r="AR74" i="3"/>
  <c r="AW74" i="3" s="1"/>
  <c r="AY74" i="3" s="1"/>
  <c r="AR29" i="3"/>
  <c r="AW29" i="3" s="1"/>
  <c r="AY29" i="3" s="1"/>
  <c r="AR50" i="3"/>
  <c r="AW50" i="3" s="1"/>
  <c r="AY50" i="3" s="1"/>
  <c r="AR77" i="3"/>
  <c r="AW77" i="3" s="1"/>
  <c r="AY77" i="3" s="1"/>
  <c r="AR32" i="3"/>
  <c r="AW32" i="3" s="1"/>
  <c r="AY32" i="3" s="1"/>
  <c r="AR58" i="3"/>
  <c r="AW58" i="3" s="1"/>
  <c r="AY58" i="3" s="1"/>
  <c r="AR44" i="3"/>
  <c r="AW44" i="3" s="1"/>
  <c r="AY44" i="3" s="1"/>
  <c r="AR47" i="3"/>
  <c r="AW47" i="3" s="1"/>
  <c r="AY47" i="3" s="1"/>
  <c r="AR95" i="3"/>
  <c r="AW95" i="3" s="1"/>
  <c r="AY95" i="3" s="1"/>
  <c r="AR92" i="3"/>
  <c r="AW92" i="3" s="1"/>
  <c r="AY92" i="3" s="1"/>
  <c r="AR28" i="3"/>
  <c r="AW28" i="3" s="1"/>
  <c r="AY28" i="3" s="1"/>
  <c r="AR85" i="3"/>
  <c r="AW85" i="3" s="1"/>
  <c r="AY85" i="3" s="1"/>
  <c r="AR67" i="3"/>
  <c r="AW67" i="3" s="1"/>
  <c r="AY67" i="3" s="1"/>
  <c r="AR78" i="3"/>
  <c r="AW78" i="3" s="1"/>
  <c r="AY78" i="3" s="1"/>
  <c r="AR36" i="3"/>
  <c r="AW36" i="3" s="1"/>
  <c r="AY36" i="3" s="1"/>
  <c r="AR81" i="3"/>
  <c r="AW81" i="3" s="1"/>
  <c r="AY81" i="3" s="1"/>
  <c r="AR57" i="3"/>
  <c r="AW57" i="3" s="1"/>
  <c r="AY57" i="3" s="1"/>
  <c r="AR93" i="3"/>
  <c r="AW93" i="3" s="1"/>
  <c r="AY93" i="3" s="1"/>
  <c r="AR40" i="3"/>
  <c r="AW40" i="3" s="1"/>
  <c r="AY40" i="3" s="1"/>
  <c r="AR37" i="3"/>
  <c r="AW37" i="3" s="1"/>
  <c r="AY37" i="3" s="1"/>
  <c r="AR49" i="3"/>
  <c r="AW49" i="3" s="1"/>
  <c r="AY49" i="3" s="1"/>
  <c r="AR51" i="3"/>
  <c r="AW51" i="3" s="1"/>
  <c r="AY51" i="3" s="1"/>
  <c r="AR25" i="3"/>
  <c r="AW25" i="3" s="1"/>
  <c r="AY25" i="3" s="1"/>
  <c r="AR88" i="3"/>
  <c r="AW88" i="3" s="1"/>
  <c r="AY88" i="3" s="1"/>
  <c r="AR70" i="3"/>
  <c r="AW70" i="3" s="1"/>
  <c r="AY70" i="3" s="1"/>
  <c r="AR21" i="3"/>
  <c r="AR79" i="3"/>
  <c r="AW79" i="3" s="1"/>
  <c r="AY79" i="3" s="1"/>
  <c r="AR43" i="3"/>
  <c r="AW43" i="3" s="1"/>
  <c r="AY43" i="3" s="1"/>
  <c r="AR35" i="3"/>
  <c r="AW35" i="3" s="1"/>
  <c r="AY35" i="3" s="1"/>
  <c r="AR60" i="3"/>
  <c r="AW60" i="3" s="1"/>
  <c r="AY60" i="3" s="1"/>
  <c r="AR46" i="3"/>
  <c r="AW46" i="3" s="1"/>
  <c r="AY46" i="3" s="1"/>
  <c r="AR53" i="3"/>
  <c r="AW53" i="3" s="1"/>
  <c r="AY53" i="3" s="1"/>
  <c r="AR14" i="3"/>
  <c r="AW14" i="3" s="1"/>
  <c r="AY14" i="3" s="1"/>
  <c r="AR23" i="3"/>
  <c r="AW23" i="3" s="1"/>
  <c r="AY23" i="3" s="1"/>
  <c r="AR39" i="3"/>
  <c r="AW39" i="3" s="1"/>
  <c r="AY39" i="3" s="1"/>
  <c r="AR72" i="3"/>
  <c r="AW72" i="3" s="1"/>
  <c r="AY72" i="3" s="1"/>
  <c r="AR71" i="3"/>
  <c r="AW71" i="3" s="1"/>
  <c r="AY71" i="3" s="1"/>
  <c r="AR30" i="3"/>
  <c r="AW30" i="3" s="1"/>
  <c r="AY30" i="3" s="1"/>
  <c r="AR63" i="3"/>
  <c r="AW63" i="3" s="1"/>
  <c r="AY63" i="3" s="1"/>
  <c r="AR96" i="3"/>
  <c r="AW96" i="3" s="1"/>
  <c r="AY96" i="3" s="1"/>
  <c r="AR86" i="3"/>
  <c r="AW86" i="3" s="1"/>
  <c r="AY86" i="3" s="1"/>
  <c r="AR54" i="3"/>
  <c r="AW54" i="3" s="1"/>
  <c r="AY54" i="3" s="1"/>
  <c r="AQ99" i="25" l="1"/>
  <c r="AL100" i="3"/>
  <c r="AM100" i="3" s="1"/>
  <c r="AN100" i="3" s="1"/>
  <c r="AQ99" i="3"/>
  <c r="AS99" i="3" s="1"/>
  <c r="AR99" i="3" s="1"/>
  <c r="AW99" i="3" s="1"/>
  <c r="AY99" i="3" s="1"/>
  <c r="AJ101" i="3"/>
  <c r="AH102" i="3"/>
  <c r="AF103" i="3"/>
  <c r="AG103" i="3" s="1"/>
  <c r="AS14" i="25"/>
  <c r="AS23" i="25"/>
  <c r="AS25" i="25"/>
  <c r="AW21" i="3"/>
  <c r="AY21" i="3" s="1"/>
  <c r="AS21" i="25" s="1"/>
  <c r="AQ68" i="3"/>
  <c r="AS68" i="3" s="1"/>
  <c r="AX81" i="3"/>
  <c r="AX32" i="3"/>
  <c r="AX39" i="3"/>
  <c r="AX86" i="3"/>
  <c r="AX14" i="3"/>
  <c r="AX72" i="3"/>
  <c r="AX49" i="3"/>
  <c r="AX78" i="3"/>
  <c r="AX63" i="3"/>
  <c r="AX54" i="3"/>
  <c r="AX65" i="3"/>
  <c r="AX74" i="3"/>
  <c r="AX35" i="3"/>
  <c r="AX92" i="3"/>
  <c r="AX64" i="3"/>
  <c r="AX85" i="3"/>
  <c r="AX71" i="3"/>
  <c r="AX23" i="3"/>
  <c r="AX44" i="3"/>
  <c r="AX53" i="3"/>
  <c r="AX79" i="3"/>
  <c r="AX36" i="3"/>
  <c r="AX50" i="3"/>
  <c r="AX37" i="3"/>
  <c r="AX47" i="3"/>
  <c r="AX77" i="3"/>
  <c r="AX88" i="3"/>
  <c r="AX96" i="3"/>
  <c r="AX40" i="3"/>
  <c r="AX57" i="3"/>
  <c r="AX95" i="3"/>
  <c r="AX70" i="3"/>
  <c r="AX46" i="3"/>
  <c r="AX67" i="3"/>
  <c r="AX60" i="3"/>
  <c r="AX58" i="3"/>
  <c r="AX43" i="3"/>
  <c r="AX30" i="3"/>
  <c r="AX25" i="3"/>
  <c r="AX93" i="3"/>
  <c r="AX51" i="3"/>
  <c r="AX29" i="3"/>
  <c r="AX28" i="3"/>
  <c r="AQ100" i="3" l="1"/>
  <c r="AS100" i="3" s="1"/>
  <c r="AR100" i="3" s="1"/>
  <c r="AW100" i="3" s="1"/>
  <c r="AY100" i="3" s="1"/>
  <c r="AX100" i="3" s="1"/>
  <c r="BL100" i="3"/>
  <c r="AQ100" i="25"/>
  <c r="AL101" i="3"/>
  <c r="AM101" i="3" s="1"/>
  <c r="AN101" i="3" s="1"/>
  <c r="BL101" i="3" s="1"/>
  <c r="AX99" i="3"/>
  <c r="AJ102" i="3"/>
  <c r="AH103" i="3"/>
  <c r="AI103" i="3" s="1"/>
  <c r="AX21" i="3"/>
  <c r="AR68" i="3"/>
  <c r="AW68" i="3" s="1"/>
  <c r="AY68" i="3" s="1"/>
  <c r="AQ101" i="25" l="1"/>
  <c r="AL102" i="3"/>
  <c r="AM102" i="3" s="1"/>
  <c r="AN102" i="3" s="1"/>
  <c r="AJ103" i="3"/>
  <c r="AX68" i="3"/>
  <c r="E1" i="25"/>
  <c r="AQ102" i="3" l="1"/>
  <c r="AS102" i="3" s="1"/>
  <c r="AR102" i="3" s="1"/>
  <c r="AW102" i="3" s="1"/>
  <c r="AY102" i="3" s="1"/>
  <c r="AX102" i="3" s="1"/>
  <c r="BL102" i="3"/>
  <c r="AQ102" i="25"/>
  <c r="AL103" i="3"/>
  <c r="AM103" i="3" s="1"/>
  <c r="AN103" i="3" s="1"/>
  <c r="AQ90" i="3"/>
  <c r="AS90" i="3" s="1"/>
  <c r="AQ66" i="3"/>
  <c r="AS66" i="3" s="1"/>
  <c r="AQ75" i="3"/>
  <c r="AS75" i="3" s="1"/>
  <c r="AQ45" i="3"/>
  <c r="AS45" i="3" s="1"/>
  <c r="AQ94" i="3"/>
  <c r="AS94" i="3" s="1"/>
  <c r="AQ34" i="3"/>
  <c r="AS34" i="3" s="1"/>
  <c r="AQ22" i="3"/>
  <c r="AS22" i="3" s="1"/>
  <c r="AQ31" i="3"/>
  <c r="AS31" i="3" s="1"/>
  <c r="AQ62" i="3"/>
  <c r="AS62" i="3" s="1"/>
  <c r="AQ20" i="3"/>
  <c r="AS20" i="3" s="1"/>
  <c r="AQ52" i="3"/>
  <c r="AS52" i="3" s="1"/>
  <c r="AQ27" i="3"/>
  <c r="AS27" i="3" s="1"/>
  <c r="AQ55" i="3"/>
  <c r="AS55" i="3" s="1"/>
  <c r="AQ69" i="3"/>
  <c r="AS69" i="3" s="1"/>
  <c r="AQ98" i="3"/>
  <c r="AS98" i="3" s="1"/>
  <c r="AQ59" i="3"/>
  <c r="AS59" i="3" s="1"/>
  <c r="AQ26" i="3"/>
  <c r="AS26" i="3" s="1"/>
  <c r="AQ61" i="3"/>
  <c r="AS61" i="3" s="1"/>
  <c r="AQ76" i="3"/>
  <c r="AS76" i="3" s="1"/>
  <c r="AQ24" i="3"/>
  <c r="AS24" i="3" s="1"/>
  <c r="AQ10" i="3"/>
  <c r="AS10" i="3" s="1"/>
  <c r="AQ84" i="3"/>
  <c r="AS84" i="3" s="1"/>
  <c r="AQ87" i="3"/>
  <c r="AS87" i="3" s="1"/>
  <c r="AQ73" i="3"/>
  <c r="AS73" i="3" s="1"/>
  <c r="AQ48" i="3"/>
  <c r="AS48" i="3" s="1"/>
  <c r="AQ80" i="3"/>
  <c r="AS80" i="3" s="1"/>
  <c r="AQ17" i="3"/>
  <c r="AS17" i="3" s="1"/>
  <c r="AQ42" i="3"/>
  <c r="AS42" i="3" s="1"/>
  <c r="AQ41" i="3"/>
  <c r="AS41" i="3" s="1"/>
  <c r="AQ83" i="3"/>
  <c r="AS83" i="3" s="1"/>
  <c r="AQ56" i="3"/>
  <c r="AS56" i="3" s="1"/>
  <c r="AQ101" i="3"/>
  <c r="AS101" i="3" s="1"/>
  <c r="AQ97" i="3"/>
  <c r="AS97" i="3" s="1"/>
  <c r="AQ89" i="3"/>
  <c r="AS89" i="3" s="1"/>
  <c r="AQ91" i="3"/>
  <c r="AS91" i="3" s="1"/>
  <c r="AQ82" i="3"/>
  <c r="AS82" i="3" s="1"/>
  <c r="AQ19" i="3"/>
  <c r="AS19" i="3" s="1"/>
  <c r="AQ33" i="3"/>
  <c r="AS33" i="3" s="1"/>
  <c r="AQ38" i="3"/>
  <c r="AS38" i="3" s="1"/>
  <c r="AQ13" i="3"/>
  <c r="AS13" i="3" s="1"/>
  <c r="AQ103" i="3" l="1"/>
  <c r="AS103" i="3" s="1"/>
  <c r="AR103" i="3" s="1"/>
  <c r="BL103" i="3"/>
  <c r="AQ103" i="25"/>
  <c r="AE6" i="22"/>
  <c r="AC6" i="22"/>
  <c r="Z6" i="22"/>
  <c r="AC5" i="22"/>
  <c r="AE5" i="22"/>
  <c r="Z5" i="22"/>
  <c r="AR38" i="3"/>
  <c r="AW38" i="3" s="1"/>
  <c r="AY38" i="3" s="1"/>
  <c r="AR97" i="3"/>
  <c r="AW97" i="3" s="1"/>
  <c r="AY97" i="3" s="1"/>
  <c r="AR83" i="3"/>
  <c r="AW83" i="3" s="1"/>
  <c r="AY83" i="3" s="1"/>
  <c r="AR17" i="3"/>
  <c r="AW17" i="3" s="1"/>
  <c r="AY17" i="3" s="1"/>
  <c r="AR87" i="3"/>
  <c r="AW87" i="3" s="1"/>
  <c r="AY87" i="3" s="1"/>
  <c r="AR69" i="3"/>
  <c r="AW69" i="3" s="1"/>
  <c r="AY69" i="3" s="1"/>
  <c r="AR75" i="3"/>
  <c r="AW75" i="3" s="1"/>
  <c r="AY75" i="3" s="1"/>
  <c r="AR19" i="3"/>
  <c r="AW19" i="3" s="1"/>
  <c r="AY19" i="3" s="1"/>
  <c r="AR59" i="3"/>
  <c r="AW59" i="3" s="1"/>
  <c r="AY59" i="3" s="1"/>
  <c r="AR31" i="3"/>
  <c r="AW31" i="3" s="1"/>
  <c r="AY31" i="3" s="1"/>
  <c r="AR34" i="3"/>
  <c r="AW34" i="3" s="1"/>
  <c r="AY34" i="3" s="1"/>
  <c r="AR45" i="3"/>
  <c r="AW45" i="3" s="1"/>
  <c r="AY45" i="3" s="1"/>
  <c r="AR66" i="3"/>
  <c r="AW66" i="3" s="1"/>
  <c r="AY66" i="3" s="1"/>
  <c r="AR80" i="3"/>
  <c r="AW80" i="3" s="1"/>
  <c r="AY80" i="3" s="1"/>
  <c r="AR98" i="3"/>
  <c r="AW98" i="3" s="1"/>
  <c r="AY98" i="3" s="1"/>
  <c r="AR20" i="3"/>
  <c r="AW20" i="3" s="1"/>
  <c r="AY20" i="3" s="1"/>
  <c r="AR56" i="3"/>
  <c r="AW56" i="3" s="1"/>
  <c r="AY56" i="3" s="1"/>
  <c r="AR33" i="3"/>
  <c r="AW33" i="3" s="1"/>
  <c r="AY33" i="3" s="1"/>
  <c r="AR82" i="3"/>
  <c r="AW82" i="3" s="1"/>
  <c r="AY82" i="3" s="1"/>
  <c r="AR24" i="3"/>
  <c r="AW24" i="3" s="1"/>
  <c r="AY24" i="3" s="1"/>
  <c r="AR22" i="3"/>
  <c r="AW22" i="3" s="1"/>
  <c r="AY22" i="3" s="1"/>
  <c r="AR89" i="3"/>
  <c r="AW89" i="3" s="1"/>
  <c r="AY89" i="3" s="1"/>
  <c r="AR42" i="3"/>
  <c r="AW42" i="3" s="1"/>
  <c r="AY42" i="3" s="1"/>
  <c r="AR73" i="3"/>
  <c r="AW73" i="3" s="1"/>
  <c r="AY73" i="3" s="1"/>
  <c r="AR55" i="3"/>
  <c r="AW55" i="3" s="1"/>
  <c r="AY55" i="3" s="1"/>
  <c r="AR94" i="3"/>
  <c r="AW94" i="3" s="1"/>
  <c r="AY94" i="3" s="1"/>
  <c r="AR90" i="3"/>
  <c r="AW90" i="3" s="1"/>
  <c r="AY90" i="3" s="1"/>
  <c r="AR101" i="3"/>
  <c r="AW101" i="3" s="1"/>
  <c r="AY101" i="3" s="1"/>
  <c r="AR13" i="3"/>
  <c r="AR48" i="3"/>
  <c r="AW48" i="3" s="1"/>
  <c r="AY48" i="3" s="1"/>
  <c r="AR61" i="3"/>
  <c r="AW61" i="3" s="1"/>
  <c r="AY61" i="3" s="1"/>
  <c r="AR76" i="3"/>
  <c r="AW76" i="3" s="1"/>
  <c r="AY76" i="3" s="1"/>
  <c r="AR91" i="3"/>
  <c r="AW91" i="3" s="1"/>
  <c r="AY91" i="3" s="1"/>
  <c r="AR41" i="3"/>
  <c r="AW41" i="3" s="1"/>
  <c r="AY41" i="3" s="1"/>
  <c r="AR84" i="3"/>
  <c r="AW84" i="3" s="1"/>
  <c r="AY84" i="3" s="1"/>
  <c r="AR26" i="3"/>
  <c r="AW26" i="3" s="1"/>
  <c r="AY26" i="3" s="1"/>
  <c r="AR27" i="3"/>
  <c r="AR52" i="3"/>
  <c r="AW52" i="3" s="1"/>
  <c r="AY52" i="3" s="1"/>
  <c r="AR62" i="3"/>
  <c r="AW62" i="3" s="1"/>
  <c r="AY62" i="3" s="1"/>
  <c r="AR10" i="3"/>
  <c r="AS20" i="25" l="1"/>
  <c r="AS19" i="25"/>
  <c r="AS24" i="25"/>
  <c r="AS17" i="25"/>
  <c r="AS22" i="25"/>
  <c r="AD5" i="22"/>
  <c r="AF5" i="22"/>
  <c r="AF6" i="22"/>
  <c r="AW103" i="3"/>
  <c r="AY103" i="3" s="1"/>
  <c r="AD6" i="22"/>
  <c r="AA5" i="22"/>
  <c r="AB5" i="22"/>
  <c r="AB6" i="22"/>
  <c r="AG7" i="22" s="1"/>
  <c r="AA6" i="22"/>
  <c r="AW13" i="3"/>
  <c r="AY13" i="3" s="1"/>
  <c r="AS13" i="25" s="1"/>
  <c r="AW27" i="3"/>
  <c r="AY27" i="3" s="1"/>
  <c r="AW10" i="3"/>
  <c r="AY10" i="3" s="1"/>
  <c r="AR60" i="25"/>
  <c r="AR71" i="25"/>
  <c r="AR74" i="25"/>
  <c r="AR35" i="25"/>
  <c r="AR65" i="25"/>
  <c r="AR91" i="25"/>
  <c r="AR47" i="25"/>
  <c r="AR89" i="25"/>
  <c r="AR42" i="25"/>
  <c r="AR38" i="25"/>
  <c r="AR80" i="25"/>
  <c r="AR100" i="25"/>
  <c r="AR97" i="25"/>
  <c r="AR54" i="25"/>
  <c r="AR30" i="25"/>
  <c r="AR99" i="25"/>
  <c r="AR59" i="25"/>
  <c r="AR87" i="25"/>
  <c r="AR70" i="25"/>
  <c r="AR55" i="25"/>
  <c r="AR77" i="25"/>
  <c r="AR76" i="25"/>
  <c r="AR36" i="25"/>
  <c r="AR68" i="25"/>
  <c r="AR63" i="25"/>
  <c r="AR25" i="25"/>
  <c r="AR29" i="25"/>
  <c r="AR96" i="25"/>
  <c r="AR45" i="25"/>
  <c r="AR27" i="25"/>
  <c r="AR40" i="25"/>
  <c r="AR84" i="25"/>
  <c r="AR28" i="25"/>
  <c r="AR98" i="25"/>
  <c r="AR32" i="25"/>
  <c r="AR90" i="25"/>
  <c r="AR44" i="25"/>
  <c r="AR101" i="25"/>
  <c r="AR34" i="25"/>
  <c r="AR37" i="25"/>
  <c r="AR52" i="25"/>
  <c r="AR31" i="25"/>
  <c r="AS53" i="25"/>
  <c r="AR75" i="25"/>
  <c r="AS91" i="25"/>
  <c r="AS90" i="25"/>
  <c r="AS87" i="25"/>
  <c r="AS81" i="25"/>
  <c r="AS102" i="25"/>
  <c r="AR48" i="25"/>
  <c r="AS97" i="25"/>
  <c r="AR103" i="25"/>
  <c r="AS76" i="25"/>
  <c r="AS69" i="25"/>
  <c r="AS64" i="25"/>
  <c r="AR72" i="25"/>
  <c r="AS99" i="25"/>
  <c r="AS47" i="25"/>
  <c r="AS40" i="25"/>
  <c r="AS42" i="25"/>
  <c r="AR41" i="25"/>
  <c r="AR61" i="25"/>
  <c r="AS94" i="25"/>
  <c r="AS72" i="25"/>
  <c r="AS100" i="25"/>
  <c r="AS78" i="25"/>
  <c r="AR57" i="25"/>
  <c r="AR66" i="25"/>
  <c r="AS89" i="25"/>
  <c r="AR33" i="25"/>
  <c r="AS57" i="25"/>
  <c r="AR95" i="25"/>
  <c r="AS37" i="25"/>
  <c r="AS30" i="25"/>
  <c r="AS28" i="25"/>
  <c r="AS39" i="25"/>
  <c r="AS45" i="25"/>
  <c r="AS48" i="25"/>
  <c r="AR85" i="25"/>
  <c r="AR64" i="25"/>
  <c r="AS26" i="25"/>
  <c r="AS38" i="25"/>
  <c r="AS54" i="25"/>
  <c r="AR93" i="25"/>
  <c r="AS51" i="25"/>
  <c r="AS33" i="25"/>
  <c r="AR49" i="25"/>
  <c r="AR83" i="25"/>
  <c r="AS29" i="25"/>
  <c r="AS27" i="25"/>
  <c r="AS56" i="25"/>
  <c r="AR78" i="25"/>
  <c r="AS62" i="25"/>
  <c r="AS70" i="25"/>
  <c r="AS82" i="25"/>
  <c r="AS79" i="25"/>
  <c r="AS52" i="25"/>
  <c r="AR53" i="25"/>
  <c r="AR39" i="25"/>
  <c r="AR26" i="25"/>
  <c r="AR69" i="25"/>
  <c r="AS36" i="25"/>
  <c r="AS88" i="25"/>
  <c r="AS84" i="25"/>
  <c r="AS66" i="25"/>
  <c r="AS68" i="25"/>
  <c r="AS63" i="25"/>
  <c r="AS77" i="25"/>
  <c r="AS83" i="25"/>
  <c r="AS60" i="25"/>
  <c r="AR46" i="25"/>
  <c r="AR50" i="25"/>
  <c r="AS58" i="25"/>
  <c r="AR92" i="25"/>
  <c r="AS80" i="25"/>
  <c r="AS43" i="25"/>
  <c r="AR102" i="25"/>
  <c r="AS55" i="25"/>
  <c r="AS61" i="25"/>
  <c r="AS44" i="25"/>
  <c r="AR81" i="25"/>
  <c r="AS31" i="25"/>
  <c r="AR51" i="25"/>
  <c r="AR88" i="25"/>
  <c r="AS103" i="25"/>
  <c r="AS41" i="25"/>
  <c r="AR67" i="25"/>
  <c r="AR43" i="25"/>
  <c r="AS85" i="25"/>
  <c r="AS98" i="25"/>
  <c r="AS32" i="25"/>
  <c r="AS67" i="25"/>
  <c r="AS50" i="25"/>
  <c r="AS59" i="25"/>
  <c r="AS49" i="25"/>
  <c r="AS101" i="25"/>
  <c r="AS71" i="25"/>
  <c r="AR62" i="25"/>
  <c r="AR73" i="25"/>
  <c r="AS65" i="25"/>
  <c r="AR82" i="25"/>
  <c r="AS75" i="25"/>
  <c r="AS92" i="25"/>
  <c r="AS46" i="25"/>
  <c r="AR79" i="25"/>
  <c r="AS96" i="25"/>
  <c r="AR58" i="25"/>
  <c r="AS93" i="25"/>
  <c r="AR94" i="25"/>
  <c r="AS34" i="25"/>
  <c r="AS74" i="25"/>
  <c r="AS86" i="25"/>
  <c r="AR56" i="25"/>
  <c r="AS35" i="25"/>
  <c r="AR86" i="25"/>
  <c r="AS73" i="25"/>
  <c r="AS95" i="25"/>
  <c r="AX66" i="3"/>
  <c r="AX94" i="3"/>
  <c r="AX48" i="3"/>
  <c r="AX56" i="3"/>
  <c r="AX45" i="3"/>
  <c r="AX55" i="3"/>
  <c r="AX82" i="3"/>
  <c r="AX97" i="3"/>
  <c r="AX83" i="3"/>
  <c r="AX42" i="3"/>
  <c r="AX76" i="3"/>
  <c r="AX19" i="3"/>
  <c r="AX69" i="3"/>
  <c r="AX24" i="3"/>
  <c r="AX26" i="3"/>
  <c r="AX33" i="3"/>
  <c r="AX98" i="3"/>
  <c r="AX62" i="3"/>
  <c r="AX91" i="3"/>
  <c r="AX84" i="3"/>
  <c r="AX89" i="3"/>
  <c r="AX34" i="3"/>
  <c r="AX101" i="3"/>
  <c r="AX75" i="3"/>
  <c r="AX73" i="3"/>
  <c r="AX52" i="3"/>
  <c r="AX61" i="3"/>
  <c r="AX87" i="3"/>
  <c r="AX17" i="3"/>
  <c r="AX31" i="3"/>
  <c r="AX41" i="3"/>
  <c r="AX20" i="3"/>
  <c r="AX90" i="3"/>
  <c r="AX80" i="3"/>
  <c r="AX59" i="3"/>
  <c r="AX38" i="3"/>
  <c r="AS10" i="25" l="1"/>
  <c r="AX103" i="3"/>
  <c r="AX27" i="3"/>
  <c r="AX13" i="3"/>
  <c r="AQ295" i="25"/>
  <c r="AQ293" i="25"/>
  <c r="AR293" i="25"/>
  <c r="AR294" i="25" s="1"/>
  <c r="AG6" i="22"/>
  <c r="G1" i="25"/>
  <c r="F1" i="25"/>
  <c r="AX22" i="3"/>
  <c r="AX10" i="3"/>
  <c r="S1" i="3" l="1"/>
  <c r="U1" i="3" l="1"/>
  <c r="T1" i="3"/>
  <c r="T1" i="25" l="1"/>
  <c r="AP3" i="25"/>
  <c r="AT3" i="25" s="1"/>
  <c r="AV3" i="25" s="1"/>
  <c r="V3" i="3" l="1"/>
  <c r="X3" i="3" s="1"/>
  <c r="Z3" i="3" l="1"/>
  <c r="AB3" i="3" l="1"/>
  <c r="AD3" i="3" l="1"/>
  <c r="AF3" i="3" l="1"/>
  <c r="AH3" i="3" s="1"/>
  <c r="AJ3" i="3" s="1"/>
  <c r="AL3" i="3" s="1"/>
  <c r="AM3" i="3" s="1"/>
  <c r="AS3" i="25"/>
  <c r="AQ3" i="25" l="1"/>
  <c r="AR3" i="25" s="1"/>
  <c r="AR1" i="25" s="1"/>
  <c r="AQ1" i="25" s="1"/>
  <c r="AN3" i="3" l="1"/>
  <c r="BL3" i="3" s="1"/>
  <c r="AQ3" i="3" l="1"/>
  <c r="AQ1" i="3" s="1"/>
  <c r="AS3" i="3" l="1"/>
  <c r="AE4" i="22" s="1"/>
  <c r="AC4" i="22" l="1"/>
  <c r="Z4" i="22"/>
  <c r="AA4" i="22" s="1"/>
  <c r="AR3" i="3"/>
  <c r="AD4" i="22" s="1"/>
  <c r="AS1" i="3"/>
  <c r="AR1" i="3" s="1"/>
  <c r="AB4" i="22" l="1"/>
  <c r="AG5" i="22" s="1"/>
  <c r="Z8" i="22"/>
  <c r="Z9" i="22" s="1"/>
  <c r="AF4" i="22"/>
  <c r="AW3" i="3"/>
  <c r="AY3" i="3" s="1"/>
  <c r="AY1" i="3" s="1"/>
  <c r="AW1" i="3" s="1"/>
  <c r="AN1" i="3"/>
  <c r="AG4" i="22" l="1"/>
  <c r="AB8" i="22"/>
  <c r="AB9" i="22" s="1"/>
  <c r="AA8" i="22"/>
  <c r="AA9" i="22" s="1"/>
  <c r="BL1" i="3"/>
  <c r="AX3" i="3"/>
  <c r="AX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Астахов Максим Александрович</author>
  </authors>
  <commentList>
    <comment ref="U2" authorId="0" shapeId="0" xr:uid="{17394D49-8498-4CB7-B783-63E6AD62E528}">
      <text>
        <r>
          <rPr>
            <b/>
            <sz val="9"/>
            <color indexed="81"/>
            <rFont val="Tahoma"/>
            <family val="2"/>
            <charset val="204"/>
          </rPr>
          <t>Астахов Максим Александрович:</t>
        </r>
        <r>
          <rPr>
            <sz val="9"/>
            <color indexed="81"/>
            <rFont val="Tahoma"/>
            <family val="2"/>
            <charset val="204"/>
          </rPr>
          <t xml:space="preserve">
Лоджии k *0,2
Терасса k *0,7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Астахов Максим Александрович</author>
  </authors>
  <commentList>
    <comment ref="B13" authorId="0" shapeId="0" xr:uid="{CF519131-FE99-4F08-9211-465F151D6CA8}">
      <text>
        <r>
          <rPr>
            <sz val="9"/>
            <color indexed="81"/>
            <rFont val="Tahoma"/>
            <family val="2"/>
            <charset val="204"/>
          </rPr>
          <t>и 13 этаж Подъезд 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Реестр4_1" description="Модель данных" type="5" refreshedVersion="7" minRefreshableVersion="5" saveData="1">
    <dbPr connection="Data Model Connection" command="Реестр4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CA633B15-EDDD-4E04-9C21-BE2B47D30FD4}" keepAlive="1" name="Запрос — Юрист" description="Соединение с запросом &quot;Юрист&quot; в книге." type="5" refreshedVersion="8" background="1" saveData="1">
    <dbPr connection="Provider=Microsoft.Mashup.OleDb.1;Data Source=$Workbook$;Location=Юрист;Extended Properties=&quot;&quot;" command="SELECT * FROM [Юрист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<sst xmlns="http://schemas.openxmlformats.org/spreadsheetml/2006/main" count="4770" uniqueCount="756">
  <si>
    <t>Статус</t>
  </si>
  <si>
    <t>Статусы CRM</t>
  </si>
  <si>
    <t>№</t>
  </si>
  <si>
    <t>Примечание</t>
  </si>
  <si>
    <t>Отделка</t>
  </si>
  <si>
    <t>Стоимость отделки</t>
  </si>
  <si>
    <t>Стоимость квартиры с отделкой</t>
  </si>
  <si>
    <t>Комнатность</t>
  </si>
  <si>
    <t>Всего</t>
  </si>
  <si>
    <t>Черновая</t>
  </si>
  <si>
    <t>Предчистовая</t>
  </si>
  <si>
    <t>Чистовая</t>
  </si>
  <si>
    <t>Стр. Резерв</t>
  </si>
  <si>
    <t>Этаж</t>
  </si>
  <si>
    <t>Секция</t>
  </si>
  <si>
    <t>Тип кв</t>
  </si>
  <si>
    <t>Все</t>
  </si>
  <si>
    <t>Кол-во кв</t>
  </si>
  <si>
    <t>Сумма площадей</t>
  </si>
  <si>
    <t>Общая стоимость ОН</t>
  </si>
  <si>
    <t>Летние</t>
  </si>
  <si>
    <t>Скидка %</t>
  </si>
  <si>
    <t>Сумма отделки</t>
  </si>
  <si>
    <t>еврокухня</t>
  </si>
  <si>
    <t>ванна от 4 кв.м</t>
  </si>
  <si>
    <t>Ванная от 4 кв.м</t>
  </si>
  <si>
    <t>низкий этаж</t>
  </si>
  <si>
    <t>Не угловая</t>
  </si>
  <si>
    <t>Номер на этаже</t>
  </si>
  <si>
    <t>Цена м2 базовая</t>
  </si>
  <si>
    <t>утв цена м2</t>
  </si>
  <si>
    <t>Стоимость ОН без отделки</t>
  </si>
  <si>
    <t>Гардеробная</t>
  </si>
  <si>
    <t>Кухня с лоджией</t>
  </si>
  <si>
    <t>Вид на 2 стороны</t>
  </si>
  <si>
    <t>Стоимость ОН без отделки со скидкой</t>
  </si>
  <si>
    <t>Цена м2 без отделки со скидкой</t>
  </si>
  <si>
    <t>Низкие этажи</t>
  </si>
  <si>
    <t>Не угловая квартира</t>
  </si>
  <si>
    <t>Высокий потолок</t>
  </si>
  <si>
    <t>Панорамное остекление</t>
  </si>
  <si>
    <t>Панорама</t>
  </si>
  <si>
    <t>Базовой K</t>
  </si>
  <si>
    <t>Цена м2 с учетом всех K</t>
  </si>
  <si>
    <t xml:space="preserve"> Кухня больше 14 кв.м</t>
  </si>
  <si>
    <t>Мин ст ОН</t>
  </si>
  <si>
    <t>Кухня</t>
  </si>
  <si>
    <t>Ванная</t>
  </si>
  <si>
    <t>С\У</t>
  </si>
  <si>
    <t>Лоджия 1</t>
  </si>
  <si>
    <t>Лоджия 2</t>
  </si>
  <si>
    <t>Коридор</t>
  </si>
  <si>
    <t>Комната 1</t>
  </si>
  <si>
    <t>Комната 2</t>
  </si>
  <si>
    <t>Комната 3</t>
  </si>
  <si>
    <t>Лоджия 3</t>
  </si>
  <si>
    <t>По типу</t>
  </si>
  <si>
    <t>Вид из окна</t>
  </si>
  <si>
    <t>Название</t>
  </si>
  <si>
    <t>По типу КВ</t>
  </si>
  <si>
    <t>Вид на 3 стороны</t>
  </si>
  <si>
    <t>Средняя цена м2</t>
  </si>
  <si>
    <t>Секции</t>
  </si>
  <si>
    <t>Расчетная проектная площадь</t>
  </si>
  <si>
    <t>Скидка фиксированная</t>
  </si>
  <si>
    <t>Итоговая сумма скидки</t>
  </si>
  <si>
    <t>Стоимость до скидки</t>
  </si>
  <si>
    <t>м2 после К</t>
  </si>
  <si>
    <t>№ на этаже</t>
  </si>
  <si>
    <t>Итого</t>
  </si>
  <si>
    <t>Доля</t>
  </si>
  <si>
    <t>Близость к лифту</t>
  </si>
  <si>
    <t>Лифт</t>
  </si>
  <si>
    <t>Базовые коэфициенты</t>
  </si>
  <si>
    <t>2 С\У</t>
  </si>
  <si>
    <t>2 С/У</t>
  </si>
  <si>
    <t>гардероб</t>
  </si>
  <si>
    <t>Площадь по проекту(общая)</t>
  </si>
  <si>
    <t>Площадь по проекту жилая</t>
  </si>
  <si>
    <t>Площадь по проекту отапл (без летних)</t>
  </si>
  <si>
    <t>Лоджии</t>
  </si>
  <si>
    <t>Подсветка ВЫКЛ</t>
  </si>
  <si>
    <t>Вид</t>
  </si>
  <si>
    <t>Совмещенный</t>
  </si>
  <si>
    <t>Двор</t>
  </si>
  <si>
    <t>2 стороны</t>
  </si>
  <si>
    <t>Кухня лоджия</t>
  </si>
  <si>
    <t>Улица</t>
  </si>
  <si>
    <t>2 СУ</t>
  </si>
  <si>
    <t>3 стороны</t>
  </si>
  <si>
    <t>Угловая</t>
  </si>
  <si>
    <t>Лифт рядом</t>
  </si>
  <si>
    <t>Цена м2 с БK</t>
  </si>
  <si>
    <t>Кухня-гостинная</t>
  </si>
  <si>
    <t>Кухня-Гостинная</t>
  </si>
  <si>
    <t>Большая площадь</t>
  </si>
  <si>
    <t>Большая S</t>
  </si>
  <si>
    <t>Количество</t>
  </si>
  <si>
    <t>% от общего количества</t>
  </si>
  <si>
    <t>Виды</t>
  </si>
  <si>
    <t>Увеличенное остекление</t>
  </si>
  <si>
    <t>ДА</t>
  </si>
  <si>
    <t>УО</t>
  </si>
  <si>
    <t>Отсутсвует лоджия</t>
  </si>
  <si>
    <t>Ср. стоимость ОН</t>
  </si>
  <si>
    <t>Min цена м2</t>
  </si>
  <si>
    <t>Mах цена м2</t>
  </si>
  <si>
    <t>Max ст ОН</t>
  </si>
  <si>
    <r>
      <t xml:space="preserve">Кухни от </t>
    </r>
    <r>
      <rPr>
        <b/>
        <sz val="11"/>
        <color rgb="FFFF0000"/>
        <rFont val="Calibri"/>
        <family val="2"/>
        <charset val="204"/>
        <scheme val="minor"/>
      </rPr>
      <t>12</t>
    </r>
    <r>
      <rPr>
        <sz val="11"/>
        <rFont val="Calibri"/>
        <family val="2"/>
        <charset val="204"/>
        <scheme val="minor"/>
      </rPr>
      <t xml:space="preserve"> до 14 кв м</t>
    </r>
  </si>
  <si>
    <t>18 - 19 этаж</t>
  </si>
  <si>
    <t>2 - 4 этаж</t>
  </si>
  <si>
    <t>Без лоджий</t>
  </si>
  <si>
    <t>Базовая м2</t>
  </si>
  <si>
    <t>Общий К</t>
  </si>
  <si>
    <t>УТП</t>
  </si>
  <si>
    <t>Наценки</t>
  </si>
  <si>
    <t>Дом 402</t>
  </si>
  <si>
    <t>Отрицательные коэфициенты</t>
  </si>
  <si>
    <t>Евро кухни</t>
  </si>
  <si>
    <t>НЕТ</t>
  </si>
  <si>
    <t>Урезанное остекление</t>
  </si>
  <si>
    <t>Урезанное</t>
  </si>
  <si>
    <t>вид на 2</t>
  </si>
  <si>
    <t>вид на 3</t>
  </si>
  <si>
    <t>0,1К - Улица. 2,3К - Двор</t>
  </si>
  <si>
    <t>Наценка к цене м2 (Руб)</t>
  </si>
  <si>
    <t>02.12.2024</t>
  </si>
  <si>
    <t>Фикс 20.12.24</t>
  </si>
  <si>
    <t>Свободно</t>
  </si>
  <si>
    <t>Стоимость CRM</t>
  </si>
  <si>
    <t>проверка стоимости</t>
  </si>
  <si>
    <t>Отделка CRM</t>
  </si>
  <si>
    <t>Проверка отделки</t>
  </si>
  <si>
    <t>Ветеран боевых действий</t>
  </si>
  <si>
    <t xml:space="preserve">Потолок </t>
  </si>
  <si>
    <t>АГ-402-А-02-01-001</t>
  </si>
  <si>
    <t>АГ-402-А-02-02-002</t>
  </si>
  <si>
    <t>АГ-402-А-02-03-003</t>
  </si>
  <si>
    <t>АГ-402-А-02-04-004</t>
  </si>
  <si>
    <t>АГ-402-А-02-05-005</t>
  </si>
  <si>
    <t>АГ-402-А-02-06-006</t>
  </si>
  <si>
    <t>АГ-402-А-03-01-007</t>
  </si>
  <si>
    <t>АГ-402-А-03-02-008</t>
  </si>
  <si>
    <t>АГ-402-А-03-03-009</t>
  </si>
  <si>
    <t>АГ-402-А-03-04-010</t>
  </si>
  <si>
    <t>АГ-402-А-03-05-011</t>
  </si>
  <si>
    <t>АГ-402-А-03-06-012</t>
  </si>
  <si>
    <t>АГ-402-А-04-01-013</t>
  </si>
  <si>
    <t>АГ-402-А-04-02-014</t>
  </si>
  <si>
    <t>АГ-402-А-04-03-015</t>
  </si>
  <si>
    <t>АГ-402-А-04-04-016</t>
  </si>
  <si>
    <t>АГ-402-А-04-05-017</t>
  </si>
  <si>
    <t>АГ-402-А-04-06-018</t>
  </si>
  <si>
    <t>АГ-402-А-05-01-019</t>
  </si>
  <si>
    <t>АГ-402-А-05-02-020</t>
  </si>
  <si>
    <t>АГ-402-А-05-03-021</t>
  </si>
  <si>
    <t>АГ-402-А-05-04-022</t>
  </si>
  <si>
    <t>АГ-402-А-05-05-023</t>
  </si>
  <si>
    <t>АГ-402-А-05-06-024</t>
  </si>
  <si>
    <t>АГ-402-А-06-01-025</t>
  </si>
  <si>
    <t>АГ-402-А-06-02-026</t>
  </si>
  <si>
    <t>АГ-402-А-06-03-027</t>
  </si>
  <si>
    <t>АГ-402-А-06-04-028</t>
  </si>
  <si>
    <t>АГ-402-А-06-05-029</t>
  </si>
  <si>
    <t>АГ-402-А-06-06-030</t>
  </si>
  <si>
    <t>АГ-402-А-07-01-031</t>
  </si>
  <si>
    <t>АГ-402-А-07-02-032</t>
  </si>
  <si>
    <t>АГ-402-А-07-03-033</t>
  </si>
  <si>
    <t>АГ-402-А-07-04-034</t>
  </si>
  <si>
    <t>АГ-402-А-07-05-035</t>
  </si>
  <si>
    <t>АГ-402-А-07-06-036</t>
  </si>
  <si>
    <t>АГ-402-А-08-01-037</t>
  </si>
  <si>
    <t>АГ-402-А-08-02-038</t>
  </si>
  <si>
    <t>АГ-402-А-08-03-039</t>
  </si>
  <si>
    <t>АГ-402-А-08-04-040</t>
  </si>
  <si>
    <t>АГ-402-А-08-05-041</t>
  </si>
  <si>
    <t>АГ-402-А-08-06-042</t>
  </si>
  <si>
    <t>АГ-402-А-09-01-043</t>
  </si>
  <si>
    <t>АГ-402-А-09-02-044</t>
  </si>
  <si>
    <t>АГ-402-А-09-03-045</t>
  </si>
  <si>
    <t>АГ-402-А-09-04-046</t>
  </si>
  <si>
    <t>АГ-402-А-09-05-047</t>
  </si>
  <si>
    <t>АГ-402-А-09-06-048</t>
  </si>
  <si>
    <t>АГ-402-А-10-01-049</t>
  </si>
  <si>
    <t>АГ-402-А-10-02-050</t>
  </si>
  <si>
    <t>АГ-402-А-10-03-051</t>
  </si>
  <si>
    <t>АГ-402-А-10-04-052</t>
  </si>
  <si>
    <t>АГ-402-А-10-05-053</t>
  </si>
  <si>
    <t>АГ-402-А-10-06-054</t>
  </si>
  <si>
    <t>АГ-402-А-11-01-055</t>
  </si>
  <si>
    <t>АГ-402-А-11-02-056</t>
  </si>
  <si>
    <t>АГ-402-А-11-03-057</t>
  </si>
  <si>
    <t>АГ-402-А-11-04-058</t>
  </si>
  <si>
    <t>АГ-402-А-11-05-059</t>
  </si>
  <si>
    <t>АГ-402-А-11-06-060</t>
  </si>
  <si>
    <t>АГ-402-А-12-01-061</t>
  </si>
  <si>
    <t>АГ-402-А-12-02-062</t>
  </si>
  <si>
    <t>АГ-402-А-12-03-063</t>
  </si>
  <si>
    <t>АГ-402-А-12-04-064</t>
  </si>
  <si>
    <t>АГ-402-А-12-05-065</t>
  </si>
  <si>
    <t>АГ-402-А-12-06-066</t>
  </si>
  <si>
    <t>АГ-402-А-13-01-067</t>
  </si>
  <si>
    <t>АГ-402-А-13-02-068</t>
  </si>
  <si>
    <t>АГ-402-А-13-03-069</t>
  </si>
  <si>
    <t>АГ-402-А-13-04-070</t>
  </si>
  <si>
    <t>АГ-402-А-13-05-071</t>
  </si>
  <si>
    <t>АГ-402-А-13-06-072</t>
  </si>
  <si>
    <t>АГ-402-А-14-01-073</t>
  </si>
  <si>
    <t>АГ-402-А-14-02-074</t>
  </si>
  <si>
    <t>АГ-402-А-14-03-075</t>
  </si>
  <si>
    <t>АГ-402-А-14-04-076</t>
  </si>
  <si>
    <t>АГ-402-А-14-05-077</t>
  </si>
  <si>
    <t>АГ-402-А-14-06-078</t>
  </si>
  <si>
    <t>АГ-402-А-15-01-079</t>
  </si>
  <si>
    <t>АГ-402-А-15-02-080</t>
  </si>
  <si>
    <t>АГ-402-А-15-03-081</t>
  </si>
  <si>
    <t>АГ-402-А-15-04-082</t>
  </si>
  <si>
    <t>АГ-402-А-15-05-083</t>
  </si>
  <si>
    <t>АГ-402-А-15-06-084</t>
  </si>
  <si>
    <t>АГ-402-А-16-01-085</t>
  </si>
  <si>
    <t>АГ-402-А-16-02-086</t>
  </si>
  <si>
    <t>АГ-402-А-16-03-087</t>
  </si>
  <si>
    <t>АГ-402-А-16-04-088</t>
  </si>
  <si>
    <t>АГ-402-А-16-05-089</t>
  </si>
  <si>
    <t>АГ-402-А-16-06-090</t>
  </si>
  <si>
    <t>АГ-402-А-17-01-091</t>
  </si>
  <si>
    <t>АГ-402-А-17-02-092</t>
  </si>
  <si>
    <t>АГ-402-А-17-03-093</t>
  </si>
  <si>
    <t>АГ-402-А-17-04-094</t>
  </si>
  <si>
    <t>АГ-402-А-17-05-095</t>
  </si>
  <si>
    <t>АГ-402-А-17-06-096</t>
  </si>
  <si>
    <t>АГ-402-А-18-01-097</t>
  </si>
  <si>
    <t>АГ-402-А-18-02-098</t>
  </si>
  <si>
    <t>АГ-402-А-18-03-099</t>
  </si>
  <si>
    <t>АГ-402-А-18-04-100</t>
  </si>
  <si>
    <t>АГ-402-А-18-05-101</t>
  </si>
  <si>
    <t>АГ-402-А-18-06-102</t>
  </si>
  <si>
    <t>АГ-402-А-19-01-103</t>
  </si>
  <si>
    <t>АГ-402-А-19-02-104</t>
  </si>
  <si>
    <t>АГ-402-А-19-03-105</t>
  </si>
  <si>
    <t>АГ-402-А-19-04-106</t>
  </si>
  <si>
    <t>АГ-402-А-19-05-107</t>
  </si>
  <si>
    <t>АГ-402-А-19-06-108</t>
  </si>
  <si>
    <t>АГ-402-Б-02-01-109</t>
  </si>
  <si>
    <t>АГ-402-Б-02-02-110</t>
  </si>
  <si>
    <t>АГ-402-Б-02-03-111</t>
  </si>
  <si>
    <t>АГ-402-Б-02-04-112</t>
  </si>
  <si>
    <t>АГ-402-Б-02-05-113</t>
  </si>
  <si>
    <t>АГ-402-Б-02-06-114</t>
  </si>
  <si>
    <t>АГ-402-Б-03-01-115</t>
  </si>
  <si>
    <t>АГ-402-Б-03-02-116</t>
  </si>
  <si>
    <t>АГ-402-Б-03-03-117</t>
  </si>
  <si>
    <t>АГ-402-Б-03-04-118</t>
  </si>
  <si>
    <t>АГ-402-Б-03-05-119</t>
  </si>
  <si>
    <t>АГ-402-Б-03-06-120</t>
  </si>
  <si>
    <t>АГ-402-Б-04-01-121</t>
  </si>
  <si>
    <t>АГ-402-Б-04-02-122</t>
  </si>
  <si>
    <t>АГ-402-Б-04-03-123</t>
  </si>
  <si>
    <t>АГ-402-Б-04-04-124</t>
  </si>
  <si>
    <t>АГ-402-Б-04-05-125</t>
  </si>
  <si>
    <t>АГ-402-Б-04-06-126</t>
  </si>
  <si>
    <t>АГ-402-Б-05-01-127</t>
  </si>
  <si>
    <t>АГ-402-Б-05-02-128</t>
  </si>
  <si>
    <t>АГ-402-Б-05-03-129</t>
  </si>
  <si>
    <t>АГ-402-Б-05-04-130</t>
  </si>
  <si>
    <t>АГ-402-Б-05-05-131</t>
  </si>
  <si>
    <t>АГ-402-Б-05-06-132</t>
  </si>
  <si>
    <t>АГ-402-Б-06-01-133</t>
  </si>
  <si>
    <t>АГ-402-Б-06-02-134</t>
  </si>
  <si>
    <t>АГ-402-Б-06-03-135</t>
  </si>
  <si>
    <t>АГ-402-Б-06-04-136</t>
  </si>
  <si>
    <t>АГ-402-Б-06-05-137</t>
  </si>
  <si>
    <t>АГ-402-Б-06-06-138</t>
  </si>
  <si>
    <t>АГ-402-Б-07-01-139</t>
  </si>
  <si>
    <t>АГ-402-Б-07-02-140</t>
  </si>
  <si>
    <t>АГ-402-Б-07-03-141</t>
  </si>
  <si>
    <t>АГ-402-Б-07-04-142</t>
  </si>
  <si>
    <t>АГ-402-Б-07-05-143</t>
  </si>
  <si>
    <t>АГ-402-Б-07-06-144</t>
  </si>
  <si>
    <t>АГ-402-Б-08-01-145</t>
  </si>
  <si>
    <t>АГ-402-Б-08-02-146</t>
  </si>
  <si>
    <t>АГ-402-Б-08-03-147</t>
  </si>
  <si>
    <t>АГ-402-Б-08-04-148</t>
  </si>
  <si>
    <t>АГ-402-Б-08-05-149</t>
  </si>
  <si>
    <t>АГ-402-Б-08-06-150</t>
  </si>
  <si>
    <t>АГ-402-Б-09-01-151</t>
  </si>
  <si>
    <t>АГ-402-Б-09-02-152</t>
  </si>
  <si>
    <t>АГ-402-Б-09-03-153</t>
  </si>
  <si>
    <t>АГ-402-Б-09-04-154</t>
  </si>
  <si>
    <t>АГ-402-Б-09-05-155</t>
  </si>
  <si>
    <t>АГ-402-Б-09-06-156</t>
  </si>
  <si>
    <t>АГ-402-Б-10-01-157</t>
  </si>
  <si>
    <t>АГ-402-Б-10-02-158</t>
  </si>
  <si>
    <t>АГ-402-Б-10-03-159</t>
  </si>
  <si>
    <t>АГ-402-Б-10-04-160</t>
  </si>
  <si>
    <t>АГ-402-Б-10-05-161</t>
  </si>
  <si>
    <t>АГ-402-Б-10-06-162</t>
  </si>
  <si>
    <t>АГ-402-Б-11-01-163</t>
  </si>
  <si>
    <t>АГ-402-Б-11-02-164</t>
  </si>
  <si>
    <t>АГ-402-Б-11-03-165</t>
  </si>
  <si>
    <t>АГ-402-Б-11-04-166</t>
  </si>
  <si>
    <t>АГ-402-Б-11-05-167</t>
  </si>
  <si>
    <t>АГ-402-Б-11-06-168</t>
  </si>
  <si>
    <t>АГ-402-Б-12-01-169</t>
  </si>
  <si>
    <t>АГ-402-Б-12-02-170</t>
  </si>
  <si>
    <t>АГ-402-Б-12-03-171</t>
  </si>
  <si>
    <t>АГ-402-Б-12-04-172</t>
  </si>
  <si>
    <t>АГ-402-Б-12-05-173</t>
  </si>
  <si>
    <t>АГ-402-Б-12-06-174</t>
  </si>
  <si>
    <t>АГ-402-Б-13-01-175</t>
  </si>
  <si>
    <t>АГ-402-Б-13-02-176</t>
  </si>
  <si>
    <t>АГ-402-Б-13-03-177</t>
  </si>
  <si>
    <t>АГ-402-Б-13-04-178</t>
  </si>
  <si>
    <t>АГ-402-Б-13-05-179</t>
  </si>
  <si>
    <t>АГ-402-Б-13-06-180</t>
  </si>
  <si>
    <t>АГ-402-В-02-01-181</t>
  </si>
  <si>
    <t>АГ-402-В-02-02-182</t>
  </si>
  <si>
    <t>АГ-402-В-02-03-183</t>
  </si>
  <si>
    <t>АГ-402-В-02-04-184</t>
  </si>
  <si>
    <t>АГ-402-В-02-05-185</t>
  </si>
  <si>
    <t>АГ-402-В-02-06-186</t>
  </si>
  <si>
    <t>АГ-402-В-03-01-187</t>
  </si>
  <si>
    <t>АГ-402-В-03-02-188</t>
  </si>
  <si>
    <t>АГ-402-В-03-03-189</t>
  </si>
  <si>
    <t>АГ-402-В-03-04-190</t>
  </si>
  <si>
    <t>АГ-402-В-03-05-191</t>
  </si>
  <si>
    <t>АГ-402-В-03-06-192</t>
  </si>
  <si>
    <t>АГ-402-В-04-01-193</t>
  </si>
  <si>
    <t>АГ-402-В-04-02-194</t>
  </si>
  <si>
    <t>АГ-402-В-04-03-195</t>
  </si>
  <si>
    <t>АГ-402-В-04-04-196</t>
  </si>
  <si>
    <t>АГ-402-В-04-05-197</t>
  </si>
  <si>
    <t>АГ-402-В-04-06-198</t>
  </si>
  <si>
    <t>АГ-402-В-05-01-199</t>
  </si>
  <si>
    <t>АГ-402-В-05-02-200</t>
  </si>
  <si>
    <t>АГ-402-В-05-03-201</t>
  </si>
  <si>
    <t>АГ-402-В-05-04-202</t>
  </si>
  <si>
    <t>АГ-402-В-05-05-203</t>
  </si>
  <si>
    <t>АГ-402-В-05-06-204</t>
  </si>
  <si>
    <t>АГ-402-В-06-01-205</t>
  </si>
  <si>
    <t>АГ-402-В-06-02-206</t>
  </si>
  <si>
    <t>АГ-402-В-06-03-207</t>
  </si>
  <si>
    <t>АГ-402-В-06-04-208</t>
  </si>
  <si>
    <t>АГ-402-В-06-05-209</t>
  </si>
  <si>
    <t>АГ-402-В-06-06-210</t>
  </si>
  <si>
    <t>АГ-402-В-07-01-211</t>
  </si>
  <si>
    <t>АГ-402-В-07-02-212</t>
  </si>
  <si>
    <t>АГ-402-В-07-03-213</t>
  </si>
  <si>
    <t>АГ-402-В-07-04-214</t>
  </si>
  <si>
    <t>АГ-402-В-07-05-215</t>
  </si>
  <si>
    <t>АГ-402-В-07-06-216</t>
  </si>
  <si>
    <t>АГ-402-В-08-01-217</t>
  </si>
  <si>
    <t>АГ-402-В-08-02-218</t>
  </si>
  <si>
    <t>АГ-402-В-08-03-219</t>
  </si>
  <si>
    <t>АГ-402-В-08-04-220</t>
  </si>
  <si>
    <t>АГ-402-В-08-05-221</t>
  </si>
  <si>
    <t>АГ-402-В-08-06-222</t>
  </si>
  <si>
    <t>АГ-402-В-09-01-223</t>
  </si>
  <si>
    <t>АГ-402-В-09-02-224</t>
  </si>
  <si>
    <t>АГ-402-В-09-03-225</t>
  </si>
  <si>
    <t>АГ-402-В-09-04-226</t>
  </si>
  <si>
    <t>АГ-402-В-09-05-227</t>
  </si>
  <si>
    <t>АГ-402-В-09-06-228</t>
  </si>
  <si>
    <t>АГ-402-В-10-01-229</t>
  </si>
  <si>
    <t>АГ-402-В-10-02-230</t>
  </si>
  <si>
    <t>АГ-402-В-10-03-231</t>
  </si>
  <si>
    <t>АГ-402-В-10-04-232</t>
  </si>
  <si>
    <t>АГ-402-В-10-05-233</t>
  </si>
  <si>
    <t>АГ-402-В-10-06-234</t>
  </si>
  <si>
    <t>АГ-402-В-11-01-235</t>
  </si>
  <si>
    <t>АГ-402-В-11-02-236</t>
  </si>
  <si>
    <t>АГ-402-В-11-03-237</t>
  </si>
  <si>
    <t>АГ-402-В-11-04-238</t>
  </si>
  <si>
    <t>АГ-402-В-11-05-239</t>
  </si>
  <si>
    <t>АГ-402-В-11-06-240</t>
  </si>
  <si>
    <t>АГ-402-В-12-01-241</t>
  </si>
  <si>
    <t>АГ-402-В-12-02-242</t>
  </si>
  <si>
    <t>АГ-402-В-12-03-243</t>
  </si>
  <si>
    <t>АГ-402-В-12-04-244</t>
  </si>
  <si>
    <t>АГ-402-В-12-05-245</t>
  </si>
  <si>
    <t>АГ-402-В-12-06-246</t>
  </si>
  <si>
    <t>АГ-402-В-13-01-247</t>
  </si>
  <si>
    <t>АГ-402-В-13-02-248</t>
  </si>
  <si>
    <t>АГ-402-В-13-03-249</t>
  </si>
  <si>
    <t>АГ-402-В-13-04-250</t>
  </si>
  <si>
    <t>АГ-402-В-13-05-251</t>
  </si>
  <si>
    <t>АГ-402-В-13-06-252</t>
  </si>
  <si>
    <t>АГ-402-В-14-01-253</t>
  </si>
  <si>
    <t>АГ-402-В-14-02-254</t>
  </si>
  <si>
    <t>АГ-402-В-14-03-255</t>
  </si>
  <si>
    <t>АГ-402-В-14-04-256</t>
  </si>
  <si>
    <t>АГ-402-В-14-05-257</t>
  </si>
  <si>
    <t>АГ-402-В-14-06-258</t>
  </si>
  <si>
    <t>АГ-402-В-15-01-259</t>
  </si>
  <si>
    <t>АГ-402-В-15-02-260</t>
  </si>
  <si>
    <t>АГ-402-В-15-03-261</t>
  </si>
  <si>
    <t>АГ-402-В-15-04-262</t>
  </si>
  <si>
    <t>АГ-402-В-15-05-263</t>
  </si>
  <si>
    <t>АГ-402-В-15-06-264</t>
  </si>
  <si>
    <t>АГ-402-В-16-01-265</t>
  </si>
  <si>
    <t>АГ-402-В-16-02-266</t>
  </si>
  <si>
    <t>АГ-402-В-16-03-267</t>
  </si>
  <si>
    <t>АГ-402-В-16-04-268</t>
  </si>
  <si>
    <t>АГ-402-В-16-05-269</t>
  </si>
  <si>
    <t>АГ-402-В-16-06-270</t>
  </si>
  <si>
    <t>АГ-402-В-17-01-271</t>
  </si>
  <si>
    <t>АГ-402-В-17-02-272</t>
  </si>
  <si>
    <t>АГ-402-В-17-03-273</t>
  </si>
  <si>
    <t>АГ-402-В-17-04-274</t>
  </si>
  <si>
    <t>АГ-402-В-17-05-275</t>
  </si>
  <si>
    <t>АГ-402-В-17-06-276</t>
  </si>
  <si>
    <t>АГ-402-В-18-01-277</t>
  </si>
  <si>
    <t>АГ-402-В-18-02-278</t>
  </si>
  <si>
    <t>АГ-402-В-18-03-279</t>
  </si>
  <si>
    <t>АГ-402-В-18-04-280</t>
  </si>
  <si>
    <t>АГ-402-В-18-05-281</t>
  </si>
  <si>
    <t>АГ-402-В-18-06-282</t>
  </si>
  <si>
    <t>АГ-402-В-19-01-283</t>
  </si>
  <si>
    <t>АГ-402-В-19-02-284</t>
  </si>
  <si>
    <t>АГ-402-В-19-03-285</t>
  </si>
  <si>
    <t>АГ-402-В-19-04-286</t>
  </si>
  <si>
    <t>АГ-402-В-19-05-287</t>
  </si>
  <si>
    <t>АГ-402-В-19-06-288</t>
  </si>
  <si>
    <t>КОД ОН</t>
  </si>
  <si>
    <t>Скидка для иногородних</t>
  </si>
  <si>
    <t>Скидка с елки</t>
  </si>
  <si>
    <t>Продажа</t>
  </si>
  <si>
    <t>Фикс 23.12.24</t>
  </si>
  <si>
    <t>23.12.24 СП +1000</t>
  </si>
  <si>
    <t>Первичка тест</t>
  </si>
  <si>
    <t>Столбец1</t>
  </si>
  <si>
    <t>Аллио</t>
  </si>
  <si>
    <t>Серебряный возраст</t>
  </si>
  <si>
    <t>Скидка инвестору</t>
  </si>
  <si>
    <t>White Box</t>
  </si>
  <si>
    <t>Многодетная семья</t>
  </si>
  <si>
    <t>Скидка иногородним</t>
  </si>
  <si>
    <t>Индивидуальная скидка</t>
  </si>
  <si>
    <t>Повышение 20.02.25</t>
  </si>
  <si>
    <t>Фикс 20.02.25</t>
  </si>
  <si>
    <t>Повышение 24.02.2025</t>
  </si>
  <si>
    <t>Фикс 24.02.25</t>
  </si>
  <si>
    <t>Скидка для военнослужащих</t>
  </si>
  <si>
    <t>кол-во</t>
  </si>
  <si>
    <t>Дата подачи на регистрацию</t>
  </si>
  <si>
    <t>№ договора</t>
  </si>
  <si>
    <t>Схема продажи</t>
  </si>
  <si>
    <t>СЭР\МФЦ</t>
  </si>
  <si>
    <t>Способ регистрации</t>
  </si>
  <si>
    <t>Дата регистрации МФЦ (план)</t>
  </si>
  <si>
    <t>Дата регистрации МФЦ\СЭР</t>
  </si>
  <si>
    <t>Все участники сделки</t>
  </si>
  <si>
    <t>Дом</t>
  </si>
  <si>
    <t>№ кв</t>
  </si>
  <si>
    <t>S</t>
  </si>
  <si>
    <t xml:space="preserve">Отделка </t>
  </si>
  <si>
    <t>Сумма договора</t>
  </si>
  <si>
    <t>Цена м2</t>
  </si>
  <si>
    <t>Платная бронь</t>
  </si>
  <si>
    <t>Итоговая стоимость с отделкой</t>
  </si>
  <si>
    <t>Итоговая цена м2 с отделкой</t>
  </si>
  <si>
    <t>Итоговая стоимость без отделки</t>
  </si>
  <si>
    <t>Итоговая цена м2 без отделки</t>
  </si>
  <si>
    <t>Акция\скидка</t>
  </si>
  <si>
    <t>Сумма скидки</t>
  </si>
  <si>
    <t>Вариант оплаты</t>
  </si>
  <si>
    <t>Банк</t>
  </si>
  <si>
    <t>Собственные средства</t>
  </si>
  <si>
    <t>Кредитные средства</t>
  </si>
  <si>
    <t>МСК</t>
  </si>
  <si>
    <t>ЖСК</t>
  </si>
  <si>
    <t>РВИ</t>
  </si>
  <si>
    <t>Программа кредитования</t>
  </si>
  <si>
    <t>Скидка по Гос. программе</t>
  </si>
  <si>
    <t>Ставка Гос. Программы</t>
  </si>
  <si>
    <t>% комиссии</t>
  </si>
  <si>
    <t>сумма комиссии</t>
  </si>
  <si>
    <t>Основной клиент</t>
  </si>
  <si>
    <t>Мобильный телефон</t>
  </si>
  <si>
    <t>Пол</t>
  </si>
  <si>
    <t>Дата рождения</t>
  </si>
  <si>
    <t>Гражданство</t>
  </si>
  <si>
    <t>Тип удостоверения личности</t>
  </si>
  <si>
    <t>Серия</t>
  </si>
  <si>
    <t>Номер</t>
  </si>
  <si>
    <t>Дата выдачи</t>
  </si>
  <si>
    <t>Код под-ния</t>
  </si>
  <si>
    <t>Документ выдан</t>
  </si>
  <si>
    <t>Адрес регистрации</t>
  </si>
  <si>
    <t>Адрес для корреспонденции</t>
  </si>
  <si>
    <t>ИНН</t>
  </si>
  <si>
    <t>СНИЛС</t>
  </si>
  <si>
    <t>Электронная почта</t>
  </si>
  <si>
    <t>Источник рекламы</t>
  </si>
  <si>
    <t>МОП</t>
  </si>
  <si>
    <t>ИМ</t>
  </si>
  <si>
    <t>Тип договора</t>
  </si>
  <si>
    <t>Дата расторжения\уступки</t>
  </si>
  <si>
    <t>402/3-17/272</t>
  </si>
  <si>
    <t>ДДУ</t>
  </si>
  <si>
    <t>СЭР</t>
  </si>
  <si>
    <t>Метр квадратный</t>
  </si>
  <si>
    <t xml:space="preserve">Филиппов Алексей Николаевич            </t>
  </si>
  <si>
    <t>4 Квартал Дом 2</t>
  </si>
  <si>
    <t>3</t>
  </si>
  <si>
    <t>Рассрочка</t>
  </si>
  <si>
    <t/>
  </si>
  <si>
    <t>Филиппов Алексей Николаевич</t>
  </si>
  <si>
    <t>Мужской</t>
  </si>
  <si>
    <t>РФ</t>
  </si>
  <si>
    <t>Паспорт РФ</t>
  </si>
  <si>
    <t>630-032</t>
  </si>
  <si>
    <t>ГУ МВД России по Самарской области</t>
  </si>
  <si>
    <t>Самарская обл., Волжский район, пгт. Рощинский</t>
  </si>
  <si>
    <t>Самарская обл., Волжский район, пгт. Рощинский, ул.</t>
  </si>
  <si>
    <t>160-367-964 75</t>
  </si>
  <si>
    <t>Gabbasova_yelena@mail.ru</t>
  </si>
  <si>
    <t>16.1 Повторное обращение</t>
  </si>
  <si>
    <t>Дик</t>
  </si>
  <si>
    <t>402/3-17/271</t>
  </si>
  <si>
    <t>Домклик</t>
  </si>
  <si>
    <t xml:space="preserve">Богатова Ольга Александровна            </t>
  </si>
  <si>
    <t>Богатова Ольга Александровна</t>
  </si>
  <si>
    <t>Женский</t>
  </si>
  <si>
    <t>632-002</t>
  </si>
  <si>
    <t>Управлением внутренних дел Советского района города Самары</t>
  </si>
  <si>
    <t>443030, Самарская обл., г. Самара, ул. Буянова, д. 131/89, кв. 60</t>
  </si>
  <si>
    <t>020-756-148 25</t>
  </si>
  <si>
    <t>rex_samara@mail.ru</t>
  </si>
  <si>
    <t>11.1 Интернет</t>
  </si>
  <si>
    <t>402/3-14/255</t>
  </si>
  <si>
    <t xml:space="preserve">Каргина Виктория Игоревна            </t>
  </si>
  <si>
    <t>Каргина Виктория Игоревна</t>
  </si>
  <si>
    <t>630-002</t>
  </si>
  <si>
    <t xml:space="preserve">ГУ МВД России по Самарской области </t>
  </si>
  <si>
    <t>443067, Самарская обл., г. Самара, пр-д Средний, д. 30</t>
  </si>
  <si>
    <t>Самарская обл., г. Самара, пр-д Средний, д. 30</t>
  </si>
  <si>
    <t>170-876-159 93</t>
  </si>
  <si>
    <t>vsb125240@gmail.com</t>
  </si>
  <si>
    <t>15.1 Нет ответа</t>
  </si>
  <si>
    <t>Никишов</t>
  </si>
  <si>
    <t>402/1-06/029</t>
  </si>
  <si>
    <t xml:space="preserve">Санталова Ольга Олеговна            </t>
  </si>
  <si>
    <t>1</t>
  </si>
  <si>
    <t xml:space="preserve">Скидка иногородним </t>
  </si>
  <si>
    <t>Санталова Ольга Олеговна</t>
  </si>
  <si>
    <t>640-004</t>
  </si>
  <si>
    <t xml:space="preserve">ГУ МВД России по Саратовской области </t>
  </si>
  <si>
    <t>443543, Самарская обл., Волжский р-н., с. Лопатино, п. Придорожный, мкр. Южный город, ул. Алабина, д. 36, кв. 200</t>
  </si>
  <si>
    <t>Самарская обл., Волжский р-н., с. Лопатино, п. Придорожный, мкр. Южный город, ул. Алабина, д. 36, кв. 200</t>
  </si>
  <si>
    <t>225-219-292 47</t>
  </si>
  <si>
    <t>olya_sant@mail.ru</t>
  </si>
  <si>
    <t>32. АН - ИП Филимонова</t>
  </si>
  <si>
    <t>Полехович</t>
  </si>
  <si>
    <t>402/1-09/047</t>
  </si>
  <si>
    <t xml:space="preserve">Котович Илья Сергеевич            </t>
  </si>
  <si>
    <t>Котович Илья Сергеевич</t>
  </si>
  <si>
    <t>Российская Федерация</t>
  </si>
  <si>
    <t>630-043</t>
  </si>
  <si>
    <t>Отделением УФМС России по Самарской области в Кинельском районе</t>
  </si>
  <si>
    <t>Самарская обл. р-н Волжский, п. Придорожный, мкр. Южный город, ул. Николаевский пр., дом 31 кв 83</t>
  </si>
  <si>
    <t>158-950-811 09</t>
  </si>
  <si>
    <t>kotovich.i163@gmail.com</t>
  </si>
  <si>
    <t>Нуждина</t>
  </si>
  <si>
    <t>402/3-10/230</t>
  </si>
  <si>
    <t xml:space="preserve">Смеловская Елена Сергеевна            </t>
  </si>
  <si>
    <t>Смеловская Елена Сергеевна</t>
  </si>
  <si>
    <t>630-018</t>
  </si>
  <si>
    <t>446218, Самарская обл., г. Новокуйбышевск, пр-кт Победы, д. 38а, кв 98</t>
  </si>
  <si>
    <t>048-030-188 29</t>
  </si>
  <si>
    <t>SmelovskyaES@aoekza.ru</t>
  </si>
  <si>
    <t>402/1-11/055</t>
  </si>
  <si>
    <t xml:space="preserve">Цой Сергей Александрович            </t>
  </si>
  <si>
    <t>Цой Сергей Александрович</t>
  </si>
  <si>
    <t>443058, Самарская обл., г. Самара, ул. Средне-Садовая, д. 16, кв. 61</t>
  </si>
  <si>
    <t>169-528-901 18</t>
  </si>
  <si>
    <t>sergalets@gmail.com</t>
  </si>
  <si>
    <t>42. АН - ДомКлик</t>
  </si>
  <si>
    <t>402/3-04/194</t>
  </si>
  <si>
    <t xml:space="preserve">Керосиров Дмитрий Николаевич            </t>
  </si>
  <si>
    <t>Керосиров Дмитрий Николаевич</t>
  </si>
  <si>
    <t>630-030</t>
  </si>
  <si>
    <t>ТЕРРИТОРИАЛЬНЫМ ПУНКТОМ УФМС РОССИИ ПО САМАРСКОЙ ОБЛАСТИ В ПЕСТРАВСКОМ РАЙОНЕ</t>
  </si>
  <si>
    <t>446172, Самараская обл., Пестравский р-он, с. Марьевка, ул. Куйбышева, д. 132</t>
  </si>
  <si>
    <t>158-763-973 31</t>
  </si>
  <si>
    <t>roman0va.al3na@yandex.ru</t>
  </si>
  <si>
    <t>402/3-07/213</t>
  </si>
  <si>
    <t xml:space="preserve">Циммерман Алена Викторовна            </t>
  </si>
  <si>
    <t>Циммерман Алена Викторовна</t>
  </si>
  <si>
    <t>443047, Самарская область, г. Самара, ул. Восстания, д. 68А</t>
  </si>
  <si>
    <t>208-307-410 33</t>
  </si>
  <si>
    <t>c_alena@list.ru</t>
  </si>
  <si>
    <t>02.2 Рекомендации - Жители</t>
  </si>
  <si>
    <t>402/1-13/071</t>
  </si>
  <si>
    <t xml:space="preserve">Семенов Виктор Алексеевич; Семенова Евгения Павловна         </t>
  </si>
  <si>
    <t>Семенова Евгения Павловна</t>
  </si>
  <si>
    <t>630-011</t>
  </si>
  <si>
    <t>443013, Самарская обл., г. Самара, пр-кт Карла Маркса, д. 22, кв. 81</t>
  </si>
  <si>
    <t>138-759-621 13</t>
  </si>
  <si>
    <t>Kungurtcevaevgenya@gmail.com</t>
  </si>
  <si>
    <t>402/3-09/223</t>
  </si>
  <si>
    <t xml:space="preserve">Халитов Ленар Искендерович            </t>
  </si>
  <si>
    <t>Халитов Ленар Искендерович</t>
  </si>
  <si>
    <t>443074, Самарская обл., г. Самара, ул. Мориса Тореза д. 105А, кв. 14</t>
  </si>
  <si>
    <t>076-844-827 15</t>
  </si>
  <si>
    <t>Lenarkhalitov116@mail.ru</t>
  </si>
  <si>
    <t>402/1-11/059</t>
  </si>
  <si>
    <t xml:space="preserve">Пешкина Юлия Константиновна            </t>
  </si>
  <si>
    <t>Пешкина Юлия Константиновна</t>
  </si>
  <si>
    <t>630-005</t>
  </si>
  <si>
    <t>443093, Самарская область, г. Самара, ул. Мориса Тореза, д. 5, кв. 42</t>
  </si>
  <si>
    <t>162-392-742 72</t>
  </si>
  <si>
    <t>kovaleva.yuk@yandex.ru</t>
  </si>
  <si>
    <t>43. АН - ПГР</t>
  </si>
  <si>
    <t>402/2-06/138</t>
  </si>
  <si>
    <t xml:space="preserve">Романова Елена Николаевна            </t>
  </si>
  <si>
    <t>2</t>
  </si>
  <si>
    <t>Романова Елена Николаевна</t>
  </si>
  <si>
    <t>446435, Самарская обл., г. Кинель, СНТ СДТ ПМК-4 (Лебедь), ул. Рябиновая, уч-к 9</t>
  </si>
  <si>
    <t>206-953-264 72</t>
  </si>
  <si>
    <t>a88karaganda@mail.ru</t>
  </si>
  <si>
    <t>402/3-12/242</t>
  </si>
  <si>
    <t xml:space="preserve">Протопопова Полина Алексеевна            </t>
  </si>
  <si>
    <t>Протопопова Полина Алексеевна</t>
  </si>
  <si>
    <t>630-015</t>
  </si>
  <si>
    <t>443079, Самарская обл., г.Самара, ул. Революционная, д. 101В, корп.2, кв. 111</t>
  </si>
  <si>
    <t>163-269-658 91</t>
  </si>
  <si>
    <t>Polya.protopopova@yandex.ru</t>
  </si>
  <si>
    <t>402/3-11/235</t>
  </si>
  <si>
    <t xml:space="preserve">Баландова Галина Борисовна; Халитов Ленар Искендерович         </t>
  </si>
  <si>
    <t>402/3-06/206</t>
  </si>
  <si>
    <t xml:space="preserve">Климов Евгений Евгеньевич            </t>
  </si>
  <si>
    <t>Климов Евгений Евгеньевич</t>
  </si>
  <si>
    <t>632-007</t>
  </si>
  <si>
    <t>Управлением внутренних дел города Сызрани Самарской области</t>
  </si>
  <si>
    <t>446012, Самарская обл., г. Сызрань, ул. Ключевая, д. 19</t>
  </si>
  <si>
    <t>141-693-478 74</t>
  </si>
  <si>
    <t>evgeniy_klimov_1952@mail.ru</t>
  </si>
  <si>
    <t>02.5 Рекомендации - Знакомые</t>
  </si>
  <si>
    <t>402/1-10/053</t>
  </si>
  <si>
    <t xml:space="preserve">Усеинов Руслан Рустемович; Усеинова Алсу Фаридовна         </t>
  </si>
  <si>
    <t>Усеинов Руслан Рустемович</t>
  </si>
  <si>
    <t>446666, Самарская обл., Борский р-н, п. Новоборский, ул. Нефтяников, д.42, кв.2</t>
  </si>
  <si>
    <t>121-168-428 23</t>
  </si>
  <si>
    <t>useinova16@yandex.ru</t>
  </si>
  <si>
    <t>06.2 Агрегаторы - Авито</t>
  </si>
  <si>
    <t>402/3-15/261</t>
  </si>
  <si>
    <t xml:space="preserve">Леонгард Таисия Алексеевна            </t>
  </si>
  <si>
    <t>Леонгард Таисия Алексеевна</t>
  </si>
  <si>
    <t>630-010</t>
  </si>
  <si>
    <t>660125, Красноярский край, г. Красноярск, ул. Урванцева, д. 33, кв. 95</t>
  </si>
  <si>
    <t>156-447-330 77</t>
  </si>
  <si>
    <t>tayssh@mail.ru</t>
  </si>
  <si>
    <t>402/1-15/079</t>
  </si>
  <si>
    <t xml:space="preserve"> Латыпова Ольга Алексеевна</t>
  </si>
  <si>
    <t>Латыпова Ольга Алексеевна</t>
  </si>
  <si>
    <t>ОТДЕЛОМ УФМС РОССИИ ПО САМАРСКОЙ ОБЛАСТИ В ПРОМЫШЛЕННОМ РАЙОНЕ ГОР. САМАРЫ</t>
  </si>
  <si>
    <t>443080, Самарская обл.,, г. Самара ул. Прожекторная/Ракитная д 5/17</t>
  </si>
  <si>
    <t>144-953-691 96</t>
  </si>
  <si>
    <t>Ollatypova@yandex.ru</t>
  </si>
  <si>
    <t>36. АН - ГК Самолет</t>
  </si>
  <si>
    <t>Арефьев</t>
  </si>
  <si>
    <t>402/2-10/157</t>
  </si>
  <si>
    <t xml:space="preserve"> Вилков Кирилл Александрович</t>
  </si>
  <si>
    <t>Вилков Кирилл Александрович</t>
  </si>
  <si>
    <t>443087, Самарская обл., г. Самара, ул. Московское шоссе, д. 179, кв. 25</t>
  </si>
  <si>
    <t>140-634-880 47</t>
  </si>
  <si>
    <t>Rom369@mail.ru</t>
  </si>
  <si>
    <t>402/2-10/158</t>
  </si>
  <si>
    <t>402/3-07/211</t>
  </si>
  <si>
    <t xml:space="preserve"> Шевчук Татьяна Алексеевна</t>
  </si>
  <si>
    <t>Шевчук Татьяна Алексеевна</t>
  </si>
  <si>
    <t>443084, Самарская обл., г. Самара, ул. Ново-вокзальная, д. 215, кв. 183</t>
  </si>
  <si>
    <t>182-376-282 87</t>
  </si>
  <si>
    <t>Tatyana.gorchkova@mail.ru</t>
  </si>
  <si>
    <t>402/1-07/035</t>
  </si>
  <si>
    <t xml:space="preserve"> Колчина Светлана Алексеевна</t>
  </si>
  <si>
    <t>Колчина Светлана Алексеевна</t>
  </si>
  <si>
    <t>642-022</t>
  </si>
  <si>
    <t>отделом внутренних дел Ивантеевского района Саратовской области</t>
  </si>
  <si>
    <t>413953, Саратовская обл. Ивантеевский р-н, с. Николаевка, ул. Молодежная д. 28</t>
  </si>
  <si>
    <t>079-803-954 18</t>
  </si>
  <si>
    <t>s.kolchina@yandex.ru</t>
  </si>
  <si>
    <t>402/3-14/254</t>
  </si>
  <si>
    <t xml:space="preserve"> Жлуктов Андрей Владимирович</t>
  </si>
  <si>
    <t>Жлуктов Андрей Владимирович</t>
  </si>
  <si>
    <t>630-020</t>
  </si>
  <si>
    <t>446290, Самарская обл., Большечерниговский районе, с. Большая Черниговка, ул. Лесная, д.16, кв. 2</t>
  </si>
  <si>
    <t>142-629-605 59</t>
  </si>
  <si>
    <t>b4d63rus@gmail.com</t>
  </si>
  <si>
    <t>12.1 Объект - Стройка</t>
  </si>
  <si>
    <t>402/3-17/273</t>
  </si>
  <si>
    <t xml:space="preserve"> Соколов Александр Викторович</t>
  </si>
  <si>
    <t>Соколов Александр Викторович</t>
  </si>
  <si>
    <t>632-021</t>
  </si>
  <si>
    <t>Отделом внутренних дел гор. Похвистенво Самарской области</t>
  </si>
  <si>
    <t>446402, Самарская обл., Кинельский район, с. Сырейка ул. Подлесная, д.24</t>
  </si>
  <si>
    <t>113-051-503 85</t>
  </si>
  <si>
    <t>Sokolov077@yandex.ru</t>
  </si>
  <si>
    <t>05.3 Соцсети - ВКонтакте</t>
  </si>
  <si>
    <t>402/1-14/077</t>
  </si>
  <si>
    <t xml:space="preserve"> Маркова Марина Евгеньевна</t>
  </si>
  <si>
    <t>Маркова Марина Евгеньевна</t>
  </si>
  <si>
    <t>443099, Самарская обл., г. Самара, ул. Максима Горького, д. 64, кв.23</t>
  </si>
  <si>
    <t>135-728-486 85</t>
  </si>
  <si>
    <t>ypmarkova@mail.ru</t>
  </si>
  <si>
    <t xml:space="preserve">Повышение 05.03.2025
1К: до 40м - 1,5%, 40+ 0,5%
2К - 0,5% </t>
  </si>
  <si>
    <t>Инвестор</t>
  </si>
  <si>
    <t>индивидуальная скидка</t>
  </si>
  <si>
    <t>повышение 14.03.25 1К-1%</t>
  </si>
  <si>
    <t>Фикс 14.03.25</t>
  </si>
  <si>
    <t>Фикс 05.03.25</t>
  </si>
  <si>
    <t>повышение 28.03.25 1К-1%</t>
  </si>
  <si>
    <t>Фикс 28.03.25</t>
  </si>
  <si>
    <t>Акция для врачей</t>
  </si>
  <si>
    <t>Скидка для учителей</t>
  </si>
  <si>
    <t>Скидка участникам СВО</t>
  </si>
  <si>
    <t>нет</t>
  </si>
  <si>
    <t>Белая</t>
  </si>
  <si>
    <t>Акция для учителей</t>
  </si>
  <si>
    <t>Темный</t>
  </si>
  <si>
    <t>Яркий</t>
  </si>
  <si>
    <t>Светлый</t>
  </si>
  <si>
    <t>отделка</t>
  </si>
  <si>
    <t>Подъезд</t>
  </si>
  <si>
    <t>ТИП ОН</t>
  </si>
  <si>
    <t>Общий итог</t>
  </si>
  <si>
    <t>402 дом</t>
  </si>
  <si>
    <t xml:space="preserve"> </t>
  </si>
  <si>
    <t>Тип ОН</t>
  </si>
  <si>
    <t>Тип отделки</t>
  </si>
  <si>
    <t>Фикс 23.07.25</t>
  </si>
  <si>
    <t xml:space="preserve">Повышение 23.07.25
1К 43-46м2 - 2%
2К 55-58 - 2%; 58-64 - 3%
3К 76-79 - 2%
</t>
  </si>
  <si>
    <t>Цена м2 с отделкой</t>
  </si>
  <si>
    <t>Статус ALLIO</t>
  </si>
  <si>
    <t>Тип брони</t>
  </si>
  <si>
    <t>Название объекта</t>
  </si>
  <si>
    <t>Макрорайон «Амград» 4 очередь 2 корпус</t>
  </si>
  <si>
    <t>в резерве</t>
  </si>
  <si>
    <t>Корпоративная</t>
  </si>
  <si>
    <t>свободна</t>
  </si>
  <si>
    <t>продана</t>
  </si>
  <si>
    <t>Тип площади</t>
  </si>
  <si>
    <t>С</t>
  </si>
  <si>
    <t>2Е</t>
  </si>
  <si>
    <t>1Е</t>
  </si>
  <si>
    <t>1К</t>
  </si>
  <si>
    <t>2К</t>
  </si>
  <si>
    <t>3К</t>
  </si>
  <si>
    <t>—</t>
  </si>
  <si>
    <t>ТС</t>
  </si>
  <si>
    <t>ПС</t>
  </si>
  <si>
    <t>ДС</t>
  </si>
  <si>
    <t>Проверка</t>
  </si>
  <si>
    <t>Гарантированная</t>
  </si>
  <si>
    <t>Гарантированная бронь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</si>
</sst>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₽_-;\-* #,##0.00\ _₽_-;_-* &quot;-&quot;??\ _₽_-;_-@_-"/>
    <numFmt numFmtId="165" formatCode="_-* #,##0_-;\-* #,##0_-;_-* &quot;-&quot;??_-;_-@_-"/>
    <numFmt numFmtId="166" formatCode="#,##0_ ;\-#,##0\ "/>
    <numFmt numFmtId="167" formatCode="dd/mm/yy;@"/>
    <numFmt numFmtId="168" formatCode="#,##0.00_ ;\-#,##0.00\ "/>
    <numFmt numFmtId="169" formatCode="&quot;Студия&quot;"/>
    <numFmt numFmtId="170" formatCode="General\ &quot;комн&quot;"/>
  </numFmts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sz val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rgb="FF7030A0"/>
      <name val="Arial"/>
      <family val="2"/>
      <charset val="204"/>
    </font>
    <font>
      <sz val="9"/>
      <color rgb="FF7030A0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i/>
      <sz val="12"/>
      <color theme="0"/>
      <name val="Calibri"/>
      <family val="2"/>
      <charset val="204"/>
      <scheme val="minor"/>
    </font>
    <font>
      <b/>
      <i/>
      <sz val="12"/>
      <color rgb="FF7030A0"/>
      <name val="Calibri"/>
      <family val="2"/>
      <charset val="204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9"/>
      <color rgb="FFFF0000"/>
      <name val="Arial"/>
      <family val="2"/>
      <charset val="204"/>
    </font>
    <font>
      <sz val="9"/>
      <color theme="0"/>
      <name val="Arial"/>
      <family val="2"/>
      <charset val="204"/>
    </font>
    <font>
      <b/>
      <sz val="11"/>
      <name val="Calibri"/>
      <family val="2"/>
      <scheme val="minor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sz val="9"/>
      <color rgb="FF7030A0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991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16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6">
    <xf numFmtId="0" fontId="0" fillId="0" borderId="0" xfId="0"/>
    <xf numFmtId="0" fontId="2" fillId="0" borderId="0" xfId="2"/>
    <xf numFmtId="0" fontId="5" fillId="0" borderId="0" xfId="0" applyFont="1" applyAlignment="1">
      <alignment horizontal="center" vertical="center"/>
    </xf>
    <xf numFmtId="4" fontId="5" fillId="0" borderId="0" xfId="4" applyNumberFormat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3" fontId="4" fillId="0" borderId="0" xfId="2" applyNumberFormat="1" applyFont="1" applyAlignment="1">
      <alignment horizontal="center" vertical="center" wrapText="1"/>
    </xf>
    <xf numFmtId="4" fontId="4" fillId="0" borderId="0" xfId="4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" fontId="4" fillId="0" borderId="0" xfId="0" applyNumberFormat="1" applyFont="1" applyAlignment="1">
      <alignment horizontal="center" vertical="center"/>
    </xf>
    <xf numFmtId="4" fontId="4" fillId="0" borderId="0" xfId="4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4" fontId="4" fillId="0" borderId="0" xfId="0" applyNumberFormat="1" applyFont="1" applyAlignment="1">
      <alignment vertical="center"/>
    </xf>
    <xf numFmtId="0" fontId="5" fillId="0" borderId="0" xfId="2" applyFont="1" applyAlignment="1">
      <alignment horizontal="center" vertical="center"/>
    </xf>
    <xf numFmtId="4" fontId="9" fillId="0" borderId="0" xfId="4" applyNumberFormat="1" applyFont="1" applyFill="1" applyBorder="1" applyAlignment="1">
      <alignment horizontal="right" vertical="center"/>
    </xf>
    <xf numFmtId="3" fontId="10" fillId="0" borderId="0" xfId="4" applyNumberFormat="1" applyFont="1" applyFill="1" applyBorder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4" applyNumberFormat="1" applyFont="1" applyFill="1" applyBorder="1" applyAlignment="1">
      <alignment horizontal="right" vertical="center"/>
    </xf>
    <xf numFmtId="165" fontId="10" fillId="0" borderId="0" xfId="6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1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3" fontId="10" fillId="0" borderId="0" xfId="4" applyNumberFormat="1" applyFont="1" applyFill="1" applyBorder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8" fillId="0" borderId="0" xfId="0" applyFont="1" applyAlignment="1">
      <alignment horizontal="center"/>
    </xf>
    <xf numFmtId="0" fontId="4" fillId="3" borderId="0" xfId="2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7" fillId="2" borderId="17" xfId="0" applyNumberFormat="1" applyFont="1" applyFill="1" applyBorder="1" applyAlignment="1">
      <alignment horizontal="center" vertical="center"/>
    </xf>
    <xf numFmtId="3" fontId="0" fillId="0" borderId="1" xfId="6" applyNumberFormat="1" applyFont="1" applyBorder="1" applyAlignment="1">
      <alignment horizontal="center" vertical="center"/>
    </xf>
    <xf numFmtId="3" fontId="0" fillId="0" borderId="13" xfId="6" applyNumberFormat="1" applyFont="1" applyBorder="1" applyAlignment="1">
      <alignment horizontal="center" vertical="center"/>
    </xf>
    <xf numFmtId="3" fontId="0" fillId="0" borderId="19" xfId="6" applyNumberFormat="1" applyFont="1" applyBorder="1" applyAlignment="1">
      <alignment horizontal="center" vertical="center"/>
    </xf>
    <xf numFmtId="3" fontId="0" fillId="0" borderId="20" xfId="6" applyNumberFormat="1" applyFon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left"/>
    </xf>
    <xf numFmtId="3" fontId="0" fillId="0" borderId="1" xfId="6" applyNumberFormat="1" applyFont="1" applyFill="1" applyBorder="1" applyAlignment="1">
      <alignment horizontal="center" vertical="center"/>
    </xf>
    <xf numFmtId="3" fontId="0" fillId="0" borderId="13" xfId="6" applyNumberFormat="1" applyFont="1" applyFill="1" applyBorder="1" applyAlignment="1">
      <alignment horizontal="center" vertical="center"/>
    </xf>
    <xf numFmtId="4" fontId="4" fillId="9" borderId="0" xfId="4" applyNumberFormat="1" applyFont="1" applyFill="1" applyBorder="1" applyAlignment="1">
      <alignment horizontal="center" vertical="center" wrapText="1"/>
    </xf>
    <xf numFmtId="4" fontId="9" fillId="0" borderId="0" xfId="4" applyNumberFormat="1" applyFont="1" applyFill="1" applyBorder="1" applyAlignment="1">
      <alignment horizontal="center" vertical="center"/>
    </xf>
    <xf numFmtId="4" fontId="19" fillId="10" borderId="0" xfId="4" applyNumberFormat="1" applyFont="1" applyFill="1" applyBorder="1" applyAlignment="1">
      <alignment horizontal="center" vertical="center" wrapText="1"/>
    </xf>
    <xf numFmtId="4" fontId="19" fillId="10" borderId="0" xfId="0" applyNumberFormat="1" applyFont="1" applyFill="1" applyAlignment="1">
      <alignment horizontal="center" vertical="center" wrapText="1"/>
    </xf>
    <xf numFmtId="4" fontId="5" fillId="0" borderId="0" xfId="0" applyNumberFormat="1" applyFont="1" applyAlignment="1">
      <alignment horizontal="center" vertical="center"/>
    </xf>
    <xf numFmtId="4" fontId="9" fillId="0" borderId="0" xfId="0" applyNumberFormat="1" applyFont="1" applyAlignment="1">
      <alignment horizontal="center" vertical="center"/>
    </xf>
    <xf numFmtId="0" fontId="12" fillId="0" borderId="0" xfId="1" applyNumberFormat="1" applyFont="1" applyAlignment="1">
      <alignment horizontal="center" vertical="center"/>
    </xf>
    <xf numFmtId="4" fontId="12" fillId="0" borderId="0" xfId="1" applyNumberFormat="1" applyFont="1" applyAlignment="1">
      <alignment horizontal="center" vertical="center"/>
    </xf>
    <xf numFmtId="0" fontId="12" fillId="0" borderId="0" xfId="1" applyNumberFormat="1" applyFont="1" applyFill="1" applyAlignment="1">
      <alignment horizontal="center" vertical="center"/>
    </xf>
    <xf numFmtId="4" fontId="9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Alignment="1">
      <alignment horizontal="center" vertical="center"/>
    </xf>
    <xf numFmtId="4" fontId="10" fillId="5" borderId="0" xfId="0" applyNumberFormat="1" applyFont="1" applyFill="1" applyAlignment="1">
      <alignment horizontal="center" vertical="center" wrapText="1"/>
    </xf>
    <xf numFmtId="165" fontId="4" fillId="0" borderId="0" xfId="6" applyNumberFormat="1" applyFont="1" applyFill="1" applyBorder="1" applyAlignment="1">
      <alignment horizontal="center" vertical="center" wrapText="1"/>
    </xf>
    <xf numFmtId="0" fontId="2" fillId="0" borderId="1" xfId="2" applyBorder="1" applyAlignment="1">
      <alignment horizontal="center" vertical="center"/>
    </xf>
    <xf numFmtId="0" fontId="2" fillId="0" borderId="0" xfId="2" applyAlignment="1">
      <alignment horizontal="center" vertical="center"/>
    </xf>
    <xf numFmtId="0" fontId="7" fillId="12" borderId="1" xfId="2" applyFont="1" applyFill="1" applyBorder="1" applyAlignment="1">
      <alignment horizontal="center" vertical="center"/>
    </xf>
    <xf numFmtId="169" fontId="7" fillId="5" borderId="1" xfId="2" applyNumberFormat="1" applyFont="1" applyFill="1" applyBorder="1" applyAlignment="1">
      <alignment horizontal="center" vertical="center"/>
    </xf>
    <xf numFmtId="170" fontId="2" fillId="5" borderId="1" xfId="2" applyNumberFormat="1" applyFill="1" applyBorder="1" applyAlignment="1">
      <alignment horizontal="center" vertical="center"/>
    </xf>
    <xf numFmtId="1" fontId="21" fillId="0" borderId="0" xfId="0" applyNumberFormat="1" applyFont="1" applyFill="1" applyAlignment="1">
      <alignment horizontal="center" vertical="center"/>
    </xf>
    <xf numFmtId="4" fontId="23" fillId="0" borderId="0" xfId="1" applyNumberFormat="1" applyFont="1" applyFill="1" applyAlignment="1">
      <alignment horizontal="center" vertical="center"/>
    </xf>
    <xf numFmtId="4" fontId="2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5" fillId="0" borderId="0" xfId="0" applyFont="1" applyFill="1" applyAlignment="1">
      <alignment vertical="center"/>
    </xf>
    <xf numFmtId="0" fontId="7" fillId="2" borderId="29" xfId="0" applyFont="1" applyFill="1" applyBorder="1" applyAlignment="1">
      <alignment horizontal="center" vertical="center"/>
    </xf>
    <xf numFmtId="3" fontId="7" fillId="8" borderId="26" xfId="0" applyNumberFormat="1" applyFont="1" applyFill="1" applyBorder="1" applyAlignment="1">
      <alignment horizontal="center" vertical="center"/>
    </xf>
    <xf numFmtId="3" fontId="7" fillId="8" borderId="30" xfId="0" applyNumberFormat="1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horizontal="center" vertical="center"/>
    </xf>
    <xf numFmtId="0" fontId="7" fillId="8" borderId="25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3" fontId="0" fillId="0" borderId="22" xfId="0" applyNumberFormat="1" applyBorder="1" applyAlignment="1">
      <alignment horizontal="center" vertical="center"/>
    </xf>
    <xf numFmtId="9" fontId="0" fillId="0" borderId="6" xfId="1" applyFont="1" applyFill="1" applyBorder="1" applyAlignment="1">
      <alignment horizontal="center" vertical="center"/>
    </xf>
    <xf numFmtId="9" fontId="0" fillId="0" borderId="24" xfId="1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0" fontId="7" fillId="13" borderId="33" xfId="0" applyFont="1" applyFill="1" applyBorder="1" applyAlignment="1">
      <alignment horizontal="center" vertical="center"/>
    </xf>
    <xf numFmtId="3" fontId="7" fillId="0" borderId="3" xfId="0" applyNumberFormat="1" applyFont="1" applyFill="1" applyBorder="1" applyAlignment="1">
      <alignment horizontal="center" vertical="center"/>
    </xf>
    <xf numFmtId="3" fontId="7" fillId="0" borderId="23" xfId="0" applyNumberFormat="1" applyFont="1" applyFill="1" applyBorder="1" applyAlignment="1">
      <alignment horizontal="center" vertical="center"/>
    </xf>
    <xf numFmtId="3" fontId="0" fillId="0" borderId="34" xfId="6" applyNumberFormat="1" applyFont="1" applyBorder="1" applyAlignment="1">
      <alignment horizontal="center" vertical="center"/>
    </xf>
    <xf numFmtId="3" fontId="0" fillId="0" borderId="35" xfId="6" applyNumberFormat="1" applyFont="1" applyBorder="1" applyAlignment="1">
      <alignment horizontal="center" vertical="center"/>
    </xf>
    <xf numFmtId="3" fontId="0" fillId="0" borderId="34" xfId="6" applyNumberFormat="1" applyFont="1" applyFill="1" applyBorder="1" applyAlignment="1">
      <alignment horizontal="center" vertical="center"/>
    </xf>
    <xf numFmtId="3" fontId="0" fillId="0" borderId="35" xfId="6" applyNumberFormat="1" applyFont="1" applyFill="1" applyBorder="1" applyAlignment="1">
      <alignment horizontal="center" vertical="center"/>
    </xf>
    <xf numFmtId="3" fontId="0" fillId="0" borderId="36" xfId="6" applyNumberFormat="1" applyFont="1" applyBorder="1" applyAlignment="1">
      <alignment horizontal="center" vertical="center"/>
    </xf>
    <xf numFmtId="3" fontId="0" fillId="0" borderId="37" xfId="6" applyNumberFormat="1" applyFont="1" applyBorder="1" applyAlignment="1">
      <alignment horizontal="center" vertical="center"/>
    </xf>
    <xf numFmtId="166" fontId="7" fillId="2" borderId="7" xfId="0" applyNumberFormat="1" applyFont="1" applyFill="1" applyBorder="1" applyAlignment="1">
      <alignment horizontal="center" vertical="center"/>
    </xf>
    <xf numFmtId="166" fontId="7" fillId="2" borderId="38" xfId="0" applyNumberFormat="1" applyFont="1" applyFill="1" applyBorder="1" applyAlignment="1">
      <alignment horizontal="center" vertical="center"/>
    </xf>
    <xf numFmtId="9" fontId="7" fillId="8" borderId="27" xfId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8" fillId="7" borderId="10" xfId="0" applyNumberFormat="1" applyFont="1" applyFill="1" applyBorder="1" applyAlignment="1">
      <alignment horizontal="center"/>
    </xf>
    <xf numFmtId="4" fontId="10" fillId="0" borderId="0" xfId="4" applyNumberFormat="1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170" fontId="13" fillId="4" borderId="5" xfId="0" applyNumberFormat="1" applyFont="1" applyFill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169" fontId="13" fillId="4" borderId="4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0" fillId="0" borderId="0" xfId="0" applyAlignment="1"/>
    <xf numFmtId="0" fontId="8" fillId="14" borderId="22" xfId="0" applyFont="1" applyFill="1" applyBorder="1" applyAlignment="1">
      <alignment horizontal="center" vertical="center"/>
    </xf>
    <xf numFmtId="9" fontId="8" fillId="0" borderId="2" xfId="1" applyFont="1" applyFill="1" applyBorder="1" applyAlignment="1">
      <alignment horizontal="center" vertical="center"/>
    </xf>
    <xf numFmtId="169" fontId="13" fillId="18" borderId="4" xfId="0" applyNumberFormat="1" applyFont="1" applyFill="1" applyBorder="1" applyAlignment="1">
      <alignment horizontal="center" vertical="center"/>
    </xf>
    <xf numFmtId="170" fontId="13" fillId="18" borderId="5" xfId="0" applyNumberFormat="1" applyFont="1" applyFill="1" applyBorder="1" applyAlignment="1">
      <alignment horizontal="center" vertical="center"/>
    </xf>
    <xf numFmtId="169" fontId="13" fillId="18" borderId="21" xfId="0" applyNumberFormat="1" applyFont="1" applyFill="1" applyBorder="1" applyAlignment="1">
      <alignment horizontal="center" vertical="center"/>
    </xf>
    <xf numFmtId="9" fontId="8" fillId="0" borderId="22" xfId="1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8" fillId="14" borderId="42" xfId="0" applyFont="1" applyFill="1" applyBorder="1" applyAlignment="1">
      <alignment horizontal="center" vertical="center"/>
    </xf>
    <xf numFmtId="169" fontId="13" fillId="4" borderId="21" xfId="0" applyNumberFormat="1" applyFont="1" applyFill="1" applyBorder="1" applyAlignment="1">
      <alignment horizontal="center" vertical="center"/>
    </xf>
    <xf numFmtId="9" fontId="8" fillId="14" borderId="22" xfId="1" applyFont="1" applyFill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51" xfId="0" applyFont="1" applyFill="1" applyBorder="1" applyAlignment="1">
      <alignment horizontal="center" vertical="center"/>
    </xf>
    <xf numFmtId="165" fontId="7" fillId="2" borderId="51" xfId="6" applyNumberFormat="1" applyFont="1" applyFill="1" applyBorder="1" applyAlignment="1">
      <alignment horizontal="center" vertical="center"/>
    </xf>
    <xf numFmtId="165" fontId="7" fillId="2" borderId="52" xfId="6" applyNumberFormat="1" applyFont="1" applyFill="1" applyBorder="1" applyAlignment="1">
      <alignment horizontal="center" vertical="center"/>
    </xf>
    <xf numFmtId="165" fontId="7" fillId="3" borderId="25" xfId="6" applyNumberFormat="1" applyFont="1" applyFill="1" applyBorder="1" applyAlignment="1">
      <alignment horizontal="center" vertical="center"/>
    </xf>
    <xf numFmtId="165" fontId="7" fillId="3" borderId="27" xfId="6" applyNumberFormat="1" applyFont="1" applyFill="1" applyBorder="1" applyAlignment="1">
      <alignment horizontal="center" vertical="center"/>
    </xf>
    <xf numFmtId="165" fontId="7" fillId="5" borderId="25" xfId="6" applyNumberFormat="1" applyFont="1" applyFill="1" applyBorder="1" applyAlignment="1">
      <alignment horizontal="center" vertical="center"/>
    </xf>
    <xf numFmtId="165" fontId="7" fillId="5" borderId="27" xfId="6" applyNumberFormat="1" applyFont="1" applyFill="1" applyBorder="1" applyAlignment="1">
      <alignment horizontal="center" vertical="center"/>
    </xf>
    <xf numFmtId="165" fontId="7" fillId="6" borderId="25" xfId="6" applyNumberFormat="1" applyFont="1" applyFill="1" applyBorder="1" applyAlignment="1">
      <alignment horizontal="center" vertical="center"/>
    </xf>
    <xf numFmtId="165" fontId="7" fillId="6" borderId="27" xfId="6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9" fontId="8" fillId="0" borderId="0" xfId="1" applyFont="1" applyFill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66" fontId="7" fillId="2" borderId="53" xfId="0" applyNumberFormat="1" applyFont="1" applyFill="1" applyBorder="1" applyAlignment="1">
      <alignment horizontal="center" vertical="center"/>
    </xf>
    <xf numFmtId="166" fontId="7" fillId="2" borderId="12" xfId="0" applyNumberFormat="1" applyFont="1" applyFill="1" applyBorder="1" applyAlignment="1">
      <alignment horizontal="center" vertical="center"/>
    </xf>
    <xf numFmtId="9" fontId="2" fillId="3" borderId="10" xfId="0" applyNumberFormat="1" applyFont="1" applyFill="1" applyBorder="1" applyAlignment="1">
      <alignment horizontal="center" vertical="center"/>
    </xf>
    <xf numFmtId="0" fontId="8" fillId="0" borderId="2" xfId="1" applyNumberFormat="1" applyFont="1" applyFill="1" applyBorder="1" applyAlignment="1">
      <alignment horizontal="center" vertical="center"/>
    </xf>
    <xf numFmtId="1" fontId="21" fillId="0" borderId="0" xfId="2" applyNumberFormat="1" applyFont="1" applyFill="1" applyAlignment="1">
      <alignment horizontal="center" vertical="center"/>
    </xf>
    <xf numFmtId="0" fontId="21" fillId="0" borderId="0" xfId="2" applyFont="1" applyFill="1" applyAlignment="1">
      <alignment horizontal="center" vertical="center"/>
    </xf>
    <xf numFmtId="0" fontId="21" fillId="0" borderId="0" xfId="2" applyNumberFormat="1" applyFont="1" applyFill="1" applyAlignment="1">
      <alignment horizontal="center" vertical="center"/>
    </xf>
    <xf numFmtId="4" fontId="21" fillId="0" borderId="0" xfId="2" applyNumberFormat="1" applyFont="1" applyFill="1" applyAlignment="1">
      <alignment horizontal="center" vertical="center"/>
    </xf>
    <xf numFmtId="4" fontId="4" fillId="0" borderId="0" xfId="2" applyNumberFormat="1" applyFont="1" applyFill="1" applyAlignment="1">
      <alignment horizontal="center" vertical="center"/>
    </xf>
    <xf numFmtId="168" fontId="21" fillId="0" borderId="0" xfId="2" applyNumberFormat="1" applyFont="1" applyFill="1" applyAlignment="1">
      <alignment horizontal="center" vertical="center"/>
    </xf>
    <xf numFmtId="168" fontId="5" fillId="0" borderId="0" xfId="0" applyNumberFormat="1" applyFont="1" applyFill="1" applyAlignment="1">
      <alignment horizontal="center" vertical="center"/>
    </xf>
    <xf numFmtId="168" fontId="5" fillId="0" borderId="0" xfId="2" applyNumberFormat="1" applyFont="1" applyFill="1" applyAlignment="1">
      <alignment horizontal="center" vertical="center"/>
    </xf>
    <xf numFmtId="4" fontId="22" fillId="0" borderId="0" xfId="4" applyNumberFormat="1" applyFont="1" applyFill="1" applyAlignment="1">
      <alignment horizontal="center" vertical="center"/>
    </xf>
    <xf numFmtId="4" fontId="4" fillId="0" borderId="0" xfId="4" applyNumberFormat="1" applyFont="1" applyFill="1" applyAlignment="1">
      <alignment horizontal="center" vertical="center"/>
    </xf>
    <xf numFmtId="164" fontId="4" fillId="0" borderId="0" xfId="4" applyNumberFormat="1" applyFont="1" applyFill="1" applyAlignment="1">
      <alignment horizontal="center" vertical="center"/>
    </xf>
    <xf numFmtId="4" fontId="18" fillId="0" borderId="0" xfId="4" applyNumberFormat="1" applyFont="1" applyFill="1" applyBorder="1" applyAlignment="1">
      <alignment horizontal="center" vertical="center"/>
    </xf>
    <xf numFmtId="9" fontId="18" fillId="0" borderId="0" xfId="1" applyFont="1" applyFill="1" applyBorder="1" applyAlignment="1">
      <alignment horizontal="center" vertical="center"/>
    </xf>
    <xf numFmtId="166" fontId="5" fillId="0" borderId="0" xfId="6" applyNumberFormat="1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2" applyNumberFormat="1" applyFont="1" applyFill="1" applyAlignment="1">
      <alignment horizontal="center" vertical="center"/>
    </xf>
    <xf numFmtId="49" fontId="21" fillId="0" borderId="0" xfId="3" applyNumberFormat="1" applyFont="1" applyFill="1" applyAlignment="1">
      <alignment horizontal="center" vertical="center"/>
    </xf>
    <xf numFmtId="0" fontId="21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 wrapText="1"/>
    </xf>
    <xf numFmtId="164" fontId="4" fillId="0" borderId="0" xfId="4" applyFont="1" applyFill="1" applyAlignment="1">
      <alignment horizontal="center" vertical="center"/>
    </xf>
    <xf numFmtId="4" fontId="18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4" fontId="4" fillId="0" borderId="0" xfId="4" applyFont="1" applyFill="1" applyBorder="1" applyAlignment="1">
      <alignment horizontal="center" vertical="center"/>
    </xf>
    <xf numFmtId="164" fontId="4" fillId="0" borderId="0" xfId="4" applyNumberFormat="1" applyFont="1" applyFill="1" applyBorder="1" applyAlignment="1">
      <alignment horizontal="center" vertical="center"/>
    </xf>
    <xf numFmtId="4" fontId="26" fillId="0" borderId="0" xfId="4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5" fillId="0" borderId="0" xfId="0" applyNumberFormat="1" applyFont="1" applyFill="1" applyAlignment="1">
      <alignment horizontal="center" vertical="center"/>
    </xf>
    <xf numFmtId="4" fontId="21" fillId="3" borderId="0" xfId="2" applyNumberFormat="1" applyFont="1" applyFill="1" applyAlignment="1">
      <alignment horizontal="center" vertical="center"/>
    </xf>
    <xf numFmtId="4" fontId="4" fillId="3" borderId="0" xfId="2" applyNumberFormat="1" applyFont="1" applyFill="1" applyAlignment="1">
      <alignment horizontal="center" vertical="center"/>
    </xf>
    <xf numFmtId="168" fontId="21" fillId="3" borderId="0" xfId="2" applyNumberFormat="1" applyFont="1" applyFill="1" applyAlignment="1">
      <alignment horizontal="center" vertical="center"/>
    </xf>
    <xf numFmtId="168" fontId="5" fillId="3" borderId="0" xfId="0" applyNumberFormat="1" applyFont="1" applyFill="1" applyAlignment="1">
      <alignment horizontal="center" vertical="center"/>
    </xf>
    <xf numFmtId="4" fontId="4" fillId="3" borderId="0" xfId="4" applyNumberFormat="1" applyFon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2" applyFont="1" applyFill="1" applyAlignment="1">
      <alignment horizontal="center" vertical="center"/>
    </xf>
    <xf numFmtId="0" fontId="7" fillId="0" borderId="7" xfId="0" applyFont="1" applyBorder="1" applyAlignment="1">
      <alignment horizontal="center"/>
    </xf>
    <xf numFmtId="3" fontId="11" fillId="16" borderId="12" xfId="0" applyNumberFormat="1" applyFont="1" applyFill="1" applyBorder="1" applyAlignment="1">
      <alignment horizontal="center" vertical="center"/>
    </xf>
    <xf numFmtId="0" fontId="8" fillId="0" borderId="45" xfId="1" applyNumberFormat="1" applyFont="1" applyFill="1" applyBorder="1" applyAlignment="1">
      <alignment horizontal="center" vertical="center"/>
    </xf>
    <xf numFmtId="9" fontId="8" fillId="14" borderId="2" xfId="1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vertical="center"/>
    </xf>
    <xf numFmtId="4" fontId="0" fillId="0" borderId="0" xfId="0" applyNumberFormat="1" applyAlignment="1">
      <alignment horizontal="center" vertical="center"/>
    </xf>
    <xf numFmtId="4" fontId="26" fillId="0" borderId="0" xfId="4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8" fillId="14" borderId="23" xfId="0" applyFont="1" applyFill="1" applyBorder="1" applyAlignment="1">
      <alignment horizontal="center" vertical="center"/>
    </xf>
    <xf numFmtId="0" fontId="8" fillId="14" borderId="43" xfId="0" applyFont="1" applyFill="1" applyBorder="1" applyAlignment="1">
      <alignment horizontal="center" vertical="center"/>
    </xf>
    <xf numFmtId="0" fontId="8" fillId="14" borderId="44" xfId="0" applyFont="1" applyFill="1" applyBorder="1" applyAlignment="1">
      <alignment horizontal="center" vertical="center"/>
    </xf>
    <xf numFmtId="169" fontId="13" fillId="4" borderId="25" xfId="0" applyNumberFormat="1" applyFont="1" applyFill="1" applyBorder="1" applyAlignment="1">
      <alignment horizontal="center" vertical="center"/>
    </xf>
    <xf numFmtId="170" fontId="13" fillId="4" borderId="26" xfId="0" applyNumberFormat="1" applyFont="1" applyFill="1" applyBorder="1" applyAlignment="1">
      <alignment horizontal="center" vertical="center"/>
    </xf>
    <xf numFmtId="169" fontId="13" fillId="4" borderId="27" xfId="0" applyNumberFormat="1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169" fontId="13" fillId="18" borderId="40" xfId="0" applyNumberFormat="1" applyFont="1" applyFill="1" applyBorder="1" applyAlignment="1">
      <alignment horizontal="center" vertical="center"/>
    </xf>
    <xf numFmtId="170" fontId="13" fillId="18" borderId="39" xfId="0" applyNumberFormat="1" applyFont="1" applyFill="1" applyBorder="1" applyAlignment="1">
      <alignment horizontal="center" vertical="center"/>
    </xf>
    <xf numFmtId="169" fontId="13" fillId="18" borderId="41" xfId="0" applyNumberFormat="1" applyFont="1" applyFill="1" applyBorder="1" applyAlignment="1">
      <alignment horizontal="center" vertical="center"/>
    </xf>
    <xf numFmtId="9" fontId="8" fillId="14" borderId="48" xfId="1" applyFont="1" applyFill="1" applyBorder="1" applyAlignment="1">
      <alignment horizontal="center" vertical="center"/>
    </xf>
    <xf numFmtId="0" fontId="13" fillId="4" borderId="56" xfId="0" applyFont="1" applyFill="1" applyBorder="1" applyAlignment="1">
      <alignment horizontal="center" vertical="center" wrapText="1"/>
    </xf>
    <xf numFmtId="0" fontId="8" fillId="0" borderId="42" xfId="1" applyNumberFormat="1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170" fontId="13" fillId="4" borderId="21" xfId="0" applyNumberFormat="1" applyFont="1" applyFill="1" applyBorder="1" applyAlignment="1">
      <alignment horizontal="center" vertical="center"/>
    </xf>
    <xf numFmtId="0" fontId="8" fillId="0" borderId="56" xfId="0" applyFont="1" applyFill="1" applyBorder="1" applyAlignment="1">
      <alignment horizontal="center" vertical="center"/>
    </xf>
    <xf numFmtId="0" fontId="0" fillId="0" borderId="56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11" fillId="14" borderId="56" xfId="0" applyFont="1" applyFill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0" fontId="8" fillId="0" borderId="44" xfId="1" applyNumberFormat="1" applyFont="1" applyFill="1" applyBorder="1" applyAlignment="1">
      <alignment horizontal="center" vertical="center"/>
    </xf>
    <xf numFmtId="0" fontId="8" fillId="0" borderId="6" xfId="1" applyNumberFormat="1" applyFont="1" applyFill="1" applyBorder="1" applyAlignment="1">
      <alignment horizontal="center" vertical="center"/>
    </xf>
    <xf numFmtId="0" fontId="8" fillId="0" borderId="54" xfId="0" applyFont="1" applyFill="1" applyBorder="1" applyAlignment="1">
      <alignment horizontal="center" vertical="center"/>
    </xf>
    <xf numFmtId="0" fontId="8" fillId="0" borderId="46" xfId="1" applyNumberFormat="1" applyFont="1" applyFill="1" applyBorder="1" applyAlignment="1">
      <alignment horizontal="center" vertical="center"/>
    </xf>
    <xf numFmtId="0" fontId="10" fillId="17" borderId="0" xfId="0" applyFont="1" applyFill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left" vertical="center"/>
    </xf>
    <xf numFmtId="0" fontId="14" fillId="14" borderId="3" xfId="0" applyFont="1" applyFill="1" applyBorder="1" applyAlignment="1">
      <alignment horizontal="left" vertical="center"/>
    </xf>
    <xf numFmtId="0" fontId="14" fillId="14" borderId="23" xfId="0" applyFont="1" applyFill="1" applyBorder="1" applyAlignment="1">
      <alignment horizontal="left" vertical="center"/>
    </xf>
    <xf numFmtId="0" fontId="11" fillId="14" borderId="22" xfId="0" applyFont="1" applyFill="1" applyBorder="1" applyAlignment="1">
      <alignment horizontal="center" vertical="center"/>
    </xf>
    <xf numFmtId="0" fontId="8" fillId="14" borderId="61" xfId="0" applyFont="1" applyFill="1" applyBorder="1" applyAlignment="1">
      <alignment horizontal="center" vertical="center"/>
    </xf>
    <xf numFmtId="0" fontId="8" fillId="14" borderId="25" xfId="0" applyFont="1" applyFill="1" applyBorder="1" applyAlignment="1">
      <alignment horizontal="center" vertical="center"/>
    </xf>
    <xf numFmtId="0" fontId="8" fillId="14" borderId="26" xfId="0" applyFont="1" applyFill="1" applyBorder="1" applyAlignment="1">
      <alignment horizontal="center" vertical="center"/>
    </xf>
    <xf numFmtId="0" fontId="8" fillId="14" borderId="27" xfId="0" applyFont="1" applyFill="1" applyBorder="1" applyAlignment="1">
      <alignment horizontal="center" vertical="center"/>
    </xf>
    <xf numFmtId="3" fontId="8" fillId="0" borderId="0" xfId="0" applyNumberFormat="1" applyFont="1" applyAlignment="1">
      <alignment vertical="center"/>
    </xf>
    <xf numFmtId="0" fontId="11" fillId="14" borderId="45" xfId="0" applyFont="1" applyFill="1" applyBorder="1" applyAlignment="1">
      <alignment horizontal="center" vertical="center"/>
    </xf>
    <xf numFmtId="0" fontId="11" fillId="14" borderId="62" xfId="0" applyFont="1" applyFill="1" applyBorder="1" applyAlignment="1">
      <alignment horizontal="center" vertical="center"/>
    </xf>
    <xf numFmtId="9" fontId="8" fillId="0" borderId="48" xfId="1" applyFont="1" applyFill="1" applyBorder="1" applyAlignment="1">
      <alignment horizontal="center" vertical="center"/>
    </xf>
    <xf numFmtId="4" fontId="0" fillId="0" borderId="0" xfId="0" applyNumberFormat="1"/>
    <xf numFmtId="3" fontId="0" fillId="0" borderId="55" xfId="0" applyNumberForma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9" fontId="11" fillId="0" borderId="49" xfId="1" applyFont="1" applyFill="1" applyBorder="1" applyAlignment="1">
      <alignment horizontal="center" vertical="center"/>
    </xf>
    <xf numFmtId="9" fontId="11" fillId="0" borderId="6" xfId="1" applyFont="1" applyFill="1" applyBorder="1" applyAlignment="1">
      <alignment horizontal="center" vertical="center"/>
    </xf>
    <xf numFmtId="9" fontId="11" fillId="0" borderId="24" xfId="1" applyFont="1" applyFill="1" applyBorder="1" applyAlignment="1">
      <alignment horizontal="center" vertical="center"/>
    </xf>
    <xf numFmtId="9" fontId="7" fillId="14" borderId="49" xfId="1" applyFont="1" applyFill="1" applyBorder="1" applyAlignment="1">
      <alignment horizontal="center" vertical="center"/>
    </xf>
    <xf numFmtId="9" fontId="7" fillId="14" borderId="6" xfId="1" applyFont="1" applyFill="1" applyBorder="1" applyAlignment="1">
      <alignment horizontal="center" vertical="center"/>
    </xf>
    <xf numFmtId="9" fontId="7" fillId="14" borderId="24" xfId="1" applyFont="1" applyFill="1" applyBorder="1" applyAlignment="1">
      <alignment horizontal="center" vertical="center"/>
    </xf>
    <xf numFmtId="0" fontId="8" fillId="14" borderId="63" xfId="0" applyFont="1" applyFill="1" applyBorder="1" applyAlignment="1">
      <alignment horizontal="center" vertical="center"/>
    </xf>
    <xf numFmtId="0" fontId="8" fillId="14" borderId="56" xfId="0" applyFont="1" applyFill="1" applyBorder="1" applyAlignment="1">
      <alignment horizontal="center" vertical="center"/>
    </xf>
    <xf numFmtId="9" fontId="8" fillId="14" borderId="64" xfId="1" applyFont="1" applyFill="1" applyBorder="1" applyAlignment="1">
      <alignment horizontal="center" vertical="center"/>
    </xf>
    <xf numFmtId="9" fontId="8" fillId="14" borderId="65" xfId="1" applyFont="1" applyFill="1" applyBorder="1" applyAlignment="1">
      <alignment horizontal="center" vertical="center"/>
    </xf>
    <xf numFmtId="9" fontId="8" fillId="14" borderId="66" xfId="1" applyFont="1" applyFill="1" applyBorder="1" applyAlignment="1">
      <alignment horizontal="center" vertical="center"/>
    </xf>
    <xf numFmtId="169" fontId="13" fillId="4" borderId="40" xfId="0" applyNumberFormat="1" applyFont="1" applyFill="1" applyBorder="1" applyAlignment="1">
      <alignment horizontal="center" vertical="center"/>
    </xf>
    <xf numFmtId="170" fontId="13" fillId="4" borderId="39" xfId="0" applyNumberFormat="1" applyFont="1" applyFill="1" applyBorder="1" applyAlignment="1">
      <alignment horizontal="center" vertical="center"/>
    </xf>
    <xf numFmtId="3" fontId="8" fillId="14" borderId="2" xfId="0" applyNumberFormat="1" applyFont="1" applyFill="1" applyBorder="1" applyAlignment="1">
      <alignment horizontal="center" vertical="center"/>
    </xf>
    <xf numFmtId="3" fontId="8" fillId="14" borderId="47" xfId="0" applyNumberFormat="1" applyFont="1" applyFill="1" applyBorder="1" applyAlignment="1">
      <alignment horizontal="center" vertical="center"/>
    </xf>
    <xf numFmtId="3" fontId="8" fillId="14" borderId="48" xfId="0" applyNumberFormat="1" applyFont="1" applyFill="1" applyBorder="1" applyAlignment="1">
      <alignment horizontal="center" vertical="center"/>
    </xf>
    <xf numFmtId="3" fontId="8" fillId="14" borderId="49" xfId="0" applyNumberFormat="1" applyFont="1" applyFill="1" applyBorder="1" applyAlignment="1">
      <alignment horizontal="center" vertical="center"/>
    </xf>
    <xf numFmtId="3" fontId="8" fillId="14" borderId="3" xfId="0" applyNumberFormat="1" applyFont="1" applyFill="1" applyBorder="1" applyAlignment="1">
      <alignment horizontal="center" vertical="center"/>
    </xf>
    <xf numFmtId="3" fontId="8" fillId="14" borderId="6" xfId="0" applyNumberFormat="1" applyFont="1" applyFill="1" applyBorder="1" applyAlignment="1">
      <alignment horizontal="center" vertical="center"/>
    </xf>
    <xf numFmtId="3" fontId="8" fillId="14" borderId="23" xfId="0" applyNumberFormat="1" applyFont="1" applyFill="1" applyBorder="1" applyAlignment="1">
      <alignment horizontal="center" vertical="center"/>
    </xf>
    <xf numFmtId="3" fontId="8" fillId="14" borderId="22" xfId="0" applyNumberFormat="1" applyFont="1" applyFill="1" applyBorder="1" applyAlignment="1">
      <alignment horizontal="center" vertical="center"/>
    </xf>
    <xf numFmtId="3" fontId="8" fillId="14" borderId="24" xfId="0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9" fontId="8" fillId="0" borderId="64" xfId="1" applyFont="1" applyFill="1" applyBorder="1" applyAlignment="1">
      <alignment horizontal="center" vertical="center"/>
    </xf>
    <xf numFmtId="9" fontId="8" fillId="0" borderId="65" xfId="1" applyFont="1" applyFill="1" applyBorder="1" applyAlignment="1">
      <alignment horizontal="center" vertical="center"/>
    </xf>
    <xf numFmtId="9" fontId="8" fillId="0" borderId="66" xfId="1" applyFont="1" applyFill="1" applyBorder="1" applyAlignment="1">
      <alignment horizontal="center" vertical="center"/>
    </xf>
    <xf numFmtId="169" fontId="13" fillId="4" borderId="31" xfId="0" applyNumberFormat="1" applyFont="1" applyFill="1" applyBorder="1" applyAlignment="1">
      <alignment horizontal="center" vertical="center"/>
    </xf>
    <xf numFmtId="170" fontId="13" fillId="4" borderId="29" xfId="0" applyNumberFormat="1" applyFont="1" applyFill="1" applyBorder="1" applyAlignment="1">
      <alignment horizontal="center" vertical="center"/>
    </xf>
    <xf numFmtId="3" fontId="8" fillId="0" borderId="47" xfId="0" applyNumberFormat="1" applyFont="1" applyBorder="1" applyAlignment="1">
      <alignment horizontal="center" vertical="center"/>
    </xf>
    <xf numFmtId="3" fontId="8" fillId="0" borderId="48" xfId="0" applyNumberFormat="1" applyFont="1" applyBorder="1" applyAlignment="1">
      <alignment horizontal="center" vertical="center"/>
    </xf>
    <xf numFmtId="3" fontId="8" fillId="0" borderId="49" xfId="0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14" fontId="4" fillId="3" borderId="0" xfId="2" applyNumberFormat="1" applyFont="1" applyFill="1" applyAlignment="1">
      <alignment horizontal="center" vertical="center" wrapText="1"/>
    </xf>
    <xf numFmtId="49" fontId="5" fillId="0" borderId="0" xfId="2" applyNumberFormat="1" applyFont="1" applyFill="1" applyAlignment="1">
      <alignment horizontal="center" vertical="center"/>
    </xf>
    <xf numFmtId="167" fontId="18" fillId="15" borderId="0" xfId="0" applyNumberFormat="1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center" vertical="center" wrapText="1"/>
    </xf>
    <xf numFmtId="4" fontId="21" fillId="0" borderId="0" xfId="0" applyNumberFormat="1" applyFont="1" applyFill="1" applyBorder="1" applyAlignment="1">
      <alignment horizontal="center" vertical="center"/>
    </xf>
    <xf numFmtId="4" fontId="5" fillId="0" borderId="0" xfId="0" applyNumberFormat="1" applyFont="1" applyFill="1" applyAlignment="1">
      <alignment horizontal="center" vertical="center"/>
    </xf>
    <xf numFmtId="4" fontId="25" fillId="0" borderId="0" xfId="0" applyNumberFormat="1" applyFont="1" applyFill="1" applyAlignment="1">
      <alignment horizontal="center" vertical="center"/>
    </xf>
    <xf numFmtId="49" fontId="27" fillId="0" borderId="0" xfId="0" applyNumberFormat="1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 wrapText="1"/>
    </xf>
    <xf numFmtId="49" fontId="18" fillId="0" borderId="0" xfId="2" applyNumberFormat="1" applyFont="1" applyFill="1" applyAlignment="1">
      <alignment horizontal="center" vertical="center"/>
    </xf>
    <xf numFmtId="0" fontId="4" fillId="19" borderId="0" xfId="2" applyFont="1" applyFill="1" applyAlignment="1">
      <alignment horizontal="center" vertical="center" wrapText="1"/>
    </xf>
    <xf numFmtId="0" fontId="4" fillId="20" borderId="0" xfId="2" applyFont="1" applyFill="1" applyAlignment="1">
      <alignment horizontal="center" vertical="center" wrapText="1"/>
    </xf>
    <xf numFmtId="4" fontId="0" fillId="0" borderId="0" xfId="0" applyNumberFormat="1" applyFill="1" applyAlignment="1">
      <alignment wrapText="1"/>
    </xf>
    <xf numFmtId="4" fontId="0" fillId="0" borderId="0" xfId="0" applyNumberFormat="1" applyFill="1"/>
    <xf numFmtId="0" fontId="8" fillId="3" borderId="0" xfId="0" applyFont="1" applyFill="1" applyAlignment="1">
      <alignment horizontal="center" vertical="center" wrapText="1"/>
    </xf>
    <xf numFmtId="4" fontId="4" fillId="9" borderId="0" xfId="4" applyNumberFormat="1" applyFont="1" applyFill="1" applyBorder="1" applyAlignment="1">
      <alignment horizontal="center" vertical="center"/>
    </xf>
    <xf numFmtId="168" fontId="25" fillId="0" borderId="0" xfId="0" applyNumberFormat="1" applyFont="1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0" fontId="0" fillId="0" borderId="0" xfId="0" applyFill="1"/>
    <xf numFmtId="10" fontId="4" fillId="0" borderId="0" xfId="1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0" fillId="3" borderId="0" xfId="0" applyFill="1"/>
    <xf numFmtId="14" fontId="0" fillId="3" borderId="0" xfId="0" applyNumberFormat="1" applyFill="1"/>
    <xf numFmtId="0" fontId="0" fillId="3" borderId="0" xfId="0" applyNumberFormat="1" applyFill="1"/>
    <xf numFmtId="14" fontId="0" fillId="21" borderId="0" xfId="0" applyNumberFormat="1" applyFill="1"/>
    <xf numFmtId="0" fontId="0" fillId="21" borderId="0" xfId="0" applyNumberFormat="1" applyFill="1"/>
    <xf numFmtId="0" fontId="0" fillId="21" borderId="0" xfId="0" applyFill="1"/>
    <xf numFmtId="4" fontId="0" fillId="21" borderId="0" xfId="0" applyNumberFormat="1" applyFill="1"/>
    <xf numFmtId="4" fontId="0" fillId="3" borderId="0" xfId="0" applyNumberFormat="1" applyFill="1"/>
    <xf numFmtId="49" fontId="5" fillId="0" borderId="0" xfId="3" applyNumberFormat="1" applyFont="1" applyFill="1" applyAlignment="1">
      <alignment horizontal="center" vertical="center"/>
    </xf>
    <xf numFmtId="4" fontId="4" fillId="0" borderId="0" xfId="0" applyNumberFormat="1" applyFont="1" applyFill="1" applyAlignment="1">
      <alignment horizontal="center" vertical="center"/>
    </xf>
    <xf numFmtId="0" fontId="4" fillId="0" borderId="0" xfId="2" applyFont="1" applyFill="1" applyAlignment="1">
      <alignment horizontal="center" vertical="center" wrapText="1"/>
    </xf>
    <xf numFmtId="49" fontId="4" fillId="0" borderId="0" xfId="2" applyNumberFormat="1" applyFont="1" applyFill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/>
    </xf>
    <xf numFmtId="165" fontId="4" fillId="3" borderId="0" xfId="6" applyNumberFormat="1" applyFont="1" applyFill="1" applyBorder="1" applyAlignment="1">
      <alignment horizontal="center" vertical="center" wrapText="1"/>
    </xf>
    <xf numFmtId="0" fontId="5" fillId="0" borderId="0" xfId="3" applyNumberFormat="1" applyFont="1" applyFill="1" applyAlignment="1">
      <alignment horizontal="center" vertical="center"/>
    </xf>
    <xf numFmtId="0" fontId="19" fillId="22" borderId="0" xfId="0" applyFont="1" applyFill="1" applyBorder="1" applyAlignment="1">
      <alignment horizontal="center" vertical="center" wrapText="1"/>
    </xf>
    <xf numFmtId="167" fontId="18" fillId="15" borderId="0" xfId="0" applyNumberFormat="1" applyFont="1" applyFill="1" applyBorder="1" applyAlignment="1">
      <alignment horizontal="center" vertical="center"/>
    </xf>
    <xf numFmtId="1" fontId="21" fillId="3" borderId="0" xfId="2" applyNumberFormat="1" applyFont="1" applyFill="1" applyAlignment="1">
      <alignment horizontal="center" vertical="center"/>
    </xf>
    <xf numFmtId="0" fontId="5" fillId="3" borderId="0" xfId="2" applyFont="1" applyFill="1" applyAlignment="1">
      <alignment horizontal="center" vertical="center"/>
    </xf>
    <xf numFmtId="0" fontId="21" fillId="3" borderId="0" xfId="2" applyFont="1" applyFill="1" applyAlignment="1">
      <alignment horizontal="center" vertical="center"/>
    </xf>
    <xf numFmtId="0" fontId="21" fillId="3" borderId="0" xfId="2" applyNumberFormat="1" applyFont="1" applyFill="1" applyAlignment="1">
      <alignment horizontal="center" vertical="center"/>
    </xf>
    <xf numFmtId="4" fontId="4" fillId="3" borderId="0" xfId="4" applyNumberFormat="1" applyFont="1" applyFill="1" applyAlignment="1">
      <alignment horizontal="center" vertical="center"/>
    </xf>
    <xf numFmtId="4" fontId="5" fillId="3" borderId="0" xfId="4" applyNumberFormat="1" applyFont="1" applyFill="1" applyBorder="1" applyAlignment="1">
      <alignment horizontal="center" vertical="center"/>
    </xf>
    <xf numFmtId="166" fontId="5" fillId="3" borderId="0" xfId="6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49" fontId="5" fillId="3" borderId="0" xfId="2" applyNumberFormat="1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164" fontId="4" fillId="3" borderId="0" xfId="4" applyFont="1" applyFill="1" applyAlignment="1">
      <alignment horizontal="center" vertical="center"/>
    </xf>
    <xf numFmtId="4" fontId="18" fillId="3" borderId="0" xfId="4" applyNumberFormat="1" applyFont="1" applyFill="1" applyBorder="1" applyAlignment="1">
      <alignment horizontal="center" vertical="center"/>
    </xf>
    <xf numFmtId="9" fontId="18" fillId="3" borderId="0" xfId="1" applyFont="1" applyFill="1" applyBorder="1" applyAlignment="1">
      <alignment horizontal="center" vertical="center"/>
    </xf>
    <xf numFmtId="167" fontId="18" fillId="15" borderId="67" xfId="0" applyNumberFormat="1" applyFont="1" applyFill="1" applyBorder="1" applyAlignment="1">
      <alignment horizontal="center" vertical="center"/>
    </xf>
    <xf numFmtId="167" fontId="18" fillId="15" borderId="0" xfId="0" applyNumberFormat="1" applyFont="1" applyFill="1" applyBorder="1" applyAlignment="1">
      <alignment horizontal="center" vertical="center"/>
    </xf>
    <xf numFmtId="167" fontId="18" fillId="15" borderId="68" xfId="0" applyNumberFormat="1" applyFont="1" applyFill="1" applyBorder="1" applyAlignment="1">
      <alignment horizontal="center" vertical="center"/>
    </xf>
    <xf numFmtId="4" fontId="7" fillId="0" borderId="7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3" fillId="4" borderId="8" xfId="0" applyFont="1" applyFill="1" applyBorder="1" applyAlignment="1">
      <alignment horizontal="center" vertical="center" wrapText="1"/>
    </xf>
    <xf numFmtId="0" fontId="13" fillId="4" borderId="57" xfId="0" applyFont="1" applyFill="1" applyBorder="1" applyAlignment="1">
      <alignment horizontal="center" vertical="center" wrapText="1"/>
    </xf>
    <xf numFmtId="0" fontId="13" fillId="4" borderId="58" xfId="0" applyFont="1" applyFill="1" applyBorder="1" applyAlignment="1">
      <alignment horizontal="center" vertical="center" wrapText="1"/>
    </xf>
    <xf numFmtId="0" fontId="13" fillId="4" borderId="4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18" borderId="4" xfId="0" applyFont="1" applyFill="1" applyBorder="1" applyAlignment="1">
      <alignment horizontal="center" vertical="center" wrapText="1"/>
    </xf>
    <xf numFmtId="0" fontId="13" fillId="18" borderId="5" xfId="0" applyFont="1" applyFill="1" applyBorder="1" applyAlignment="1">
      <alignment horizontal="center" vertical="center" wrapText="1"/>
    </xf>
    <xf numFmtId="0" fontId="13" fillId="18" borderId="21" xfId="0" applyFont="1" applyFill="1" applyBorder="1" applyAlignment="1">
      <alignment horizontal="center" vertical="center" wrapText="1"/>
    </xf>
    <xf numFmtId="0" fontId="13" fillId="4" borderId="2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/>
    </xf>
    <xf numFmtId="0" fontId="7" fillId="7" borderId="11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13" fillId="4" borderId="4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3" fillId="4" borderId="21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 wrapText="1"/>
    </xf>
    <xf numFmtId="0" fontId="13" fillId="4" borderId="59" xfId="0" applyFont="1" applyFill="1" applyBorder="1" applyAlignment="1">
      <alignment horizontal="center" vertical="center" wrapText="1"/>
    </xf>
    <xf numFmtId="0" fontId="13" fillId="4" borderId="60" xfId="0" applyFont="1" applyFill="1" applyBorder="1" applyAlignment="1">
      <alignment horizontal="center" vertical="center" wrapText="1"/>
    </xf>
    <xf numFmtId="0" fontId="13" fillId="4" borderId="55" xfId="0" applyFont="1" applyFill="1" applyBorder="1" applyAlignment="1">
      <alignment horizontal="center" vertical="center" wrapText="1"/>
    </xf>
    <xf numFmtId="9" fontId="7" fillId="13" borderId="1" xfId="5" applyFont="1" applyFill="1" applyBorder="1" applyAlignment="1">
      <alignment horizontal="center" vertical="center"/>
    </xf>
    <xf numFmtId="0" fontId="7" fillId="0" borderId="13" xfId="2" applyFont="1" applyBorder="1" applyAlignment="1">
      <alignment horizontal="center" vertical="center"/>
    </xf>
    <xf numFmtId="0" fontId="7" fillId="0" borderId="28" xfId="2" applyFont="1" applyBorder="1" applyAlignment="1">
      <alignment horizontal="center" vertical="center"/>
    </xf>
    <xf numFmtId="0" fontId="7" fillId="13" borderId="19" xfId="2" applyFont="1" applyFill="1" applyBorder="1" applyAlignment="1">
      <alignment horizontal="center" vertical="center"/>
    </xf>
    <xf numFmtId="0" fontId="7" fillId="13" borderId="14" xfId="2" applyFont="1" applyFill="1" applyBorder="1" applyAlignment="1">
      <alignment horizontal="center" vertical="center"/>
    </xf>
  </cellXfs>
  <cellStyles count="7">
    <cellStyle name="Обычный" xfId="0" builtinId="0"/>
    <cellStyle name="Обычный 2" xfId="2" xr:uid="{00000000-0005-0000-0000-000001000000}"/>
    <cellStyle name="Обычный 4" xfId="3" xr:uid="{00000000-0005-0000-0000-000002000000}"/>
    <cellStyle name="Процентный" xfId="1" builtinId="5"/>
    <cellStyle name="Процентный 2" xfId="5" xr:uid="{00000000-0005-0000-0000-000004000000}"/>
    <cellStyle name="Финансовый" xfId="6" builtinId="3"/>
    <cellStyle name="Финансовый 2" xfId="4" xr:uid="{00000000-0005-0000-0000-000006000000}"/>
  </cellStyles>
  <dxfs count="221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4" formatCode="#,##0.00"/>
      <fill>
        <patternFill patternType="solid">
          <fgColor indexed="64"/>
          <bgColor rgb="FF92D050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4" formatCode="#,##0.00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4" formatCode="#,##0.00"/>
      <fill>
        <patternFill patternType="solid">
          <fgColor indexed="64"/>
          <bgColor rgb="FF92D050"/>
        </patternFill>
      </fill>
    </dxf>
    <dxf>
      <numFmt numFmtId="4" formatCode="#,##0.00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19" formatCode="dd/mm/yyyy"/>
      <fill>
        <patternFill patternType="solid">
          <fgColor indexed="64"/>
          <bgColor rgb="FF92D050"/>
        </patternFill>
      </fill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2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2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fill>
        <patternFill>
          <bgColor theme="9" tint="0.59996337778862885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6" formatCode="#,##0_ ;\-#,##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6" formatCode="#,##0_ ;\-#,##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9CC"/>
      <color rgb="FFF991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844363</xdr:colOff>
      <xdr:row>301</xdr:row>
      <xdr:rowOff>16489</xdr:rowOff>
    </xdr:from>
    <xdr:to>
      <xdr:col>14</xdr:col>
      <xdr:colOff>839880</xdr:colOff>
      <xdr:row>314</xdr:row>
      <xdr:rowOff>52907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екция">
              <a:extLst>
                <a:ext uri="{FF2B5EF4-FFF2-40B4-BE49-F238E27FC236}">
                  <a16:creationId xmlns:a16="http://schemas.microsoft.com/office/drawing/2014/main" id="{F1248A87-86D9-6D57-464A-9244DBBC3B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ек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20928" y="4006103"/>
              <a:ext cx="1860176" cy="23672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14</xdr:col>
      <xdr:colOff>852207</xdr:colOff>
      <xdr:row>300</xdr:row>
      <xdr:rowOff>183456</xdr:rowOff>
    </xdr:from>
    <xdr:to>
      <xdr:col>16</xdr:col>
      <xdr:colOff>679637</xdr:colOff>
      <xdr:row>314</xdr:row>
      <xdr:rowOff>40580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Номер на этаже">
              <a:extLst>
                <a:ext uri="{FF2B5EF4-FFF2-40B4-BE49-F238E27FC236}">
                  <a16:creationId xmlns:a16="http://schemas.microsoft.com/office/drawing/2014/main" id="{1D950414-9A8B-9B91-4D8C-E70FF11F5E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на этаж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93431" y="3982570"/>
              <a:ext cx="1889312" cy="23784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%20&#1064;&#1090;&#1072;&#1073;/1.25%20&#1050;&#1086;&#1084;-&#1081;%20&#1076;&#1077;&#1087;&#1072;&#1088;%20&#1046;&#1050;%20&#1040;&#1084;&#1043;&#1088;&#1072;&#1076;/&#1050;&#1086;&#1084;&#1084;&#1077;&#1088;&#1095;&#1077;&#1089;&#1082;&#1080;&#1081;%20&#1076;&#1077;&#1087;&#1072;&#1088;&#1090;&#1072;&#1084;&#1077;&#1085;&#1090;%20&#1046;&#1050;/&#1054;&#1090;&#1076;&#1077;&#1083;%20&#1087;&#1088;&#1086;&#1076;&#1072;&#1078;/&#1044;&#1044;&#1059;/&#1050;&#1086;&#1087;&#1080;&#1103;%20&#1056;&#1077;&#1077;&#1089;&#1090;&#1088;%20&#1044;&#1044;&#105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%20&#1064;&#1090;&#1072;&#1073;/1.25%20&#1050;&#1086;&#1084;-&#1081;%20&#1076;&#1077;&#1087;&#1072;&#1088;%20&#1046;&#1050;%20&#1040;&#1084;&#1043;&#1088;&#1072;&#1076;/&#1050;&#1086;&#1084;&#1084;&#1077;&#1088;&#1095;&#1077;&#1089;&#1082;&#1080;&#1081;%20&#1076;&#1077;&#1087;&#1072;&#1088;&#1090;&#1072;&#1084;&#1077;&#1085;&#1090;%20&#1046;&#1050;/&#1054;&#1090;&#1076;&#1077;&#1083;%20&#1087;&#1088;&#1086;&#1076;&#1072;&#1078;/&#1044;&#1044;&#1059;/&#1056;&#1077;&#1077;&#1089;&#1090;&#1088;%20&#1044;&#1044;&#105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естр ДДУ"/>
      <sheetName val="срез по отделке"/>
      <sheetName val="Договора из CRM"/>
      <sheetName val="Средняя стоимость м2"/>
      <sheetName val="разбивка по типу кв.с отделкой"/>
      <sheetName val="разбивка по секциям с отделкой"/>
      <sheetName val="Глотова"/>
      <sheetName val="Глотова общ."/>
      <sheetName val="ИПП"/>
      <sheetName val="Копия Реестр ДДУ"/>
    </sheetNames>
    <sheetDataSet>
      <sheetData sheetId="0"/>
      <sheetData sheetId="1">
        <row r="17">
          <cell r="C17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рез по отделке Д2"/>
      <sheetName val="продажа отделки"/>
      <sheetName val="реестр ДДУ Дом1"/>
      <sheetName val="Реестр ДДУ Дом2"/>
      <sheetName val="Реестр ДДУ Дом3"/>
      <sheetName val="реестр ДДУ"/>
      <sheetName val="Договора из CRM"/>
      <sheetName val="Средняя стоимость м2"/>
      <sheetName val="разбивка по типу кв.с отделкой"/>
      <sheetName val="разбивка по секциям с отделкой"/>
      <sheetName val="Глотова"/>
      <sheetName val="Глотова общ."/>
      <sheetName val="ИПП"/>
    </sheetNames>
    <sheetDataSet>
      <sheetData sheetId="0"/>
      <sheetData sheetId="1"/>
      <sheetData sheetId="2"/>
      <sheetData sheetId="3"/>
      <sheetData sheetId="4"/>
      <sheetData sheetId="5">
        <row r="357">
          <cell r="V35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стахов Максим Александрович" refreshedDate="45806.724234259258" createdVersion="8" refreshedVersion="8" minRefreshableVersion="3" recordCount="35" xr:uid="{0B8E3F47-A638-46FA-B9F5-3DDBD9881BEC}">
  <cacheSource type="worksheet">
    <worksheetSource name="Таблица4"/>
  </cacheSource>
  <cacheFields count="6">
    <cacheField name="Подъезд" numFmtId="0">
      <sharedItems containsSemiMixedTypes="0" containsString="0" containsNumber="1" containsInteger="1" minValue="1" maxValue="3"/>
    </cacheField>
    <cacheField name="Этаж" numFmtId="0">
      <sharedItems containsSemiMixedTypes="0" containsString="0" containsNumber="1" containsInteger="1" minValue="3" maxValue="19"/>
    </cacheField>
    <cacheField name="ТИП ОН" numFmtId="0">
      <sharedItems containsSemiMixedTypes="0" containsString="0" containsNumber="1" containsInteger="1" minValue="0" maxValue="2" count="3">
        <n v="2"/>
        <n v="0"/>
        <n v="1"/>
      </sharedItems>
    </cacheField>
    <cacheField name="№ кв" numFmtId="0">
      <sharedItems containsSemiMixedTypes="0" containsString="0" containsNumber="1" containsInteger="1" minValue="10" maxValue="286"/>
    </cacheField>
    <cacheField name="S" numFmtId="0">
      <sharedItems containsSemiMixedTypes="0" containsString="0" containsNumber="1" minValue="27.92" maxValue="65.72"/>
    </cacheField>
    <cacheField name="отделка" numFmtId="0">
      <sharedItems count="3">
        <s v="Темный"/>
        <s v="Яркий"/>
        <s v="Светлый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n v="1"/>
    <n v="3"/>
    <x v="0"/>
    <n v="10"/>
    <n v="54.78"/>
    <x v="0"/>
  </r>
  <r>
    <n v="1"/>
    <n v="5"/>
    <x v="0"/>
    <n v="20"/>
    <n v="60.11"/>
    <x v="1"/>
  </r>
  <r>
    <n v="1"/>
    <n v="6"/>
    <x v="1"/>
    <n v="25"/>
    <n v="29.69"/>
    <x v="1"/>
  </r>
  <r>
    <n v="1"/>
    <n v="7"/>
    <x v="0"/>
    <n v="33"/>
    <n v="54.85"/>
    <x v="2"/>
  </r>
  <r>
    <n v="1"/>
    <n v="8"/>
    <x v="2"/>
    <n v="42"/>
    <n v="45.26"/>
    <x v="0"/>
  </r>
  <r>
    <n v="1"/>
    <n v="11"/>
    <x v="0"/>
    <n v="56"/>
    <n v="60.02"/>
    <x v="0"/>
  </r>
  <r>
    <n v="1"/>
    <n v="13"/>
    <x v="0"/>
    <n v="70"/>
    <n v="54.69"/>
    <x v="2"/>
  </r>
  <r>
    <n v="1"/>
    <n v="15"/>
    <x v="0"/>
    <n v="81"/>
    <n v="54.47"/>
    <x v="1"/>
  </r>
  <r>
    <n v="1"/>
    <n v="16"/>
    <x v="1"/>
    <n v="85"/>
    <n v="29.4"/>
    <x v="2"/>
  </r>
  <r>
    <n v="1"/>
    <n v="17"/>
    <x v="0"/>
    <n v="92"/>
    <n v="59.73"/>
    <x v="2"/>
  </r>
  <r>
    <n v="1"/>
    <n v="17"/>
    <x v="2"/>
    <n v="96"/>
    <n v="44.9"/>
    <x v="1"/>
  </r>
  <r>
    <n v="1"/>
    <n v="18"/>
    <x v="0"/>
    <n v="100"/>
    <n v="54.4"/>
    <x v="1"/>
  </r>
  <r>
    <n v="1"/>
    <n v="19"/>
    <x v="0"/>
    <n v="105"/>
    <n v="54.47"/>
    <x v="0"/>
  </r>
  <r>
    <n v="2"/>
    <n v="3"/>
    <x v="0"/>
    <n v="120"/>
    <n v="60.94"/>
    <x v="0"/>
  </r>
  <r>
    <n v="2"/>
    <n v="5"/>
    <x v="0"/>
    <n v="127"/>
    <n v="65.72"/>
    <x v="2"/>
  </r>
  <r>
    <n v="2"/>
    <n v="5"/>
    <x v="1"/>
    <n v="129"/>
    <n v="29.5"/>
    <x v="0"/>
  </r>
  <r>
    <n v="2"/>
    <n v="6"/>
    <x v="2"/>
    <n v="134"/>
    <n v="36.630000000000003"/>
    <x v="1"/>
  </r>
  <r>
    <n v="2"/>
    <n v="7"/>
    <x v="0"/>
    <n v="143"/>
    <n v="63.44"/>
    <x v="2"/>
  </r>
  <r>
    <n v="2"/>
    <n v="9"/>
    <x v="1"/>
    <n v="154"/>
    <n v="27.99"/>
    <x v="1"/>
  </r>
  <r>
    <n v="2"/>
    <n v="10"/>
    <x v="1"/>
    <n v="160"/>
    <n v="27.92"/>
    <x v="2"/>
  </r>
  <r>
    <n v="2"/>
    <n v="11"/>
    <x v="2"/>
    <n v="164"/>
    <n v="36.56"/>
    <x v="0"/>
  </r>
  <r>
    <n v="2"/>
    <n v="11"/>
    <x v="0"/>
    <n v="167"/>
    <n v="63.37"/>
    <x v="0"/>
  </r>
  <r>
    <n v="2"/>
    <n v="12"/>
    <x v="0"/>
    <n v="169"/>
    <n v="65.650000000000006"/>
    <x v="1"/>
  </r>
  <r>
    <n v="2"/>
    <n v="12"/>
    <x v="1"/>
    <n v="171"/>
    <n v="29.43"/>
    <x v="2"/>
  </r>
  <r>
    <n v="2"/>
    <n v="13"/>
    <x v="0"/>
    <n v="180"/>
    <n v="60.87"/>
    <x v="1"/>
  </r>
  <r>
    <n v="3"/>
    <n v="4"/>
    <x v="2"/>
    <n v="196"/>
    <n v="36.39"/>
    <x v="0"/>
  </r>
  <r>
    <n v="3"/>
    <n v="6"/>
    <x v="2"/>
    <n v="208"/>
    <n v="36.39"/>
    <x v="2"/>
  </r>
  <r>
    <n v="3"/>
    <n v="7"/>
    <x v="1"/>
    <n v="216"/>
    <n v="29.73"/>
    <x v="1"/>
  </r>
  <r>
    <n v="3"/>
    <n v="11"/>
    <x v="0"/>
    <n v="239"/>
    <n v="59.17"/>
    <x v="0"/>
  </r>
  <r>
    <n v="3"/>
    <n v="12"/>
    <x v="2"/>
    <n v="241"/>
    <n v="44.16"/>
    <x v="1"/>
  </r>
  <r>
    <n v="3"/>
    <n v="13"/>
    <x v="0"/>
    <n v="250"/>
    <n v="56"/>
    <x v="1"/>
  </r>
  <r>
    <n v="3"/>
    <n v="15"/>
    <x v="0"/>
    <n v="263"/>
    <n v="59.03"/>
    <x v="2"/>
  </r>
  <r>
    <n v="3"/>
    <n v="17"/>
    <x v="1"/>
    <n v="276"/>
    <n v="29.43"/>
    <x v="0"/>
  </r>
  <r>
    <n v="3"/>
    <n v="18"/>
    <x v="2"/>
    <n v="277"/>
    <n v="43.88"/>
    <x v="2"/>
  </r>
  <r>
    <n v="3"/>
    <n v="19"/>
    <x v="0"/>
    <n v="286"/>
    <n v="55.7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E8C58-2BA4-4513-BBA6-598D5A33B70D}" name="Сводная таблица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Тип ОН" colHeaderCaption=" ">
  <location ref="L2:P7" firstHeaderRow="1" firstDataRow="2" firstDataCol="1"/>
  <pivotFields count="6"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axis="axisCol" dataField="1" showAll="0">
      <items count="4">
        <item x="2"/>
        <item x="0"/>
        <item x="1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 " fld="5" subtotal="count" baseField="0" baseItem="0"/>
  </dataFields>
  <formats count="10">
    <format dxfId="114">
      <pivotArea type="all" dataOnly="0" outline="0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field="5" type="button" dataOnly="0" labelOnly="1" outline="0" axis="axisCol" fieldPosition="0"/>
    </format>
    <format dxfId="110">
      <pivotArea type="topRight" dataOnly="0" labelOnly="1" outline="0" fieldPosition="0"/>
    </format>
    <format dxfId="109">
      <pivotArea field="2" type="button" dataOnly="0" labelOnly="1" outline="0" axis="axisRow" fieldPosition="0"/>
    </format>
    <format dxfId="108">
      <pivotArea dataOnly="0" labelOnly="1" fieldPosition="0">
        <references count="1">
          <reference field="2" count="0"/>
        </references>
      </pivotArea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5" count="0"/>
        </references>
      </pivotArea>
    </format>
    <format dxfId="10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Реестр4_1" backgroundRefresh="0" connectionId="1" xr16:uid="{00000000-0016-0000-0300-000000000000}" autoFormatId="16" applyNumberFormats="0" applyBorderFormats="0" applyFontFormats="0" applyPatternFormats="0" applyAlignmentFormats="0" applyWidthHeightFormats="0">
  <queryTableRefresh nextId="111" unboundColumnsRight="3">
    <queryTableFields count="48">
      <queryTableField id="1" name="№" tableColumnId="1"/>
      <queryTableField id="2" name="Секция" tableColumnId="2"/>
      <queryTableField id="3" name="Этаж" tableColumnId="3"/>
      <queryTableField id="4" name="Номер на этаже" tableColumnId="4"/>
      <queryTableField id="5" name="Тип кв" tableColumnId="5"/>
      <queryTableField id="67" dataBound="0" tableColumnId="18"/>
      <queryTableField id="66" dataBound="0" tableColumnId="17"/>
      <queryTableField id="87" dataBound="0" tableColumnId="31"/>
      <queryTableField id="107" dataBound="0" tableColumnId="43"/>
      <queryTableField id="86" dataBound="0" tableColumnId="29"/>
      <queryTableField id="65" dataBound="0" tableColumnId="16"/>
      <queryTableField id="63" dataBound="0" tableColumnId="14"/>
      <queryTableField id="68" dataBound="0" tableColumnId="7"/>
      <queryTableField id="103" dataBound="0" tableColumnId="36"/>
      <queryTableField id="88" dataBound="0" tableColumnId="19"/>
      <queryTableField id="95" dataBound="0" tableColumnId="42"/>
      <queryTableField id="93" dataBound="0" tableColumnId="38"/>
      <queryTableField id="105" dataBound="0" tableColumnId="39"/>
      <queryTableField id="89" dataBound="0" tableColumnId="20"/>
      <queryTableField id="55" dataBound="0" tableColumnId="6"/>
      <queryTableField id="21" name="Цена м2 базовая" tableColumnId="21"/>
      <queryTableField id="22" name="Коэф базовой  наценки" tableColumnId="22"/>
      <queryTableField id="23" name="Цена м2 с К наценки без отделки" tableColumnId="23"/>
      <queryTableField id="24" name="еврокухня" tableColumnId="24"/>
      <queryTableField id="75" dataBound="0" tableColumnId="15"/>
      <queryTableField id="25" name="ванна от 4 кв.м" tableColumnId="25"/>
      <queryTableField id="84" dataBound="0" tableColumnId="32"/>
      <queryTableField id="28" name="гардеробные" tableColumnId="28"/>
      <queryTableField id="69" dataBound="0" tableColumnId="8"/>
      <queryTableField id="70" dataBound="0" tableColumnId="9"/>
      <queryTableField id="30" name="низкий этаж" tableColumnId="30"/>
      <queryTableField id="71" dataBound="0" tableColumnId="10"/>
      <queryTableField id="33" name="выход на лоджию с кухни" tableColumnId="33"/>
      <queryTableField id="34" name="вид на 2 стороны" tableColumnId="34"/>
      <queryTableField id="78" dataBound="0" tableColumnId="13"/>
      <queryTableField id="35" name="Не угловая" tableColumnId="35"/>
      <queryTableField id="97" dataBound="0" tableColumnId="27"/>
      <queryTableField id="102" dataBound="0" tableColumnId="26"/>
      <queryTableField id="106" dataBound="0" tableColumnId="44"/>
      <queryTableField id="90" dataBound="0" tableColumnId="12"/>
      <queryTableField id="76" dataBound="0" tableColumnId="11"/>
      <queryTableField id="37" name="Цена м2 с учетом всех коэф-тов" tableColumnId="37"/>
      <queryTableField id="40" name="Цена м2 с учетом всех наценок" tableColumnId="40"/>
      <queryTableField id="41" name="Стоимость ОН без отделки без скидки" tableColumnId="41"/>
      <queryTableField id="52" name="Статус" tableColumnId="52"/>
      <queryTableField id="108" dataBound="0" tableColumnId="45"/>
      <queryTableField id="109" dataBound="0" tableColumnId="46"/>
      <queryTableField id="110" dataBound="0" tableColumnId="47"/>
    </queryTableFields>
    <queryTableDeletedFields count="35">
      <deletedField name="Площадь комната 1"/>
      <deletedField name="Площадь комната 2"/>
      <deletedField name="Площадь комната 3"/>
      <deletedField name="Площадь по проекту жилая"/>
      <deletedField name="Площадь кухни"/>
      <deletedField name="Площадь ванная"/>
      <deletedField name="Площадь с\у"/>
      <deletedField name="гардеробная"/>
      <deletedField name="Площадь вх группа"/>
      <deletedField name="Площадь Лоджии"/>
      <deletedField name="Площадь 2Лоджии"/>
      <deletedField name="Летние"/>
      <deletedField name="Площадь по проекту (общая)"/>
      <deletedField name="Площадь по проекту отапл (без летних)"/>
      <deletedField name="Общая приведенная с летними и пониж коэф"/>
      <deletedField name="Скидка %"/>
      <deletedField name="Скидка в сумме"/>
      <deletedField name="Стоимость ОН со скидкой"/>
      <deletedField name="кухни от 10 до 14кв.м"/>
      <deletedField name="свободная планировка"/>
      <deletedField name="Статусы CRM"/>
      <deletedField name="проверка статуса"/>
      <deletedField name="раздельные с/у"/>
      <deletedField name="квадратные комнаты"/>
      <deletedField name="Примечание"/>
      <deletedField name="Отделка"/>
      <deletedField name="Стоимость отделки"/>
      <deletedField name="Цена м2 с отделкой"/>
      <deletedField name="Сумма отделки"/>
      <deletedField name="Стоимость квартиры с отделкой"/>
      <deletedField name="ОН ХИТ"/>
      <deletedField name="наценка 1"/>
      <deletedField name="наценка 2"/>
      <deletedField name="Высокий  этаж"/>
      <deletedField name="лоджий больше 2х"/>
    </queryTableDeletedFields>
  </queryTableRefresh>
  <extLst>
    <ext xmlns:x15="http://schemas.microsoft.com/office/spreadsheetml/2010/11/main" uri="{883FBD77-0823-4a55-B5E3-86C4891E6966}">
      <x15:queryTable sourceDataName=" 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59BB404-B3AE-4B84-8BB9-551C25061E6A}" autoFormatId="16" applyNumberFormats="0" applyBorderFormats="0" applyFontFormats="0" applyPatternFormats="0" applyAlignmentFormats="0" applyWidthHeightFormats="0">
  <queryTableRefresh nextId="76">
    <queryTableFields count="62">
      <queryTableField id="1" name="№" tableColumnId="1"/>
      <queryTableField id="2" name="кол-во" tableColumnId="2"/>
      <queryTableField id="3" name="Дата подачи на регистрацию" tableColumnId="3"/>
      <queryTableField id="4" name="№ договора" tableColumnId="4"/>
      <queryTableField id="5" name="Схема продажи" tableColumnId="5"/>
      <queryTableField id="6" name="СЭР\МФЦ" tableColumnId="6"/>
      <queryTableField id="7" name="Способ регистрации" tableColumnId="7"/>
      <queryTableField id="8" name="Дата регистрации МФЦ (план)" tableColumnId="8"/>
      <queryTableField id="9" name="Дата регистрации МФЦ\СЭР" tableColumnId="9"/>
      <queryTableField id="10" name="Все участники сделки" tableColumnId="10"/>
      <queryTableField id="11" name="Дом" tableColumnId="11"/>
      <queryTableField id="12" name="Секция" tableColumnId="12"/>
      <queryTableField id="13" name="№ на этаже" tableColumnId="13"/>
      <queryTableField id="14" name="Этаж" tableColumnId="14"/>
      <queryTableField id="15" name="№ кв" tableColumnId="15"/>
      <queryTableField id="16" name="Тип кв" tableColumnId="16"/>
      <queryTableField id="17" name="S" tableColumnId="17"/>
      <queryTableField id="18" name="Отделка " tableColumnId="18"/>
      <queryTableField id="19" name="Сумма договора" tableColumnId="19"/>
      <queryTableField id="20" name="Цена м2" tableColumnId="20"/>
      <queryTableField id="21" name="Платная бронь" tableColumnId="21"/>
      <queryTableField id="22" name="Итоговая стоимость с отделкой" tableColumnId="22"/>
      <queryTableField id="23" name="Итоговая цена м2 с отделкой" tableColumnId="23"/>
      <queryTableField id="24" name="Стоимость отделки" tableColumnId="24"/>
      <queryTableField id="25" name="Итоговая стоимость без отделки" tableColumnId="25"/>
      <queryTableField id="26" name="Итоговая цена м2 без отделки" tableColumnId="26"/>
      <queryTableField id="27" name="Акция\скидка" tableColumnId="27"/>
      <queryTableField id="28" name="Сумма скидки" tableColumnId="28"/>
      <queryTableField id="29" name="Вариант оплаты" tableColumnId="29"/>
      <queryTableField id="30" name="Банк" tableColumnId="30"/>
      <queryTableField id="31" name="Собственные средства" tableColumnId="31"/>
      <queryTableField id="32" name="Кредитные средства" tableColumnId="32"/>
      <queryTableField id="33" name="МСК" tableColumnId="33"/>
      <queryTableField id="34" name="ЖСК" tableColumnId="34"/>
      <queryTableField id="35" name="РВИ" tableColumnId="35"/>
      <queryTableField id="36" name="Программа кредитования" tableColumnId="36"/>
      <queryTableField id="37" name="Скидка по Гос. программе" tableColumnId="37"/>
      <queryTableField id="38" name="Ставка Гос. Программы" tableColumnId="38"/>
      <queryTableField id="39" name="% комиссии" tableColumnId="39"/>
      <queryTableField id="40" name="сумма комиссии" tableColumnId="40"/>
      <queryTableField id="41" name="Основной клиент" tableColumnId="41"/>
      <queryTableField id="42" name="Мобильный телефон" tableColumnId="42"/>
      <queryTableField id="43" name="Пол" tableColumnId="43"/>
      <queryTableField id="44" name="Дата рождения" tableColumnId="44"/>
      <queryTableField id="45" name="Гражданство" tableColumnId="45"/>
      <queryTableField id="46" name="Тип удостоверения личности" tableColumnId="46"/>
      <queryTableField id="47" name="Серия" tableColumnId="47"/>
      <queryTableField id="48" name="Номер" tableColumnId="48"/>
      <queryTableField id="49" name="Дата выдачи" tableColumnId="49"/>
      <queryTableField id="50" name="Код под-ния" tableColumnId="50"/>
      <queryTableField id="51" name="Документ выдан" tableColumnId="51"/>
      <queryTableField id="52" name="Адрес регистрации" tableColumnId="52"/>
      <queryTableField id="53" name="Адрес для корреспонденции" tableColumnId="53"/>
      <queryTableField id="54" name="ИНН" tableColumnId="54"/>
      <queryTableField id="55" name="СНИЛС" tableColumnId="55"/>
      <queryTableField id="56" name="Электронная почта" tableColumnId="56"/>
      <queryTableField id="57" name="Источник рекламы" tableColumnId="57"/>
      <queryTableField id="58" name="МОП" tableColumnId="58"/>
      <queryTableField id="59" name="ИМ" tableColumnId="59"/>
      <queryTableField id="60" name="Тип договора" tableColumnId="60"/>
      <queryTableField id="61" name="Дата расторжения\уступки" tableColumnId="61"/>
      <queryTableField id="62" name="Примечание" tableColumnId="6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екция" xr10:uid="{B7ACDCEC-35DD-400F-BC6E-EA6BE2EEF53F}" sourceName="Секция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на_этаже" xr10:uid="{E3CA276B-E8C9-4BCA-A4CB-2D667D1E086E}" sourceName="Номер на этаже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Секция" xr10:uid="{B96837AE-3500-4477-B881-628EEACFEE2B}" cache="Срез_Секция" caption="Секция" rowHeight="241300"/>
  <slicer name="Номер на этаже" xr10:uid="{01B6CDC8-432B-44A3-BFBA-7C655DDA90AF}" cache="Срез_Номер_на_этаже" caption="Номер на этаже" rowHeight="24130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Д402" displayName="Д402" ref="A2:BO290" totalsRowShown="0" headerRowDxfId="218" dataDxfId="217">
  <autoFilter ref="A2:BO290" xr:uid="{00000000-000C-0000-FFFF-FFFF00000000}"/>
  <tableColumns count="67">
    <tableColumn id="1" xr3:uid="{00000000-0010-0000-0000-000001000000}" name="№" dataDxfId="216" totalsRowDxfId="215"/>
    <tableColumn id="2" xr3:uid="{00000000-0010-0000-0000-000002000000}" name="Секция" dataDxfId="214"/>
    <tableColumn id="3" xr3:uid="{00000000-0010-0000-0000-000003000000}" name="Этаж" dataDxfId="213" totalsRowDxfId="212"/>
    <tableColumn id="4" xr3:uid="{00000000-0010-0000-0000-000004000000}" name="№ на этаже" dataDxfId="211" totalsRowDxfId="210"/>
    <tableColumn id="5" xr3:uid="{00000000-0010-0000-0000-000005000000}" name="Тип кв" dataDxfId="209" totalsRowDxfId="208"/>
    <tableColumn id="29" xr3:uid="{00000000-0010-0000-0000-00001D000000}" name="Комната 1" dataDxfId="207" totalsRowDxfId="206"/>
    <tableColumn id="28" xr3:uid="{00000000-0010-0000-0000-00001C000000}" name="Комната 2" dataDxfId="205" totalsRowDxfId="204"/>
    <tableColumn id="30" xr3:uid="{00000000-0010-0000-0000-00001E000000}" name="Комната 3" dataDxfId="203" totalsRowDxfId="202"/>
    <tableColumn id="18" xr3:uid="{00000000-0010-0000-0000-000012000000}" name="Площадь по проекту жилая" dataDxfId="201" totalsRowDxfId="200">
      <calculatedColumnFormula>SUM(Д402[[#This Row],[Комната 1]:[Комната 3]])</calculatedColumnFormula>
    </tableColumn>
    <tableColumn id="35" xr3:uid="{00000000-0010-0000-0000-000023000000}" name="Кухня" dataDxfId="199" totalsRowDxfId="198"/>
    <tableColumn id="34" xr3:uid="{00000000-0010-0000-0000-000022000000}" name="Ванная" dataDxfId="197" totalsRowDxfId="196"/>
    <tableColumn id="42" xr3:uid="{00000000-0010-0000-0000-00002A000000}" name="С\У" dataDxfId="195" totalsRowDxfId="194"/>
    <tableColumn id="41" xr3:uid="{00000000-0010-0000-0000-000029000000}" name="Коридор" dataDxfId="193" totalsRowDxfId="192"/>
    <tableColumn id="6" xr3:uid="{00000000-0010-0000-0000-000006000000}" name="Гардеробная" dataDxfId="191"/>
    <tableColumn id="43" xr3:uid="{00000000-0010-0000-0000-00002B000000}" name="Лоджия 1" dataDxfId="190" totalsRowDxfId="189"/>
    <tableColumn id="40" xr3:uid="{00000000-0010-0000-0000-000028000000}" name="Лоджия 2" dataDxfId="188" totalsRowDxfId="187"/>
    <tableColumn id="14" xr3:uid="{00000000-0010-0000-0000-00000E000000}" name="Лоджия 3" dataDxfId="186" totalsRowDxfId="185"/>
    <tableColumn id="44" xr3:uid="{00000000-0010-0000-0000-00002C000000}" name="Летние" dataDxfId="184">
      <calculatedColumnFormula>SUM(Д402[[#This Row],[Лоджия 1]:[Лоджия 3]])</calculatedColumnFormula>
    </tableColumn>
    <tableColumn id="19" xr3:uid="{00000000-0010-0000-0000-000013000000}" name="Площадь по проекту(общая)" dataDxfId="183" totalsRowDxfId="182" dataCellStyle="Финансовый 2">
      <calculatedColumnFormula>ROUND(SUM(Д402[[#This Row],[Площадь по проекту жилая]:[Лоджия 3]]),2)</calculatedColumnFormula>
    </tableColumn>
    <tableColumn id="36" xr3:uid="{00000000-0010-0000-0000-000024000000}" name="Площадь по проекту отапл (без летних)" dataDxfId="181" dataCellStyle="Финансовый 2">
      <calculatedColumnFormula>ROUND(Д402[[#This Row],[Площадь по проекту(общая)]]-Д402[[#This Row],[Летние]],2)</calculatedColumnFormula>
    </tableColumn>
    <tableColumn id="12" xr3:uid="{00000000-0010-0000-0000-00000C000000}" name="Расчетная проектная площадь" dataDxfId="180" dataCellStyle="Финансовый 2">
      <calculatedColumnFormula>ROUND(Д402[[#This Row],[Площадь по проекту(общая)]]-(SUM(Д402[[#This Row],[Лоджия 1]:[Лоджия 3]])/2),2)</calculatedColumnFormula>
    </tableColumn>
    <tableColumn id="38" xr3:uid="{657B7AC0-41F7-451B-8F9D-5FDE59293E04}" name="м2 после К" dataDxfId="179" dataCellStyle="Финансовый 2">
      <calculatedColumnFormula>VLOOKUP(Д402[[#This Row],[№]],наценка7[],COLUMN(наценка7[[#This Row],[Цена м2 с учетом всех K]]),0)</calculatedColumnFormula>
    </tableColumn>
    <tableColumn id="37" xr3:uid="{348338BB-CBC5-48FA-8BCF-6C4BFF7656EE}" name="02.12.2024" dataDxfId="178" dataCellStyle="Финансовый 2"/>
    <tableColumn id="32" xr3:uid="{1E9CB285-79B8-4971-8266-25389985F6B7}" name="Фикс 20.12.24" dataDxfId="177" dataCellStyle="Финансовый 2">
      <calculatedColumnFormula>Д402[[#This Row],[м2 после К]]+Д402[[#This Row],[02.12.2024]]</calculatedColumnFormula>
    </tableColumn>
    <tableColumn id="49" xr3:uid="{70ABC5A4-88AE-4535-B793-8C3FDF3A03CC}" name="23.12.24 СП +1000" dataDxfId="176" dataCellStyle="Финансовый 2"/>
    <tableColumn id="50" xr3:uid="{618FA2F8-97A3-43D1-BD8A-641F289F9D27}" name="Фикс 23.12.24" dataDxfId="175" dataCellStyle="Финансовый 2">
      <calculatedColumnFormula>Д402[[#This Row],[Фикс 20.12.24]]+Д402[[#This Row],[23.12.24 СП +1000]]</calculatedColumnFormula>
    </tableColumn>
    <tableColumn id="48" xr3:uid="{E83A97CB-5061-49EE-A1A6-135801E06653}" name="Повышение 20.02.25" dataDxfId="174" dataCellStyle="Финансовый 2"/>
    <tableColumn id="39" xr3:uid="{8D17FC6D-E92D-41C2-8F71-B50C640915A3}" name="Фикс 20.02.25" dataDxfId="173" dataCellStyle="Финансовый 2">
      <calculatedColumnFormula>Д402[[#This Row],[Фикс 23.12.24]]+Д402[[#This Row],[Повышение 20.02.25]]</calculatedColumnFormula>
    </tableColumn>
    <tableColumn id="52" xr3:uid="{475DDA92-EFA9-4EDD-84BC-FCE8D223571E}" name="Повышение 24.02.2025" dataDxfId="172" dataCellStyle="Финансовый 2"/>
    <tableColumn id="51" xr3:uid="{6C808007-10E2-4270-8D28-870E8DAC655A}" name="Фикс 24.02.25" dataDxfId="171" dataCellStyle="Финансовый 2">
      <calculatedColumnFormula>Д402[[#This Row],[Фикс 20.02.25]]+Д402[[#This Row],[Повышение 24.02.2025]]</calculatedColumnFormula>
    </tableColumn>
    <tableColumn id="54" xr3:uid="{A6654F3C-C7F2-4BD2-8AD4-63AADF669FAC}" name="Повышение 05.03.2025_x000a_1К: до 40м - 1,5%, 40+ 0,5%_x000a_2К - 0,5% " dataDxfId="170" dataCellStyle="Финансовый 2"/>
    <tableColumn id="53" xr3:uid="{58716968-9B13-4097-81D8-37535D9D8AAD}" name="Фикс 05.03.25" dataDxfId="169" dataCellStyle="Финансовый 2">
      <calculatedColumnFormula>Д402[[#This Row],[Фикс 24.02.25]]+Д402[[#This Row],[Повышение 05.03.2025
1К: до 40м - 1,5%, 40+ 0,5%
2К - 0,5% ]]</calculatedColumnFormula>
    </tableColumn>
    <tableColumn id="56" xr3:uid="{ACD99D8C-1A48-4A10-926E-34BDB8BE32EC}" name="повышение 14.03.25 1К-1%" dataDxfId="168" dataCellStyle="Финансовый 2"/>
    <tableColumn id="55" xr3:uid="{A611D615-E4D3-430D-BBF3-40B7C5084062}" name="Фикс 14.03.25" dataDxfId="167" dataCellStyle="Финансовый 2">
      <calculatedColumnFormula>Д402[[#This Row],[Фикс 05.03.25]]+Д402[[#This Row],[повышение 14.03.25 1К-1%]]</calculatedColumnFormula>
    </tableColumn>
    <tableColumn id="58" xr3:uid="{E2093302-72D7-4943-B92D-9928D45CD034}" name="повышение 28.03.25 1К-1%" dataDxfId="166" dataCellStyle="Финансовый 2"/>
    <tableColumn id="57" xr3:uid="{73E7749D-3E93-42F1-852A-7A588E06ADA0}" name="Фикс 28.03.25" dataDxfId="165" dataCellStyle="Финансовый 2">
      <calculatedColumnFormula>Д402[[#This Row],[Фикс 14.03.25]]+Д402[[#This Row],[повышение 28.03.25 1К-1%]]</calculatedColumnFormula>
    </tableColumn>
    <tableColumn id="60" xr3:uid="{E11507F9-60DA-436F-ACFB-8798E7D7E436}" name="Повышение 23.07.25_x000a_1К 43-46м2 - 2%_x000a_2К 55-58 - 2%; 58-64 - 3%_x000a_3К 76-79 - 2%_x000a_" dataDxfId="164" dataCellStyle="Финансовый 2"/>
    <tableColumn id="59" xr3:uid="{04B20722-A30A-471B-A2E9-55E3505DA8C8}" name="Фикс 23.07.25" dataDxfId="163" dataCellStyle="Финансовый 2">
      <calculatedColumnFormula>Д402[[#This Row],[Фикс 28.03.25]]+Д402[[#This Row],[Повышение 23.07.25
1К 43-46м2 - 2%
2К 55-58 - 2%; 58-64 - 3%
3К 76-79 - 2%
]]</calculatedColumnFormula>
    </tableColumn>
    <tableColumn id="7" xr3:uid="{00000000-0010-0000-0000-000007000000}" name="утв цена м2" dataDxfId="162" dataCellStyle="Финансовый 2">
      <calculatedColumnFormula>ROUND(Д402[[#This Row],[Фикс 23.07.25]],2)</calculatedColumnFormula>
    </tableColumn>
    <tableColumn id="15" xr3:uid="{0A73AC85-F68A-47D8-B45C-BDF6A756B953}" name="Стоимость до скидки" dataDxfId="161" dataCellStyle="Финансовый 2">
      <calculatedColumnFormula>ROUNDUP(Д402[[#This Row],[утв цена м2]]*Д402[[#This Row],[Расчетная проектная площадь]],-2)</calculatedColumnFormula>
    </tableColumn>
    <tableColumn id="10" xr3:uid="{00000000-0010-0000-0000-00000A000000}" name="Скидка фиксированная" dataDxfId="160" dataCellStyle="Финансовый 2"/>
    <tableColumn id="8" xr3:uid="{A43E2356-6168-4CA0-94C3-7D6FB20D44E7}" name="Скидка %" dataDxfId="159" dataCellStyle="Процентный"/>
    <tableColumn id="33" xr3:uid="{00000000-0010-0000-0000-000021000000}" name="Итоговая сумма скидки" dataDxfId="158" dataCellStyle="Финансовый 2">
      <calculatedColumnFormula>Д402[[#This Row],[Стоимость до скидки]]*Д402[[#This Row],[Скидка %]]+Д402[[#This Row],[Скидка фиксированная]]</calculatedColumnFormula>
    </tableColumn>
    <tableColumn id="9" xr3:uid="{00000000-0010-0000-0000-000009000000}" name="Цена м2 без отделки со скидкой" dataDxfId="157" dataCellStyle="Финансовый 2">
      <calculatedColumnFormula>Д402[[#This Row],[Стоимость ОН без отделки со скидкой]]/Д402[[#This Row],[Расчетная проектная площадь]]</calculatedColumnFormula>
    </tableColumn>
    <tableColumn id="11" xr3:uid="{00000000-0010-0000-0000-00000B000000}" name="Стоимость ОН без отделки со скидкой" dataDxfId="156" totalsRowDxfId="155" dataCellStyle="Финансовый 2">
      <calculatedColumnFormula>Д402[[#This Row],[Стоимость до скидки]]-Д402[[#This Row],[Итоговая сумма скидки]]</calculatedColumnFormula>
    </tableColumn>
    <tableColumn id="24" xr3:uid="{00000000-0010-0000-0000-000018000000}" name="Отделка" dataDxfId="154" totalsRowDxfId="153" dataCellStyle="Финансовый 2">
      <calculatedColumnFormula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calculatedColumnFormula>
    </tableColumn>
    <tableColumn id="25" xr3:uid="{00000000-0010-0000-0000-000019000000}" name="Стоимость отделки" dataDxfId="152" totalsRowDxfId="151" dataCellStyle="Финансовый"/>
    <tableColumn id="13" xr3:uid="{A7FEC950-851F-40EC-BA21-C5A96148E850}" name="Тип отделки" dataDxfId="150" totalsRowDxfId="149" dataCellStyle="Финансовый"/>
    <tableColumn id="26" xr3:uid="{00000000-0010-0000-0000-00001A000000}" name="Цена м2 с отделкой" dataDxfId="148" totalsRowDxfId="147" dataCellStyle="Финансовый 2">
      <calculatedColumnFormula>Д402[[#This Row],[Цена м2 без отделки со скидкой]]+Д402[[#This Row],[Стоимость отделки]]</calculatedColumnFormula>
    </tableColumn>
    <tableColumn id="45" xr3:uid="{00000000-0010-0000-0000-00002D000000}" name="Сумма отделки" dataDxfId="146" dataCellStyle="Финансовый 2">
      <calculatedColumnFormula>Д402[[#This Row],[Стоимость квартиры с отделкой]]-Д402[[#This Row],[Стоимость ОН без отделки со скидкой]]</calculatedColumnFormula>
    </tableColumn>
    <tableColumn id="27" xr3:uid="{00000000-0010-0000-0000-00001B000000}" name="Стоимость квартиры с отделкой" dataDxfId="145" totalsRowDxfId="144" dataCellStyle="Финансовый 2">
      <calculatedColumnFormula>Д402[[#This Row],[Цена м2 с отделкой]]*Д402[[#This Row],[Расчетная проектная площадь]]</calculatedColumnFormula>
    </tableColumn>
    <tableColumn id="20" xr3:uid="{00000000-0010-0000-0000-000014000000}" name="Примечание" dataDxfId="143" totalsRowDxfId="142"/>
    <tableColumn id="21" xr3:uid="{00000000-0010-0000-0000-000015000000}" name="Статус" dataDxfId="141" totalsRowDxfId="140" dataCellStyle="Обычный 2"/>
    <tableColumn id="23" xr3:uid="{00000000-0010-0000-0000-000017000000}" name="Статусы CRM" dataDxfId="139" totalsRowDxfId="138" dataCellStyle="Обычный 4">
      <calculatedColumnFormula array="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calculatedColumnFormula>
    </tableColumn>
    <tableColumn id="61" xr3:uid="{B8508238-6D02-443C-B5D4-9FA40E96DD8F}" name="Статус ALLIO" dataDxfId="137" totalsRowDxfId="136"/>
    <tableColumn id="62" xr3:uid="{4A2572CF-3F54-4FDF-BC0A-EA2192D474EE}" name="Тип брони" dataDxfId="135" totalsRowDxfId="134"/>
    <tableColumn id="63" xr3:uid="{97934A97-967F-4C1D-990E-F74D0DA73097}" name="Название объекта" dataDxfId="133" totalsRowDxfId="132"/>
    <tableColumn id="64" xr3:uid="{AA8458CB-1D95-4319-8D82-46D0B73B50E2}" name="Тип площади" dataDxfId="131" totalsRowDxfId="130"/>
    <tableColumn id="22" xr3:uid="{00000000-0010-0000-0000-000016000000}" name="Проверка" dataDxfId="129" totalsRowDxfId="128">
      <calculatedColumnFormula>EXACT(Д402[[#This Row],[Статусы CRM]],Д402[[#This Row],[Статус]])</calculatedColumnFormula>
    </tableColumn>
    <tableColumn id="31" xr3:uid="{440FA8EF-B07B-47AD-9899-8F2D922AD58C}" name="Стоимость CRM" dataDxfId="127" totalsRowDxfId="126" dataCellStyle="Финансовый 2">
      <calculatedColumnFormula>IF(Д402[[#This Row],[ПС]]=0,IF(Д402[[#This Row],[ДС]]=0,Д402[[#This Row],[ТС]],Д402[[#This Row],[ДС]]),Д402[[#This Row],[ПС]])</calculatedColumnFormula>
    </tableColumn>
    <tableColumn id="67" xr3:uid="{D0BF7A57-9130-4C0D-8B15-59DE31B8F6EA}" name="ТС" dataDxfId="125" dataCellStyle="Финансовый 2"/>
    <tableColumn id="66" xr3:uid="{6AD3A6E0-C566-4DEC-B193-ADFAAF465C5D}" name="ПС" dataDxfId="124" dataCellStyle="Финансовый 2"/>
    <tableColumn id="65" xr3:uid="{D5036048-D46A-446D-B9C4-A5659C1859DB}" name="ДС" dataDxfId="123" dataCellStyle="Финансовый 2"/>
    <tableColumn id="46" xr3:uid="{762772AD-ED11-457B-BF42-6413EFFD22BD}" name="проверка стоимости" dataDxfId="122" totalsRowDxfId="121">
      <calculatedColumnFormula>Д402[[#This Row],[Стоимость CRM]]-Д402[[#This Row],[Стоимость до скидки]]</calculatedColumnFormula>
    </tableColumn>
    <tableColumn id="17" xr3:uid="{F711C195-C6E7-416B-BDAE-2927A4139695}" name="Отделка CRM" dataDxfId="120" totalsRowDxfId="119"/>
    <tableColumn id="16" xr3:uid="{A2A83B10-9E39-4CB5-8A75-1BF893370F69}" name="Проверка отделки" dataDxfId="118" totalsRowDxfId="117">
      <calculatedColumnFormula>Д402[[#This Row],[Отделка CRM]]=Д402[[#This Row],[Отделка]]</calculatedColumnFormula>
    </tableColumn>
    <tableColumn id="47" xr3:uid="{C1BEEA61-9A3D-409C-9717-8E444FA7FC46}" name="КОД ОН" dataDxfId="116" totalsRow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C55921-E5CA-4CC3-BD4A-7A5DA4F2D3DB}" name="Таблица4" displayName="Таблица4" ref="D2:I37" totalsRowShown="0" headerRowDxfId="104" dataDxfId="103">
  <autoFilter ref="D2:I37" xr:uid="{54C55921-E5CA-4CC3-BD4A-7A5DA4F2D3DB}"/>
  <tableColumns count="6">
    <tableColumn id="5" xr3:uid="{1DF28470-9453-48A7-BB33-EE539F89D7C8}" name="Подъезд" dataDxfId="102"/>
    <tableColumn id="4" xr3:uid="{617176C2-BD29-42A2-8EBA-14BAB488F061}" name="Этаж" dataDxfId="101"/>
    <tableColumn id="6" xr3:uid="{B46DCE19-5F60-4C75-B37E-2BF623B10D88}" name="ТИП ОН" dataDxfId="100"/>
    <tableColumn id="1" xr3:uid="{6577C4A4-592C-452A-B927-D231973F3FA1}" name="№ кв" dataDxfId="99"/>
    <tableColumn id="7" xr3:uid="{CA31516D-A38D-487F-BBC4-31DBFE729562}" name="S" dataDxfId="98"/>
    <tableColumn id="2" xr3:uid="{1712F72D-B036-4BD2-BCA6-C233303F0537}" name="отделка" dataDxfId="9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наценка7" displayName="наценка7" ref="A2:AV290" tableType="queryTable" totalsRowShown="0" headerRowDxfId="95" dataDxfId="94">
  <autoFilter ref="A2:AV290" xr:uid="{00000000-0009-0000-0100-000001000000}">
    <filterColumn colId="4">
      <filters>
        <filter val="3"/>
      </filters>
    </filterColumn>
  </autoFilter>
  <tableColumns count="48">
    <tableColumn id="1" xr3:uid="{00000000-0010-0000-0100-000001000000}" uniqueName="1" name="№" queryTableFieldId="1" dataDxfId="93"/>
    <tableColumn id="2" xr3:uid="{00000000-0010-0000-0100-000002000000}" uniqueName="2" name="Секция" queryTableFieldId="2" dataDxfId="92"/>
    <tableColumn id="3" xr3:uid="{00000000-0010-0000-0100-000003000000}" uniqueName="3" name="Этаж" queryTableFieldId="3" dataDxfId="91"/>
    <tableColumn id="4" xr3:uid="{00000000-0010-0000-0100-000004000000}" uniqueName="4" name="Номер на этаже" queryTableFieldId="4" dataDxfId="90"/>
    <tableColumn id="5" xr3:uid="{00000000-0010-0000-0100-000005000000}" uniqueName="5" name="Тип кв" queryTableFieldId="5" dataDxfId="89"/>
    <tableColumn id="18" xr3:uid="{00000000-0010-0000-0100-000012000000}" uniqueName="18" name="Кухня" queryTableFieldId="67" dataDxfId="88">
      <calculatedColumnFormula>_xlfn.XLOOKUP(наценка7[[#This Row],[№]],Д402[№],Д402[Кухня],"-",0)</calculatedColumnFormula>
    </tableColumn>
    <tableColumn id="17" xr3:uid="{00000000-0010-0000-0100-000011000000}" uniqueName="17" name="Ванная" queryTableFieldId="66" dataDxfId="87">
      <calculatedColumnFormula>_xlfn.XLOOKUP(наценка7[[#This Row],[№]],Д402[№],Д402[Ванная],"-",0)</calculatedColumnFormula>
    </tableColumn>
    <tableColumn id="31" xr3:uid="{B90FE105-447D-40A6-B65F-C9E82956ADF7}" uniqueName="31" name="Вид" queryTableFieldId="87" dataDxfId="86"/>
    <tableColumn id="43" xr3:uid="{F78F749C-6254-4B64-B373-AB495625080A}" uniqueName="43" name="Потолок " queryTableFieldId="107" dataDxfId="85"/>
    <tableColumn id="29" xr3:uid="{D95785AB-A7E2-4285-8522-346754D4A53A}" uniqueName="29" name="Кухня лоджия" queryTableFieldId="86" dataDxfId="84"/>
    <tableColumn id="16" xr3:uid="{00000000-0010-0000-0100-000010000000}" uniqueName="16" name="Гардеробная" queryTableFieldId="65" dataDxfId="83"/>
    <tableColumn id="14" xr3:uid="{00000000-0010-0000-0100-00000E000000}" uniqueName="14" name="Лоджии" queryTableFieldId="63" dataDxfId="82"/>
    <tableColumn id="7" xr3:uid="{00000000-0010-0000-0100-000007000000}" uniqueName="7" name="С\У" queryTableFieldId="68" dataDxfId="81"/>
    <tableColumn id="36" xr3:uid="{7DF1FFE3-B845-408A-B13D-54BD9D9A1C57}" uniqueName="36" name="Большая площадь" queryTableFieldId="103" dataDxfId="80"/>
    <tableColumn id="19" xr3:uid="{FCCADBAE-827C-4A4C-B214-166B7041EEF5}" uniqueName="19" name="Угловая" queryTableFieldId="88" dataDxfId="79"/>
    <tableColumn id="42" xr3:uid="{B804FF2E-EF94-4B3B-9F51-1360D2A8AD34}" uniqueName="42" name="Панорамное остекление" queryTableFieldId="95" dataDxfId="78"/>
    <tableColumn id="38" xr3:uid="{E744E3EA-1F71-41DB-B1D8-F4272B95B462}" uniqueName="38" name="Увеличенное остекление" queryTableFieldId="93" dataDxfId="77"/>
    <tableColumn id="39" xr3:uid="{0253D872-C9AD-47C2-B8D3-DB33D4D1C225}" uniqueName="39" name="Урезанное остекление" queryTableFieldId="105" dataDxfId="76"/>
    <tableColumn id="20" xr3:uid="{3A35CD6C-C443-464A-9D0C-6B34F48FCEB2}" uniqueName="20" name="Лифт рядом" queryTableFieldId="89" dataDxfId="75"/>
    <tableColumn id="6" xr3:uid="{00000000-0010-0000-0100-000006000000}" uniqueName="6" name="Расчетная проектная площадь" queryTableFieldId="55" dataDxfId="74">
      <calculatedColumnFormula>_xlfn.XLOOKUP(наценка7[[#This Row],[№]],Д402[№],Д402[Расчетная проектная площадь],"-",0)</calculatedColumnFormula>
    </tableColumn>
    <tableColumn id="21" xr3:uid="{00000000-0010-0000-0100-000015000000}" uniqueName="21" name="Цена м2 базовая" queryTableFieldId="21" dataDxfId="73"/>
    <tableColumn id="22" xr3:uid="{00000000-0010-0000-0100-000016000000}" uniqueName="22" name="Базовой K" queryTableFieldId="22" dataDxfId="72" dataCellStyle="Процентный"/>
    <tableColumn id="23" xr3:uid="{00000000-0010-0000-0100-000017000000}" uniqueName="23" name="Цена м2 с БK" queryTableFieldId="23" dataDxfId="71"/>
    <tableColumn id="24" xr3:uid="{00000000-0010-0000-0100-000018000000}" uniqueName="24" name="еврокухня" queryTableFieldId="24" dataDxfId="70" dataCellStyle="Процентный"/>
    <tableColumn id="15" xr3:uid="{00000000-0010-0000-0100-00000F000000}" uniqueName="15" name="Кухня-Гостинная" queryTableFieldId="75" dataDxfId="69" dataCellStyle="Процентный">
      <calculatedColumnFormula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calculatedColumnFormula>
    </tableColumn>
    <tableColumn id="25" xr3:uid="{00000000-0010-0000-0100-000019000000}" uniqueName="25" name="ванна от 4 кв.м" queryTableFieldId="25" dataDxfId="68" dataCellStyle="Процентный"/>
    <tableColumn id="32" xr3:uid="{D2EB2270-0ABF-4A05-BE21-1B0007EEEE45}" uniqueName="32" name="2 С\У" queryTableFieldId="84" dataDxfId="67" dataCellStyle="Процентный">
      <calculatedColumnFormula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calculatedColumnFormula>
    </tableColumn>
    <tableColumn id="28" xr3:uid="{00000000-0010-0000-0100-00001C000000}" uniqueName="28" name="гардероб" queryTableFieldId="28" dataDxfId="66" dataCellStyle="Процентный"/>
    <tableColumn id="8" xr3:uid="{00000000-0010-0000-0100-000008000000}" uniqueName="8" name="Панорама" queryTableFieldId="69" dataDxfId="65" dataCellStyle="Процентный">
      <calculatedColumnFormula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calculatedColumnFormula>
    </tableColumn>
    <tableColumn id="9" xr3:uid="{00000000-0010-0000-0100-000009000000}" uniqueName="9" name="Виды" queryTableFieldId="70" dataDxfId="64" dataCellStyle="Процентный">
      <calculatedColumnFormula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calculatedColumnFormula>
    </tableColumn>
    <tableColumn id="30" xr3:uid="{00000000-0010-0000-0100-00001E000000}" uniqueName="30" name="низкий этаж" queryTableFieldId="30" dataDxfId="63" dataCellStyle="Процентный"/>
    <tableColumn id="10" xr3:uid="{00000000-0010-0000-0100-00000A000000}" uniqueName="10" name="Высокий потолок" queryTableFieldId="71" dataDxfId="62" dataCellStyle="Процентный">
      <calculatedColumnFormula>IF(наценка7[[#This Row],[Потолок ]]="ДА",коэффициенты!$C$13,"")</calculatedColumnFormula>
    </tableColumn>
    <tableColumn id="33" xr3:uid="{00000000-0010-0000-0100-000021000000}" uniqueName="33" name="Кухня с лоджией" queryTableFieldId="33" dataDxfId="61" dataCellStyle="Процентный"/>
    <tableColumn id="34" xr3:uid="{00000000-0010-0000-0100-000022000000}" uniqueName="34" name="вид на 2" queryTableFieldId="34" dataDxfId="60" dataCellStyle="Процентный"/>
    <tableColumn id="13" xr3:uid="{6533AD04-6BFD-4F64-9235-2EBFD64C05FF}" uniqueName="13" name="вид на 3" queryTableFieldId="78" dataDxfId="59" dataCellStyle="Процентный">
      <calculatedColumnFormula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calculatedColumnFormula>
    </tableColumn>
    <tableColumn id="35" xr3:uid="{00000000-0010-0000-0100-000023000000}" uniqueName="35" name="Не угловая" queryTableFieldId="35" dataDxfId="58" dataCellStyle="Процентный"/>
    <tableColumn id="27" xr3:uid="{C23356B4-0090-4986-B744-272E5B37C584}" uniqueName="27" name="УО" queryTableFieldId="97" dataDxfId="57" dataCellStyle="Процентный">
      <calculatedColumnFormula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calculatedColumnFormula>
    </tableColumn>
    <tableColumn id="26" xr3:uid="{26446122-FC44-48D6-8B50-72EC610506A2}" uniqueName="26" name="Без лоджий" queryTableFieldId="102" dataDxfId="56" dataCellStyle="Процентный">
      <calculatedColumnFormula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calculatedColumnFormula>
    </tableColumn>
    <tableColumn id="44" xr3:uid="{E3D2B7B3-F0F5-44F7-BB31-5F089F24D39C}" uniqueName="44" name="Урезанное" queryTableFieldId="106" dataDxfId="55" dataCellStyle="Процентный">
      <calculatedColumnFormula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calculatedColumnFormula>
    </tableColumn>
    <tableColumn id="12" xr3:uid="{76C80FA4-319F-478B-A010-FB7E85035FAC}" uniqueName="12" name="Большая S" queryTableFieldId="90" dataDxfId="54" dataCellStyle="Процентный">
      <calculatedColumnFormula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calculatedColumnFormula>
    </tableColumn>
    <tableColumn id="11" xr3:uid="{00000000-0010-0000-0100-00000B000000}" uniqueName="11" name="Лифт" queryTableFieldId="76" dataDxfId="53" dataCellStyle="Процентный">
      <calculatedColumnFormula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calculatedColumnFormula>
    </tableColumn>
    <tableColumn id="37" xr3:uid="{00000000-0010-0000-0100-000025000000}" uniqueName="37" name="Цена м2 с учетом всех K" queryTableFieldId="37" dataDxfId="52"/>
    <tableColumn id="40" xr3:uid="{00000000-0010-0000-0100-000028000000}" uniqueName="40" name="утв цена м2" queryTableFieldId="40" dataDxfId="51"/>
    <tableColumn id="41" xr3:uid="{00000000-0010-0000-0100-000029000000}" uniqueName="41" name="Стоимость ОН без отделки" queryTableFieldId="41" dataDxfId="50" dataCellStyle="Финансовый 2"/>
    <tableColumn id="52" xr3:uid="{00000000-0010-0000-0100-000034000000}" uniqueName="52" name="Статус" queryTableFieldId="52" dataDxfId="49"/>
    <tableColumn id="45" xr3:uid="{F1F0BDD6-993D-491C-B2BB-5FC528DAB3C6}" uniqueName="45" name="Первичка тест" queryTableFieldId="108" dataDxfId="48">
      <calculatedColumnFormula>ROUND(наценка7[[#This Row],[Цена м2 с учетом всех K]]*наценка7[[#This Row],[Расчетная проектная площадь]],0)</calculatedColumnFormula>
    </tableColumn>
    <tableColumn id="46" xr3:uid="{74175A85-AFB3-4F86-AF54-20E243A97FCA}" uniqueName="46" name="Аллио" queryTableFieldId="109" dataDxfId="47"/>
    <tableColumn id="47" xr3:uid="{B58B53C4-F397-4B79-AAC3-2472BFA3E90D}" uniqueName="47" name="Столбец1" queryTableFieldId="110" dataDxfId="46">
      <calculatedColumnFormula>наценка7[[#This Row],[Аллио]]=наценка7[[#This Row],[Первичка тест]]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477D65-366F-41DC-9CC0-2FC2AA2A5F7F}" name="Юрист" displayName="Юрист" ref="A1:BJ27" tableType="queryTable" totalsRowShown="0">
  <autoFilter ref="A1:BJ27" xr:uid="{16477D65-366F-41DC-9CC0-2FC2AA2A5F7F}"/>
  <tableColumns count="62">
    <tableColumn id="1" xr3:uid="{C80B0FD1-7286-4C95-A19A-77C859E62DF3}" uniqueName="1" name="№" queryTableFieldId="1"/>
    <tableColumn id="2" xr3:uid="{B5CA48BA-47AC-4D9F-B653-6E01BC4D4F4F}" uniqueName="2" name="кол-во" queryTableFieldId="2"/>
    <tableColumn id="3" xr3:uid="{A845099C-7DC9-4738-9C0E-F55BD767CBD0}" uniqueName="3" name="Дата подачи на регистрацию" queryTableFieldId="3" dataDxfId="33"/>
    <tableColumn id="4" xr3:uid="{B4314BD3-07B0-4E90-A801-FB402A5EF64A}" uniqueName="4" name="№ договора" queryTableFieldId="4" dataDxfId="32"/>
    <tableColumn id="5" xr3:uid="{81F74120-10E0-49A3-A9E3-FE4539ED744B}" uniqueName="5" name="Схема продажи" queryTableFieldId="5" dataDxfId="31"/>
    <tableColumn id="6" xr3:uid="{B96D6617-CF01-4361-BF76-8EEC8DE96B1A}" uniqueName="6" name="СЭР\МФЦ" queryTableFieldId="6" dataDxfId="30"/>
    <tableColumn id="7" xr3:uid="{738622E8-1E7B-4334-9D00-2F6E42013977}" uniqueName="7" name="Способ регистрации" queryTableFieldId="7"/>
    <tableColumn id="8" xr3:uid="{D265F363-FB37-4CB0-B6C9-7F540574FFFA}" uniqueName="8" name="Дата регистрации МФЦ (план)" queryTableFieldId="8" dataDxfId="29"/>
    <tableColumn id="9" xr3:uid="{E1A8DEF0-C911-4FCE-BCFE-FD525DD7824C}" uniqueName="9" name="Дата регистрации МФЦ\СЭР" queryTableFieldId="9" dataDxfId="28"/>
    <tableColumn id="10" xr3:uid="{C9E9BF39-3940-4874-9119-E7E175B4F6D1}" uniqueName="10" name="Все участники сделки" queryTableFieldId="10" dataDxfId="27"/>
    <tableColumn id="11" xr3:uid="{C6BF2135-D40E-4AC9-85E0-05C20E7B6152}" uniqueName="11" name="Дом" queryTableFieldId="11" dataDxfId="26"/>
    <tableColumn id="12" xr3:uid="{73944209-BEA2-49AB-8855-A7C8EB73564F}" uniqueName="12" name="Секция" queryTableFieldId="12" dataDxfId="25"/>
    <tableColumn id="13" xr3:uid="{944BDD14-4C43-4D2E-9F5D-9088DBBDBB68}" uniqueName="13" name="№ на этаже" queryTableFieldId="13"/>
    <tableColumn id="14" xr3:uid="{EE51BBFA-8A7D-4BE7-8772-8D349655594B}" uniqueName="14" name="Этаж" queryTableFieldId="14"/>
    <tableColumn id="15" xr3:uid="{7B8CA6F0-A73F-482D-95FE-39C881269200}" uniqueName="15" name="№ кв" queryTableFieldId="15"/>
    <tableColumn id="16" xr3:uid="{D46AD2DD-F94D-409C-99BA-30412DD5C6B0}" uniqueName="16" name="Тип кв" queryTableFieldId="16"/>
    <tableColumn id="17" xr3:uid="{3BA9FD96-3F9B-49B0-AC8A-74DBC667AF6C}" uniqueName="17" name="S" queryTableFieldId="17"/>
    <tableColumn id="18" xr3:uid="{C5C69093-000A-4CB4-B846-67A174307C57}" uniqueName="18" name="Отделка " queryTableFieldId="18" dataDxfId="24"/>
    <tableColumn id="19" xr3:uid="{5452DEB5-F05B-4679-9A9A-BC68FB2864C6}" uniqueName="19" name="Сумма договора" queryTableFieldId="19" dataDxfId="23"/>
    <tableColumn id="20" xr3:uid="{6DA1E955-0AFB-4769-B22E-B66F412D9988}" uniqueName="20" name="Цена м2" queryTableFieldId="20"/>
    <tableColumn id="21" xr3:uid="{E2B5EFB8-2555-401D-BEC0-59CCFCABD7E3}" uniqueName="21" name="Платная бронь" queryTableFieldId="21" dataDxfId="22"/>
    <tableColumn id="22" xr3:uid="{3DEB13CA-1B79-4984-AEA6-C72A56AABA96}" uniqueName="22" name="Итоговая стоимость с отделкой" queryTableFieldId="22"/>
    <tableColumn id="23" xr3:uid="{F6565E9B-4BAE-4D90-B7DB-281B8908B0D2}" uniqueName="23" name="Итоговая цена м2 с отделкой" queryTableFieldId="23"/>
    <tableColumn id="24" xr3:uid="{6D969E24-B55E-4F9D-B689-7798D88C8D03}" uniqueName="24" name="Стоимость отделки" queryTableFieldId="24"/>
    <tableColumn id="25" xr3:uid="{E06A8970-2D63-4EC2-9547-241872F7BF1D}" uniqueName="25" name="Итоговая стоимость без отделки" queryTableFieldId="25"/>
    <tableColumn id="26" xr3:uid="{2844FA31-ED9C-4526-A7CD-32EE5629BD7E}" uniqueName="26" name="Итоговая цена м2 без отделки" queryTableFieldId="26"/>
    <tableColumn id="27" xr3:uid="{CFB36817-A001-4B6C-8D38-6F149AF3E703}" uniqueName="27" name="Акция\скидка" queryTableFieldId="27" dataDxfId="21"/>
    <tableColumn id="28" xr3:uid="{D1064B97-1654-4429-8A93-B803CDC89CC5}" uniqueName="28" name="Сумма скидки" queryTableFieldId="28" dataDxfId="20"/>
    <tableColumn id="29" xr3:uid="{30A370CB-D8B4-4CDB-8024-B652CEBF26DF}" uniqueName="29" name="Вариант оплаты" queryTableFieldId="29" dataDxfId="19"/>
    <tableColumn id="30" xr3:uid="{2ABAD3A0-F60D-4510-A047-5D6D36305994}" uniqueName="30" name="Банк" queryTableFieldId="30" dataDxfId="18"/>
    <tableColumn id="31" xr3:uid="{346BB681-6E26-477A-883B-EC7F2F24FA55}" uniqueName="31" name="Собственные средства" queryTableFieldId="31" dataDxfId="17"/>
    <tableColumn id="32" xr3:uid="{100B2C2F-8370-4216-BF2E-19E4A2D2E4F7}" uniqueName="32" name="Кредитные средства" queryTableFieldId="32"/>
    <tableColumn id="33" xr3:uid="{4CA72077-A1D7-4B29-B829-4D7766A1A6C4}" uniqueName="33" name="МСК" queryTableFieldId="33"/>
    <tableColumn id="34" xr3:uid="{2AF95B89-1EF8-4CE3-86A6-DD36662A28C4}" uniqueName="34" name="ЖСК" queryTableFieldId="34"/>
    <tableColumn id="35" xr3:uid="{43A5DA1D-526A-49E9-BE09-BB72C8DCA64F}" uniqueName="35" name="РВИ" queryTableFieldId="35"/>
    <tableColumn id="36" xr3:uid="{FA2F7DF3-134C-430E-B0CC-351A44625221}" uniqueName="36" name="Программа кредитования" queryTableFieldId="36"/>
    <tableColumn id="37" xr3:uid="{33A25097-BD5D-4CDB-92DF-64E1C42885A6}" uniqueName="37" name="Скидка по Гос. программе" queryTableFieldId="37"/>
    <tableColumn id="38" xr3:uid="{00DC1063-8EE4-44DC-8204-230A8DC27EB9}" uniqueName="38" name="Ставка Гос. Программы" queryTableFieldId="38"/>
    <tableColumn id="39" xr3:uid="{F9DB1E89-07F1-4C95-A38A-BAF4E8A4E270}" uniqueName="39" name="% комиссии" queryTableFieldId="39"/>
    <tableColumn id="40" xr3:uid="{BA9AAB7A-1750-4DDB-84F0-245DD1AEEB3C}" uniqueName="40" name="сумма комиссии" queryTableFieldId="40"/>
    <tableColumn id="41" xr3:uid="{7702A9D4-1CB6-4755-B22B-459B5D02F58B}" uniqueName="41" name="Основной клиент" queryTableFieldId="41" dataDxfId="16"/>
    <tableColumn id="42" xr3:uid="{49F28360-2C2F-4F9F-9D22-2C53DCBD6FB0}" uniqueName="42" name="Мобильный телефон" queryTableFieldId="42"/>
    <tableColumn id="43" xr3:uid="{9323B9A9-4468-4A0E-9804-3137F6DF97BE}" uniqueName="43" name="Пол" queryTableFieldId="43" dataDxfId="15"/>
    <tableColumn id="44" xr3:uid="{2F8D587E-CAAC-4070-8693-3EAFD5FC9F75}" uniqueName="44" name="Дата рождения" queryTableFieldId="44" dataDxfId="14"/>
    <tableColumn id="45" xr3:uid="{C9EF9849-22C6-4B2A-B56E-94DE20977E3B}" uniqueName="45" name="Гражданство" queryTableFieldId="45" dataDxfId="13"/>
    <tableColumn id="46" xr3:uid="{8DAADB0F-41DF-46B9-8DAC-545405759733}" uniqueName="46" name="Тип удостоверения личности" queryTableFieldId="46" dataDxfId="12"/>
    <tableColumn id="47" xr3:uid="{EE84A180-2922-4876-8B31-B329DA6E5852}" uniqueName="47" name="Серия" queryTableFieldId="47"/>
    <tableColumn id="48" xr3:uid="{0E4D1F3F-EF7F-41E9-B252-FA844387D95E}" uniqueName="48" name="Номер" queryTableFieldId="48"/>
    <tableColumn id="49" xr3:uid="{16E812CF-C05C-40EE-9D68-BD66CC8C2F39}" uniqueName="49" name="Дата выдачи" queryTableFieldId="49" dataDxfId="11"/>
    <tableColumn id="50" xr3:uid="{BEA99CF7-5A95-4511-B1F9-2E55D7BFCF2D}" uniqueName="50" name="Код под-ния" queryTableFieldId="50" dataDxfId="10"/>
    <tableColumn id="51" xr3:uid="{06CA789C-AC34-4870-97D7-C25FBF3662F3}" uniqueName="51" name="Документ выдан" queryTableFieldId="51" dataDxfId="9"/>
    <tableColumn id="52" xr3:uid="{697DAB8C-0B14-48CA-B933-E7971AC70CD6}" uniqueName="52" name="Адрес регистрации" queryTableFieldId="52" dataDxfId="8"/>
    <tableColumn id="53" xr3:uid="{F2887741-C436-43A1-8A07-3EA39D7BF034}" uniqueName="53" name="Адрес для корреспонденции" queryTableFieldId="53" dataDxfId="7"/>
    <tableColumn id="54" xr3:uid="{3590DD97-1DCE-4E1F-8CC4-5B8CC00884A1}" uniqueName="54" name="ИНН" queryTableFieldId="54"/>
    <tableColumn id="55" xr3:uid="{451BA9AC-76D8-4309-B64E-0CFD23F9CFF9}" uniqueName="55" name="СНИЛС" queryTableFieldId="55" dataDxfId="6"/>
    <tableColumn id="56" xr3:uid="{E352259B-D2FF-4E06-9109-FF100375594A}" uniqueName="56" name="Электронная почта" queryTableFieldId="56" dataDxfId="5"/>
    <tableColumn id="57" xr3:uid="{54463AE7-C56A-491C-8F13-FCCC0083785B}" uniqueName="57" name="Источник рекламы" queryTableFieldId="57" dataDxfId="4"/>
    <tableColumn id="58" xr3:uid="{06409C39-6044-4A2F-9030-872D13A14DBC}" uniqueName="58" name="МОП" queryTableFieldId="58" dataDxfId="3"/>
    <tableColumn id="59" xr3:uid="{08EAE6D6-2C19-4981-B02F-4104DB3F6368}" uniqueName="59" name="ИМ" queryTableFieldId="59" dataDxfId="2"/>
    <tableColumn id="60" xr3:uid="{C53620BE-4A2C-433C-95AC-1979F4D43802}" uniqueName="60" name="Тип договора" queryTableFieldId="60" dataDxfId="1"/>
    <tableColumn id="61" xr3:uid="{CD7653C5-6C31-4114-98FD-5AA1DD7F23B5}" uniqueName="61" name="Дата расторжения\уступки" queryTableFieldId="61" dataDxfId="0"/>
    <tableColumn id="62" xr3:uid="{F3589A95-A126-43DF-9D22-6BBE3280C8B9}" uniqueName="62" name="Примечание" queryTableFieldId="6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P1378"/>
  <sheetViews>
    <sheetView tabSelected="1" topLeftCell="AW1" zoomScale="85" zoomScaleNormal="85" workbookViewId="0">
      <pane ySplit="2" topLeftCell="A3" activePane="bottomLeft" state="frozen"/>
      <selection pane="bottomLeft" activeCell="BI3" sqref="BI3:BK290"/>
    </sheetView>
  </sheetViews>
  <sheetFormatPr defaultColWidth="9.140625" defaultRowHeight="15" outlineLevelCol="1" x14ac:dyDescent="0.25"/>
  <cols>
    <col min="1" max="1" width="7.42578125" style="11" bestFit="1" customWidth="1"/>
    <col min="2" max="2" width="11.5703125" style="2" bestFit="1" customWidth="1"/>
    <col min="3" max="3" width="9.85546875" style="2" customWidth="1"/>
    <col min="4" max="4" width="10.5703125" style="11" customWidth="1"/>
    <col min="5" max="5" width="10.85546875" style="11" bestFit="1" customWidth="1"/>
    <col min="6" max="8" width="12.42578125" style="11" hidden="1" customWidth="1" outlineLevel="1"/>
    <col min="9" max="9" width="15" style="2" hidden="1" customWidth="1" outlineLevel="1"/>
    <col min="10" max="10" width="10.42578125" style="161" hidden="1" customWidth="1" outlineLevel="1"/>
    <col min="11" max="11" width="11.7109375" style="2" hidden="1" customWidth="1" outlineLevel="1"/>
    <col min="12" max="12" width="8.140625" style="2" hidden="1" customWidth="1" outlineLevel="1"/>
    <col min="13" max="13" width="12.7109375" style="2" hidden="1" customWidth="1" outlineLevel="1"/>
    <col min="14" max="14" width="16.7109375" style="2" hidden="1" customWidth="1" outlineLevel="1"/>
    <col min="15" max="15" width="13.5703125" hidden="1" customWidth="1" outlineLevel="1"/>
    <col min="16" max="16" width="12.140625" style="2" hidden="1" customWidth="1" outlineLevel="1"/>
    <col min="17" max="17" width="11.140625" style="2" hidden="1" customWidth="1" outlineLevel="1"/>
    <col min="18" max="18" width="11.42578125" style="2" hidden="1" customWidth="1" outlineLevel="1"/>
    <col min="19" max="19" width="15.85546875" style="2" hidden="1" customWidth="1" outlineLevel="1"/>
    <col min="20" max="20" width="15.7109375" style="12" hidden="1" customWidth="1" outlineLevel="1"/>
    <col min="21" max="21" width="15.7109375" style="2" customWidth="1" collapsed="1"/>
    <col min="22" max="30" width="15.7109375" style="12" customWidth="1" outlineLevel="1"/>
    <col min="31" max="31" width="26.5703125" style="12" customWidth="1" outlineLevel="1"/>
    <col min="32" max="32" width="15.7109375" style="12" customWidth="1" outlineLevel="1"/>
    <col min="33" max="33" width="19.28515625" style="12" customWidth="1" outlineLevel="1"/>
    <col min="34" max="34" width="15.7109375" style="12" customWidth="1" outlineLevel="1"/>
    <col min="35" max="35" width="19.28515625" style="12" customWidth="1" outlineLevel="1"/>
    <col min="36" max="36" width="15.7109375" style="12" customWidth="1" outlineLevel="1"/>
    <col min="37" max="37" width="21.85546875" style="12" customWidth="1" outlineLevel="1"/>
    <col min="38" max="38" width="15.7109375" style="12" customWidth="1" outlineLevel="1"/>
    <col min="39" max="40" width="15.7109375" style="12" customWidth="1"/>
    <col min="41" max="41" width="15.7109375" style="12" hidden="1" customWidth="1" outlineLevel="1"/>
    <col min="42" max="42" width="17.28515625" style="19" hidden="1" customWidth="1" outlineLevel="1"/>
    <col min="43" max="43" width="15" style="19" hidden="1" customWidth="1" outlineLevel="1"/>
    <col min="44" max="44" width="18.7109375" style="19" customWidth="1" collapsed="1"/>
    <col min="45" max="45" width="20.28515625" style="19" customWidth="1"/>
    <col min="46" max="46" width="18.42578125" style="19" customWidth="1"/>
    <col min="47" max="47" width="14.7109375" style="20" customWidth="1"/>
    <col min="48" max="48" width="17" style="20" bestFit="1" customWidth="1"/>
    <col min="49" max="49" width="23.42578125" style="94" customWidth="1"/>
    <col min="50" max="50" width="18.28515625" style="19" customWidth="1"/>
    <col min="51" max="51" width="15" style="19" customWidth="1"/>
    <col min="52" max="52" width="25.140625" style="11" customWidth="1"/>
    <col min="53" max="54" width="21.42578125" style="2" bestFit="1" customWidth="1"/>
    <col min="55" max="55" width="17.42578125" bestFit="1" customWidth="1"/>
    <col min="56" max="56" width="15.7109375" style="11" customWidth="1"/>
    <col min="57" max="57" width="37.85546875" style="11" hidden="1" customWidth="1"/>
    <col min="58" max="58" width="17.42578125" style="11" hidden="1" customWidth="1"/>
    <col min="59" max="59" width="21.28515625" style="11" bestFit="1" customWidth="1"/>
    <col min="60" max="63" width="14.42578125" style="11" customWidth="1"/>
    <col min="64" max="64" width="19.5703125" style="11" customWidth="1"/>
    <col min="65" max="65" width="15" style="11" bestFit="1" customWidth="1"/>
    <col min="66" max="66" width="17.85546875" style="11" bestFit="1" customWidth="1"/>
    <col min="67" max="67" width="14.5703125" style="11" hidden="1" customWidth="1"/>
    <col min="68" max="68" width="18.5703125" style="11" hidden="1" customWidth="1"/>
    <col min="69" max="16384" width="9.140625" style="69"/>
  </cols>
  <sheetData>
    <row r="1" spans="1:68" ht="15.75" thickBot="1" x14ac:dyDescent="0.3">
      <c r="A1" s="11">
        <f>SUBTOTAL(3,Д402[Секция])</f>
        <v>288</v>
      </c>
      <c r="E1" s="13"/>
      <c r="F1" s="14"/>
      <c r="G1" s="14"/>
      <c r="H1" s="14"/>
      <c r="I1" s="9">
        <f>SUBTOTAL(9,Д402[Площадь по проекту жилая])</f>
        <v>6255.5000000000018</v>
      </c>
      <c r="J1" s="299"/>
      <c r="K1" s="51"/>
      <c r="L1" s="51"/>
      <c r="M1" s="51"/>
      <c r="N1" s="51"/>
      <c r="O1" s="51"/>
      <c r="P1" s="51"/>
      <c r="Q1" s="51"/>
      <c r="R1" s="9">
        <f>SUBTOTAL(9,Д402[Летние])</f>
        <v>705.01000000000113</v>
      </c>
      <c r="S1" s="9">
        <f>SUBTOTAL(9,Д402[Площадь по проекту(общая)])</f>
        <v>13851.289999999983</v>
      </c>
      <c r="T1" s="9">
        <f>SUBTOTAL(9,Д402[Площадь по проекту отапл (без летних)])</f>
        <v>13146.279999999995</v>
      </c>
      <c r="U1" s="9">
        <f>SUBTOTAL(9,Д402[Расчетная проектная площадь])</f>
        <v>13499.639999999981</v>
      </c>
      <c r="V1" s="10"/>
      <c r="W1" s="10"/>
      <c r="X1" s="10"/>
      <c r="Y1" s="10"/>
      <c r="Z1" s="10"/>
      <c r="AA1" s="287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48"/>
      <c r="AN1" s="10">
        <f>AS1/A1</f>
        <v>5905333.680555556</v>
      </c>
      <c r="AO1" s="16"/>
      <c r="AP1" s="16"/>
      <c r="AQ1" s="48">
        <f>SUBTOTAL(9,Д402[Итоговая сумма скидки])</f>
        <v>7276700</v>
      </c>
      <c r="AR1" s="48">
        <f>AS1/U1</f>
        <v>125983.81142015656</v>
      </c>
      <c r="AS1" s="48">
        <f>SUBTOTAL(9,Д402[Стоимость ОН без отделки со скидкой])</f>
        <v>1700736100</v>
      </c>
      <c r="AT1" s="16"/>
      <c r="AU1" s="48"/>
      <c r="AV1" s="48"/>
      <c r="AW1" s="48">
        <f>AY1/U1</f>
        <v>130629.30196657115</v>
      </c>
      <c r="AX1" s="48">
        <f>SUBTOTAL(9,Д402[Сумма отделки])</f>
        <v>62712450</v>
      </c>
      <c r="AY1" s="48">
        <f>SUBTOTAL(9,Д402[Стоимость квартиры с отделкой])</f>
        <v>1763448550</v>
      </c>
      <c r="AZ1" s="15"/>
      <c r="BA1" s="93" t="s">
        <v>81</v>
      </c>
      <c r="BB1" s="323">
        <v>45890</v>
      </c>
      <c r="BC1" s="324"/>
      <c r="BD1" s="324"/>
      <c r="BE1" s="324"/>
      <c r="BF1" s="324"/>
      <c r="BG1" s="325"/>
      <c r="BH1" s="270"/>
      <c r="BI1" s="308"/>
      <c r="BJ1" s="308"/>
      <c r="BK1" s="308"/>
      <c r="BL1" s="48">
        <f>SUBTOTAL(9,Д402[проверка стоимости])</f>
        <v>0</v>
      </c>
      <c r="BM1" s="270"/>
      <c r="BN1" s="270"/>
      <c r="BP1" s="69"/>
    </row>
    <row r="2" spans="1:68" s="158" customFormat="1" ht="60" x14ac:dyDescent="0.25">
      <c r="A2" s="4" t="s">
        <v>2</v>
      </c>
      <c r="B2" s="4" t="s">
        <v>14</v>
      </c>
      <c r="C2" s="4" t="s">
        <v>13</v>
      </c>
      <c r="D2" s="4" t="s">
        <v>68</v>
      </c>
      <c r="E2" s="4" t="s">
        <v>15</v>
      </c>
      <c r="F2" s="4" t="s">
        <v>52</v>
      </c>
      <c r="G2" s="4" t="s">
        <v>53</v>
      </c>
      <c r="H2" s="4" t="s">
        <v>54</v>
      </c>
      <c r="I2" s="28" t="s">
        <v>78</v>
      </c>
      <c r="J2" s="300" t="s">
        <v>46</v>
      </c>
      <c r="K2" s="4" t="s">
        <v>47</v>
      </c>
      <c r="L2" s="4" t="s">
        <v>48</v>
      </c>
      <c r="M2" s="4" t="s">
        <v>51</v>
      </c>
      <c r="N2" s="5" t="s">
        <v>32</v>
      </c>
      <c r="O2" s="4" t="s">
        <v>49</v>
      </c>
      <c r="P2" s="4" t="s">
        <v>50</v>
      </c>
      <c r="Q2" s="4" t="s">
        <v>55</v>
      </c>
      <c r="R2" s="4" t="s">
        <v>20</v>
      </c>
      <c r="S2" s="28" t="s">
        <v>77</v>
      </c>
      <c r="T2" s="28" t="s">
        <v>79</v>
      </c>
      <c r="U2" s="28" t="s">
        <v>63</v>
      </c>
      <c r="V2" s="4" t="s">
        <v>67</v>
      </c>
      <c r="W2" s="268" t="s">
        <v>126</v>
      </c>
      <c r="X2" s="28" t="s">
        <v>127</v>
      </c>
      <c r="Y2" s="28" t="s">
        <v>428</v>
      </c>
      <c r="Z2" s="28" t="s">
        <v>427</v>
      </c>
      <c r="AA2" s="28" t="s">
        <v>438</v>
      </c>
      <c r="AB2" s="28" t="s">
        <v>439</v>
      </c>
      <c r="AC2" s="28" t="s">
        <v>440</v>
      </c>
      <c r="AD2" s="28" t="s">
        <v>441</v>
      </c>
      <c r="AE2" s="28" t="s">
        <v>706</v>
      </c>
      <c r="AF2" s="28" t="s">
        <v>711</v>
      </c>
      <c r="AG2" s="28" t="s">
        <v>709</v>
      </c>
      <c r="AH2" s="28" t="s">
        <v>710</v>
      </c>
      <c r="AI2" s="28" t="s">
        <v>712</v>
      </c>
      <c r="AJ2" s="28" t="s">
        <v>713</v>
      </c>
      <c r="AK2" s="28" t="s">
        <v>732</v>
      </c>
      <c r="AL2" s="28" t="s">
        <v>731</v>
      </c>
      <c r="AM2" s="4" t="s">
        <v>30</v>
      </c>
      <c r="AN2" s="4" t="s">
        <v>66</v>
      </c>
      <c r="AO2" s="47" t="s">
        <v>64</v>
      </c>
      <c r="AP2" s="47" t="s">
        <v>21</v>
      </c>
      <c r="AQ2" s="47" t="s">
        <v>65</v>
      </c>
      <c r="AR2" s="7" t="s">
        <v>36</v>
      </c>
      <c r="AS2" s="7" t="s">
        <v>35</v>
      </c>
      <c r="AT2" s="7" t="s">
        <v>4</v>
      </c>
      <c r="AU2" s="59" t="s">
        <v>5</v>
      </c>
      <c r="AV2" s="305" t="s">
        <v>730</v>
      </c>
      <c r="AW2" s="7" t="s">
        <v>733</v>
      </c>
      <c r="AX2" s="7" t="s">
        <v>22</v>
      </c>
      <c r="AY2" s="7" t="s">
        <v>6</v>
      </c>
      <c r="AZ2" s="8" t="s">
        <v>3</v>
      </c>
      <c r="BA2" s="6" t="s">
        <v>0</v>
      </c>
      <c r="BB2" s="271" t="s">
        <v>1</v>
      </c>
      <c r="BC2" s="307" t="s">
        <v>734</v>
      </c>
      <c r="BD2" s="307" t="s">
        <v>735</v>
      </c>
      <c r="BE2" s="307" t="s">
        <v>736</v>
      </c>
      <c r="BF2" s="307" t="s">
        <v>742</v>
      </c>
      <c r="BG2" s="271" t="s">
        <v>753</v>
      </c>
      <c r="BH2" s="271" t="s">
        <v>129</v>
      </c>
      <c r="BI2" s="307" t="s">
        <v>750</v>
      </c>
      <c r="BJ2" s="307" t="s">
        <v>751</v>
      </c>
      <c r="BK2" s="307" t="s">
        <v>752</v>
      </c>
      <c r="BL2" s="271" t="s">
        <v>130</v>
      </c>
      <c r="BM2" s="271" t="s">
        <v>131</v>
      </c>
      <c r="BN2" s="271" t="s">
        <v>132</v>
      </c>
      <c r="BO2" s="276" t="s">
        <v>423</v>
      </c>
    </row>
    <row r="3" spans="1:68" s="158" customFormat="1" ht="12" x14ac:dyDescent="0.25">
      <c r="A3" s="140">
        <v>1</v>
      </c>
      <c r="B3" s="15">
        <v>1</v>
      </c>
      <c r="C3" s="141">
        <v>2</v>
      </c>
      <c r="D3" s="142">
        <v>1</v>
      </c>
      <c r="E3" s="141">
        <v>0</v>
      </c>
      <c r="F3" s="143">
        <v>14.66</v>
      </c>
      <c r="G3" s="143"/>
      <c r="H3" s="143"/>
      <c r="I3" s="144">
        <f>SUM(Д402[[#This Row],[Комната 1]:[Комната 3]])</f>
        <v>14.66</v>
      </c>
      <c r="J3" s="145">
        <v>6.15</v>
      </c>
      <c r="K3" s="145">
        <v>5.0199999999999996</v>
      </c>
      <c r="L3" s="145"/>
      <c r="M3" s="145">
        <v>3.86</v>
      </c>
      <c r="N3" s="145"/>
      <c r="O3" s="145"/>
      <c r="P3" s="145"/>
      <c r="Q3" s="145"/>
      <c r="R3" s="145">
        <f>SUM(Д402[[#This Row],[Лоджия 1]:[Лоджия 3]])</f>
        <v>0</v>
      </c>
      <c r="S3" s="148">
        <f>ROUND(SUM(Д402[[#This Row],[Площадь по проекту жилая]:[Лоджия 3]]),2)</f>
        <v>29.69</v>
      </c>
      <c r="T3" s="148">
        <f>ROUND(Д402[[#This Row],[Площадь по проекту(общая)]]-Д402[[#This Row],[Летние]],2)</f>
        <v>29.69</v>
      </c>
      <c r="U3" s="148">
        <f>ROUND(Д402[[#This Row],[Площадь по проекту(общая)]]-(SUM(Д402[[#This Row],[Лоджия 1]:[Лоджия 3]])/2),2)</f>
        <v>29.69</v>
      </c>
      <c r="V3" s="149">
        <f>VLOOKUP(Д402[[#This Row],[№]],наценка7[],COLUMN(наценка7[[#This Row],[Цена м2 с учетом всех K]]),0)</f>
        <v>139730</v>
      </c>
      <c r="W3" s="150"/>
      <c r="X3" s="149">
        <f>Д402[[#This Row],[м2 после К]]+Д402[[#This Row],[02.12.2024]]</f>
        <v>139730</v>
      </c>
      <c r="Y3" s="149">
        <v>1000</v>
      </c>
      <c r="Z3" s="149">
        <f>Д402[[#This Row],[Фикс 20.12.24]]+Д402[[#This Row],[23.12.24 СП +1000]]</f>
        <v>140730</v>
      </c>
      <c r="AA3" s="149">
        <v>215</v>
      </c>
      <c r="AB3" s="149">
        <f>Д402[[#This Row],[Фикс 23.12.24]]+Д402[[#This Row],[Повышение 20.02.25]]</f>
        <v>140945</v>
      </c>
      <c r="AC3" s="149">
        <v>17.5</v>
      </c>
      <c r="AD3" s="149">
        <f>Д402[[#This Row],[Фикс 20.02.25]]+Д402[[#This Row],[Повышение 24.02.2025]]</f>
        <v>140962.5</v>
      </c>
      <c r="AE3" s="149"/>
      <c r="AF3" s="149">
        <f>Д402[[#This Row],[Фикс 24.02.25]]+Д402[[#This Row],[Повышение 05.03.2025
1К: до 40м - 1,5%, 40+ 0,5%
2К - 0,5% ]]</f>
        <v>140962.5</v>
      </c>
      <c r="AG3" s="149"/>
      <c r="AH3" s="149">
        <f>Д402[[#This Row],[Фикс 05.03.25]]+Д402[[#This Row],[повышение 14.03.25 1К-1%]]</f>
        <v>140962.5</v>
      </c>
      <c r="AI3" s="149"/>
      <c r="AJ3" s="149">
        <f>Д402[[#This Row],[Фикс 14.03.25]]+Д402[[#This Row],[повышение 28.03.25 1К-1%]]</f>
        <v>140962.5</v>
      </c>
      <c r="AK3" s="149"/>
      <c r="AL3" s="149">
        <f>Д402[[#This Row],[Фикс 28.03.25]]+Д402[[#This Row],[Повышение 23.07.25
1К 43-46м2 - 2%
2К 55-58 - 2%; 58-64 - 3%
3К 76-79 - 2%
]]</f>
        <v>140962.5</v>
      </c>
      <c r="AM3" s="148">
        <f>ROUND(Д402[[#This Row],[Фикс 23.07.25]],2)</f>
        <v>140962.5</v>
      </c>
      <c r="AN3" s="149">
        <f>ROUNDUP(Д402[[#This Row],[утв цена м2]]*Д402[[#This Row],[Расчетная проектная площадь]],-2)</f>
        <v>4185200</v>
      </c>
      <c r="AO3" s="151"/>
      <c r="AP3" s="152"/>
      <c r="AQ3" s="151">
        <f>Д402[[#This Row],[Стоимость до скидки]]*Д402[[#This Row],[Скидка %]]+Д402[[#This Row],[Скидка фиксированная]]</f>
        <v>0</v>
      </c>
      <c r="AR3" s="3">
        <f>Д402[[#This Row],[Стоимость ОН без отделки со скидкой]]/Д402[[#This Row],[Расчетная проектная площадь]]</f>
        <v>140963.28730212193</v>
      </c>
      <c r="AS3" s="3">
        <f>Д402[[#This Row],[Стоимость до скидки]]-Д402[[#This Row],[Итоговая сумма скидки]]</f>
        <v>4185200</v>
      </c>
      <c r="AT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" s="153"/>
      <c r="AV3" s="153"/>
      <c r="AW3" s="3">
        <f>Д402[[#This Row],[Цена м2 без отделки со скидкой]]+Д402[[#This Row],[Стоимость отделки]]</f>
        <v>140963.28730212193</v>
      </c>
      <c r="AX3" s="3">
        <f>Д402[[#This Row],[Стоимость квартиры с отделкой]]-Д402[[#This Row],[Стоимость ОН без отделки со скидкой]]</f>
        <v>0</v>
      </c>
      <c r="AY3" s="3">
        <f>Д402[[#This Row],[Цена м2 с отделкой]]*Д402[[#This Row],[Расчетная проектная площадь]]</f>
        <v>4185200</v>
      </c>
      <c r="AZ3" s="154"/>
      <c r="BA3" s="155" t="s">
        <v>12</v>
      </c>
      <c r="BB3" s="306" t="str" cm="1">
        <f t="array" ref="BB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3" s="157" t="s">
        <v>738</v>
      </c>
      <c r="BD3" s="157" t="s">
        <v>739</v>
      </c>
      <c r="BE3" s="157" t="s">
        <v>737</v>
      </c>
      <c r="BF3" s="157" t="s">
        <v>743</v>
      </c>
      <c r="BG3" s="157" t="b">
        <f>EXACT(Д402[[#This Row],[Статусы CRM]],Д402[[#This Row],[Статус]])</f>
        <v>1</v>
      </c>
      <c r="BH3" s="3">
        <f>IF(Д402[[#This Row],[ПС]]=0,IF(Д402[[#This Row],[ДС]]=0,Д402[[#This Row],[ТС]],Д402[[#This Row],[ДС]]),Д402[[#This Row],[ПС]])</f>
        <v>4185200</v>
      </c>
      <c r="BI3" s="3">
        <v>4185200</v>
      </c>
      <c r="BJ3" s="3">
        <v>0</v>
      </c>
      <c r="BK3" s="3">
        <v>0</v>
      </c>
      <c r="BL3" s="272">
        <f>Д402[[#This Row],[Стоимость CRM]]-Д402[[#This Row],[Стоимость до скидки]]</f>
        <v>0</v>
      </c>
      <c r="BM3" s="157" t="s">
        <v>9</v>
      </c>
      <c r="BN3" s="157" t="b">
        <f>Д402[[#This Row],[Отделка CRM]]=Д402[[#This Row],[Отделка]]</f>
        <v>1</v>
      </c>
      <c r="BO3" s="275" t="s">
        <v>135</v>
      </c>
    </row>
    <row r="4" spans="1:68" s="158" customFormat="1" ht="12" x14ac:dyDescent="0.25">
      <c r="A4" s="140">
        <v>2</v>
      </c>
      <c r="B4" s="15">
        <v>1</v>
      </c>
      <c r="C4" s="141">
        <v>2</v>
      </c>
      <c r="D4" s="142">
        <v>2</v>
      </c>
      <c r="E4" s="141">
        <v>2</v>
      </c>
      <c r="F4" s="143">
        <v>16.100000000000001</v>
      </c>
      <c r="G4" s="143">
        <v>10.8</v>
      </c>
      <c r="H4" s="143"/>
      <c r="I4" s="144">
        <f>SUM(Д402[[#This Row],[Комната 1]:[Комната 3]])</f>
        <v>26.900000000000002</v>
      </c>
      <c r="J4" s="145">
        <v>17.7</v>
      </c>
      <c r="K4" s="145">
        <v>4.25</v>
      </c>
      <c r="L4" s="145"/>
      <c r="M4" s="145">
        <v>9.68</v>
      </c>
      <c r="N4" s="145"/>
      <c r="O4" s="145">
        <v>3.15</v>
      </c>
      <c r="P4" s="145"/>
      <c r="Q4" s="145"/>
      <c r="R4" s="145">
        <f>SUM(Д402[[#This Row],[Лоджия 1]:[Лоджия 3]])</f>
        <v>3.15</v>
      </c>
      <c r="S4" s="148">
        <f>ROUND(SUM(Д402[[#This Row],[Площадь по проекту жилая]:[Лоджия 3]]),2)</f>
        <v>61.68</v>
      </c>
      <c r="T4" s="148">
        <f>ROUND(Д402[[#This Row],[Площадь по проекту(общая)]]-Д402[[#This Row],[Летние]],2)</f>
        <v>58.53</v>
      </c>
      <c r="U4" s="148">
        <f>ROUND(Д402[[#This Row],[Площадь по проекту(общая)]]-(SUM(Д402[[#This Row],[Лоджия 1]:[Лоджия 3]])/2),2)</f>
        <v>60.11</v>
      </c>
      <c r="V4" s="149">
        <f>VLOOKUP(Д402[[#This Row],[№]],наценка7[],COLUMN(наценка7[[#This Row],[Цена м2 с учетом всех K]]),0)</f>
        <v>119811.8</v>
      </c>
      <c r="W4" s="150"/>
      <c r="X4" s="149">
        <f>Д402[[#This Row],[м2 после К]]+Д402[[#This Row],[02.12.2024]]</f>
        <v>119811.8</v>
      </c>
      <c r="Y4" s="149">
        <v>1000</v>
      </c>
      <c r="Z4" s="149">
        <f>Д402[[#This Row],[Фикс 20.12.24]]+Д402[[#This Row],[23.12.24 СП +1000]]</f>
        <v>120811.8</v>
      </c>
      <c r="AA4" s="149">
        <v>215</v>
      </c>
      <c r="AB4" s="149">
        <f>Д402[[#This Row],[Фикс 23.12.24]]+Д402[[#This Row],[Повышение 20.02.25]]</f>
        <v>121026.8</v>
      </c>
      <c r="AC4" s="149">
        <v>17.5</v>
      </c>
      <c r="AD4" s="149">
        <f>Д402[[#This Row],[Фикс 20.02.25]]+Д402[[#This Row],[Повышение 24.02.2025]]</f>
        <v>121044.3</v>
      </c>
      <c r="AE4" s="149">
        <f>Д402[[#This Row],[Фикс 24.02.25]]*0.5%</f>
        <v>605.22149999999999</v>
      </c>
      <c r="AF4" s="149">
        <f>Д402[[#This Row],[Фикс 24.02.25]]+Д402[[#This Row],[Повышение 05.03.2025
1К: до 40м - 1,5%, 40+ 0,5%
2К - 0,5% ]]</f>
        <v>121649.5215</v>
      </c>
      <c r="AG4" s="149"/>
      <c r="AH4" s="149">
        <f>Д402[[#This Row],[Фикс 05.03.25]]+Д402[[#This Row],[повышение 14.03.25 1К-1%]]</f>
        <v>121649.5215</v>
      </c>
      <c r="AI4" s="149"/>
      <c r="AJ4" s="149">
        <f>Д402[[#This Row],[Фикс 14.03.25]]+Д402[[#This Row],[повышение 28.03.25 1К-1%]]</f>
        <v>121649.5215</v>
      </c>
      <c r="AK4" s="10">
        <f>Д402[[#This Row],[Фикс 28.03.25]]*3%</f>
        <v>3649.4856449999997</v>
      </c>
      <c r="AL4" s="149">
        <f>Д402[[#This Row],[Фикс 28.03.25]]+Д402[[#This Row],[Повышение 23.07.25
1К 43-46м2 - 2%
2К 55-58 - 2%; 58-64 - 3%
3К 76-79 - 2%
]]</f>
        <v>125299.007145</v>
      </c>
      <c r="AM4" s="148">
        <f>ROUND(Д402[[#This Row],[Фикс 23.07.25]],2)</f>
        <v>125299.01</v>
      </c>
      <c r="AN4" s="149">
        <f>ROUNDUP(Д402[[#This Row],[утв цена м2]]*Д402[[#This Row],[Расчетная проектная площадь]],-2)</f>
        <v>7531800</v>
      </c>
      <c r="AO4" s="151"/>
      <c r="AP4" s="152"/>
      <c r="AQ4" s="151">
        <f>Д402[[#This Row],[Стоимость до скидки]]*Д402[[#This Row],[Скидка %]]+Д402[[#This Row],[Скидка фиксированная]]</f>
        <v>0</v>
      </c>
      <c r="AR4" s="3">
        <f>Д402[[#This Row],[Стоимость ОН без отделки со скидкой]]/Д402[[#This Row],[Расчетная проектная площадь]]</f>
        <v>125300.28281483946</v>
      </c>
      <c r="AS4" s="3">
        <f>Д402[[#This Row],[Стоимость до скидки]]-Д402[[#This Row],[Итоговая сумма скидки]]</f>
        <v>7531800</v>
      </c>
      <c r="AT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" s="153"/>
      <c r="AV4" s="153"/>
      <c r="AW4" s="3">
        <f>Д402[[#This Row],[Цена м2 без отделки со скидкой]]+Д402[[#This Row],[Стоимость отделки]]</f>
        <v>125300.28281483946</v>
      </c>
      <c r="AX4" s="3">
        <f>Д402[[#This Row],[Стоимость квартиры с отделкой]]-Д402[[#This Row],[Стоимость ОН без отделки со скидкой]]</f>
        <v>0</v>
      </c>
      <c r="AY4" s="3">
        <f>Д402[[#This Row],[Цена м2 с отделкой]]*Д402[[#This Row],[Расчетная проектная площадь]]</f>
        <v>7531800</v>
      </c>
      <c r="AZ4" s="154"/>
      <c r="BA4" s="155" t="s">
        <v>12</v>
      </c>
      <c r="BB4" s="156" t="str" cm="1">
        <f t="array" ref="BB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4" s="157" t="s">
        <v>738</v>
      </c>
      <c r="BD4" s="157" t="s">
        <v>739</v>
      </c>
      <c r="BE4" s="157" t="s">
        <v>737</v>
      </c>
      <c r="BF4" s="157" t="s">
        <v>744</v>
      </c>
      <c r="BG4" s="157" t="b">
        <f>EXACT(Д402[[#This Row],[Статусы CRM]],Д402[[#This Row],[Статус]])</f>
        <v>1</v>
      </c>
      <c r="BH4" s="3">
        <f>IF(Д402[[#This Row],[ПС]]=0,IF(Д402[[#This Row],[ДС]]=0,Д402[[#This Row],[ТС]],Д402[[#This Row],[ДС]]),Д402[[#This Row],[ПС]])</f>
        <v>7531800</v>
      </c>
      <c r="BI4" s="3">
        <v>7531800</v>
      </c>
      <c r="BJ4" s="3">
        <v>0</v>
      </c>
      <c r="BK4" s="3">
        <v>0</v>
      </c>
      <c r="BL4" s="272">
        <f>Д402[[#This Row],[Стоимость CRM]]-Д402[[#This Row],[Стоимость до скидки]]</f>
        <v>0</v>
      </c>
      <c r="BM4" s="157" t="s">
        <v>9</v>
      </c>
      <c r="BN4" s="157" t="b">
        <f>Д402[[#This Row],[Отделка CRM]]=Д402[[#This Row],[Отделка]]</f>
        <v>1</v>
      </c>
      <c r="BO4" s="275" t="s">
        <v>136</v>
      </c>
    </row>
    <row r="5" spans="1:68" s="158" customFormat="1" ht="12" x14ac:dyDescent="0.25">
      <c r="A5" s="140">
        <v>3</v>
      </c>
      <c r="B5" s="15">
        <v>1</v>
      </c>
      <c r="C5" s="141">
        <v>2</v>
      </c>
      <c r="D5" s="142">
        <v>3</v>
      </c>
      <c r="E5" s="141">
        <v>2</v>
      </c>
      <c r="F5" s="143">
        <v>16.41</v>
      </c>
      <c r="G5" s="143">
        <v>12.19</v>
      </c>
      <c r="H5" s="143"/>
      <c r="I5" s="144">
        <f>SUM(Д402[[#This Row],[Комната 1]:[Комната 3]])</f>
        <v>28.6</v>
      </c>
      <c r="J5" s="145">
        <v>14.62</v>
      </c>
      <c r="K5" s="145">
        <v>3.86</v>
      </c>
      <c r="L5" s="145"/>
      <c r="M5" s="145">
        <v>6.1</v>
      </c>
      <c r="N5" s="145"/>
      <c r="O5" s="145">
        <v>2.99</v>
      </c>
      <c r="P5" s="145"/>
      <c r="Q5" s="145"/>
      <c r="R5" s="145">
        <f>SUM(Д402[[#This Row],[Лоджия 1]:[Лоджия 3]])</f>
        <v>2.99</v>
      </c>
      <c r="S5" s="148">
        <f>ROUND(SUM(Д402[[#This Row],[Площадь по проекту жилая]:[Лоджия 3]]),2)</f>
        <v>56.17</v>
      </c>
      <c r="T5" s="148">
        <f>ROUND(Д402[[#This Row],[Площадь по проекту(общая)]]-Д402[[#This Row],[Летние]],2)</f>
        <v>53.18</v>
      </c>
      <c r="U5" s="148">
        <f>ROUND(Д402[[#This Row],[Площадь по проекту(общая)]]-(SUM(Д402[[#This Row],[Лоджия 1]:[Лоджия 3]])/2),2)</f>
        <v>54.68</v>
      </c>
      <c r="V5" s="149">
        <f>VLOOKUP(Д402[[#This Row],[№]],наценка7[],COLUMN(наценка7[[#This Row],[Цена м2 с учетом всех K]]),0)</f>
        <v>117551.2</v>
      </c>
      <c r="W5" s="150"/>
      <c r="X5" s="149">
        <f>Д402[[#This Row],[м2 после К]]+Д402[[#This Row],[02.12.2024]]</f>
        <v>117551.2</v>
      </c>
      <c r="Y5" s="149">
        <v>1000</v>
      </c>
      <c r="Z5" s="149">
        <f>Д402[[#This Row],[Фикс 20.12.24]]+Д402[[#This Row],[23.12.24 СП +1000]]</f>
        <v>118551.2</v>
      </c>
      <c r="AA5" s="149">
        <v>215</v>
      </c>
      <c r="AB5" s="149">
        <f>Д402[[#This Row],[Фикс 23.12.24]]+Д402[[#This Row],[Повышение 20.02.25]]</f>
        <v>118766.2</v>
      </c>
      <c r="AC5" s="149">
        <v>17.5</v>
      </c>
      <c r="AD5" s="149">
        <f>Д402[[#This Row],[Фикс 20.02.25]]+Д402[[#This Row],[Повышение 24.02.2025]]</f>
        <v>118783.7</v>
      </c>
      <c r="AE5" s="149">
        <f>Д402[[#This Row],[Фикс 24.02.25]]*0.5%</f>
        <v>593.91849999999999</v>
      </c>
      <c r="AF5" s="149">
        <f>Д402[[#This Row],[Фикс 24.02.25]]+Д402[[#This Row],[Повышение 05.03.2025
1К: до 40м - 1,5%, 40+ 0,5%
2К - 0,5% ]]</f>
        <v>119377.6185</v>
      </c>
      <c r="AG5" s="149"/>
      <c r="AH5" s="149">
        <f>Д402[[#This Row],[Фикс 05.03.25]]+Д402[[#This Row],[повышение 14.03.25 1К-1%]]</f>
        <v>119377.6185</v>
      </c>
      <c r="AI5" s="149"/>
      <c r="AJ5" s="149">
        <f>Д402[[#This Row],[Фикс 14.03.25]]+Д402[[#This Row],[повышение 28.03.25 1К-1%]]</f>
        <v>119377.6185</v>
      </c>
      <c r="AK5" s="149"/>
      <c r="AL5" s="149">
        <f>Д402[[#This Row],[Фикс 28.03.25]]+Д402[[#This Row],[Повышение 23.07.25
1К 43-46м2 - 2%
2К 55-58 - 2%; 58-64 - 3%
3К 76-79 - 2%
]]</f>
        <v>119377.6185</v>
      </c>
      <c r="AM5" s="148">
        <f>ROUND(Д402[[#This Row],[Фикс 23.07.25]],2)</f>
        <v>119377.62</v>
      </c>
      <c r="AN5" s="149">
        <f>ROUNDUP(Д402[[#This Row],[утв цена м2]]*Д402[[#This Row],[Расчетная проектная площадь]],-2)</f>
        <v>6527600</v>
      </c>
      <c r="AO5" s="151"/>
      <c r="AP5" s="152"/>
      <c r="AQ5" s="151">
        <f>Д402[[#This Row],[Стоимость до скидки]]*Д402[[#This Row],[Скидка %]]+Д402[[#This Row],[Скидка фиксированная]]</f>
        <v>0</v>
      </c>
      <c r="AR5" s="3">
        <f>Д402[[#This Row],[Стоимость ОН без отделки со скидкой]]/Д402[[#This Row],[Расчетная проектная площадь]]</f>
        <v>119378.20043891734</v>
      </c>
      <c r="AS5" s="3">
        <f>Д402[[#This Row],[Стоимость до скидки]]-Д402[[#This Row],[Итоговая сумма скидки]]</f>
        <v>6527600</v>
      </c>
      <c r="AT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" s="153"/>
      <c r="AV5" s="153"/>
      <c r="AW5" s="3">
        <f>Д402[[#This Row],[Цена м2 без отделки со скидкой]]+Д402[[#This Row],[Стоимость отделки]]</f>
        <v>119378.20043891734</v>
      </c>
      <c r="AX5" s="3">
        <f>Д402[[#This Row],[Стоимость квартиры с отделкой]]-Д402[[#This Row],[Стоимость ОН без отделки со скидкой]]</f>
        <v>0</v>
      </c>
      <c r="AY5" s="3">
        <f>Д402[[#This Row],[Цена м2 с отделкой]]*Д402[[#This Row],[Расчетная проектная площадь]]</f>
        <v>6527600</v>
      </c>
      <c r="AZ5" s="154"/>
      <c r="BA5" s="155" t="s">
        <v>12</v>
      </c>
      <c r="BB5" s="156" t="str" cm="1">
        <f t="array" ref="BB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5" s="157" t="s">
        <v>738</v>
      </c>
      <c r="BD5" s="157" t="s">
        <v>739</v>
      </c>
      <c r="BE5" s="157" t="s">
        <v>737</v>
      </c>
      <c r="BF5" s="157" t="s">
        <v>744</v>
      </c>
      <c r="BG5" s="157" t="b">
        <f>EXACT(Д402[[#This Row],[Статусы CRM]],Д402[[#This Row],[Статус]])</f>
        <v>1</v>
      </c>
      <c r="BH5" s="3">
        <f>IF(Д402[[#This Row],[ПС]]=0,IF(Д402[[#This Row],[ДС]]=0,Д402[[#This Row],[ТС]],Д402[[#This Row],[ДС]]),Д402[[#This Row],[ПС]])</f>
        <v>6527600</v>
      </c>
      <c r="BI5" s="3">
        <v>6527600</v>
      </c>
      <c r="BJ5" s="3">
        <v>0</v>
      </c>
      <c r="BK5" s="3">
        <v>0</v>
      </c>
      <c r="BL5" s="272">
        <f>Д402[[#This Row],[Стоимость CRM]]-Д402[[#This Row],[Стоимость до скидки]]</f>
        <v>0</v>
      </c>
      <c r="BM5" s="157" t="s">
        <v>9</v>
      </c>
      <c r="BN5" s="157" t="b">
        <f>Д402[[#This Row],[Отделка CRM]]=Д402[[#This Row],[Отделка]]</f>
        <v>1</v>
      </c>
      <c r="BO5" s="275" t="s">
        <v>137</v>
      </c>
    </row>
    <row r="6" spans="1:68" s="158" customFormat="1" ht="12" x14ac:dyDescent="0.25">
      <c r="A6" s="140">
        <v>4</v>
      </c>
      <c r="B6" s="15">
        <v>1</v>
      </c>
      <c r="C6" s="141">
        <v>2</v>
      </c>
      <c r="D6" s="142">
        <v>4</v>
      </c>
      <c r="E6" s="141">
        <v>2</v>
      </c>
      <c r="F6" s="143">
        <v>14.98</v>
      </c>
      <c r="G6" s="143">
        <v>12.28</v>
      </c>
      <c r="H6" s="143"/>
      <c r="I6" s="144">
        <f>SUM(Д402[[#This Row],[Комната 1]:[Комната 3]])</f>
        <v>27.259999999999998</v>
      </c>
      <c r="J6" s="145">
        <v>19.329999999999998</v>
      </c>
      <c r="K6" s="145">
        <v>4.4400000000000004</v>
      </c>
      <c r="L6" s="145"/>
      <c r="M6" s="145">
        <v>6.25</v>
      </c>
      <c r="N6" s="145"/>
      <c r="O6" s="145"/>
      <c r="P6" s="145"/>
      <c r="Q6" s="145"/>
      <c r="R6" s="145">
        <f>SUM(Д402[[#This Row],[Лоджия 1]:[Лоджия 3]])</f>
        <v>0</v>
      </c>
      <c r="S6" s="148">
        <f>ROUND(SUM(Д402[[#This Row],[Площадь по проекту жилая]:[Лоджия 3]]),2)</f>
        <v>57.28</v>
      </c>
      <c r="T6" s="148">
        <f>ROUND(Д402[[#This Row],[Площадь по проекту(общая)]]-Д402[[#This Row],[Летние]],2)</f>
        <v>57.28</v>
      </c>
      <c r="U6" s="148">
        <f>ROUND(Д402[[#This Row],[Площадь по проекту(общая)]]-(SUM(Д402[[#This Row],[Лоджия 1]:[Лоджия 3]])/2),2)</f>
        <v>57.28</v>
      </c>
      <c r="V6" s="149">
        <f>VLOOKUP(Д402[[#This Row],[№]],наценка7[],COLUMN(наценка7[[#This Row],[Цена м2 с учетом всех K]]),0)</f>
        <v>116420.9</v>
      </c>
      <c r="W6" s="150"/>
      <c r="X6" s="149">
        <f>Д402[[#This Row],[м2 после К]]+Д402[[#This Row],[02.12.2024]]</f>
        <v>116420.9</v>
      </c>
      <c r="Y6" s="149">
        <v>1000</v>
      </c>
      <c r="Z6" s="149">
        <f>Д402[[#This Row],[Фикс 20.12.24]]+Д402[[#This Row],[23.12.24 СП +1000]]</f>
        <v>117420.9</v>
      </c>
      <c r="AA6" s="149">
        <v>215</v>
      </c>
      <c r="AB6" s="149">
        <f>Д402[[#This Row],[Фикс 23.12.24]]+Д402[[#This Row],[Повышение 20.02.25]]</f>
        <v>117635.9</v>
      </c>
      <c r="AC6" s="149">
        <v>17.5</v>
      </c>
      <c r="AD6" s="149">
        <f>Д402[[#This Row],[Фикс 20.02.25]]+Д402[[#This Row],[Повышение 24.02.2025]]</f>
        <v>117653.4</v>
      </c>
      <c r="AE6" s="149">
        <f>Д402[[#This Row],[Фикс 24.02.25]]*0.5%</f>
        <v>588.26699999999994</v>
      </c>
      <c r="AF6" s="149">
        <f>Д402[[#This Row],[Фикс 24.02.25]]+Д402[[#This Row],[Повышение 05.03.2025
1К: до 40м - 1,5%, 40+ 0,5%
2К - 0,5% ]]</f>
        <v>118241.667</v>
      </c>
      <c r="AG6" s="149"/>
      <c r="AH6" s="149">
        <f>Д402[[#This Row],[Фикс 05.03.25]]+Д402[[#This Row],[повышение 14.03.25 1К-1%]]</f>
        <v>118241.667</v>
      </c>
      <c r="AI6" s="149"/>
      <c r="AJ6" s="149">
        <f>Д402[[#This Row],[Фикс 14.03.25]]+Д402[[#This Row],[повышение 28.03.25 1К-1%]]</f>
        <v>118241.667</v>
      </c>
      <c r="AK6" s="149">
        <f>Д402[[#This Row],[Фикс 28.03.25]]*2%</f>
        <v>2364.8333400000001</v>
      </c>
      <c r="AL6" s="149">
        <f>Д402[[#This Row],[Фикс 28.03.25]]+Д402[[#This Row],[Повышение 23.07.25
1К 43-46м2 - 2%
2К 55-58 - 2%; 58-64 - 3%
3К 76-79 - 2%
]]</f>
        <v>120606.50034</v>
      </c>
      <c r="AM6" s="148">
        <f>ROUND(Д402[[#This Row],[Фикс 23.07.25]],2)</f>
        <v>120606.5</v>
      </c>
      <c r="AN6" s="149">
        <f>ROUNDUP(Д402[[#This Row],[утв цена м2]]*Д402[[#This Row],[Расчетная проектная площадь]],-2)</f>
        <v>6908400</v>
      </c>
      <c r="AO6" s="151"/>
      <c r="AP6" s="152"/>
      <c r="AQ6" s="151">
        <f>Д402[[#This Row],[Стоимость до скидки]]*Д402[[#This Row],[Скидка %]]+Д402[[#This Row],[Скидка фиксированная]]</f>
        <v>0</v>
      </c>
      <c r="AR6" s="3">
        <f>Д402[[#This Row],[Стоимость ОН без отделки со скидкой]]/Д402[[#This Row],[Расчетная проектная площадь]]</f>
        <v>120607.54189944133</v>
      </c>
      <c r="AS6" s="3">
        <f>Д402[[#This Row],[Стоимость до скидки]]-Д402[[#This Row],[Итоговая сумма скидки]]</f>
        <v>6908400</v>
      </c>
      <c r="AT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" s="153"/>
      <c r="AV6" s="153"/>
      <c r="AW6" s="3">
        <f>Д402[[#This Row],[Цена м2 без отделки со скидкой]]+Д402[[#This Row],[Стоимость отделки]]</f>
        <v>120607.54189944133</v>
      </c>
      <c r="AX6" s="3">
        <f>Д402[[#This Row],[Стоимость квартиры с отделкой]]-Д402[[#This Row],[Стоимость ОН без отделки со скидкой]]</f>
        <v>0</v>
      </c>
      <c r="AY6" s="3">
        <f>Д402[[#This Row],[Цена м2 с отделкой]]*Д402[[#This Row],[Расчетная проектная площадь]]</f>
        <v>6908400</v>
      </c>
      <c r="AZ6" s="154"/>
      <c r="BA6" s="155" t="s">
        <v>12</v>
      </c>
      <c r="BB6" s="156" t="str" cm="1">
        <f t="array" ref="BB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" s="157" t="s">
        <v>738</v>
      </c>
      <c r="BD6" s="157" t="s">
        <v>739</v>
      </c>
      <c r="BE6" s="157" t="s">
        <v>737</v>
      </c>
      <c r="BF6" s="157" t="s">
        <v>744</v>
      </c>
      <c r="BG6" s="157" t="b">
        <f>EXACT(Д402[[#This Row],[Статусы CRM]],Д402[[#This Row],[Статус]])</f>
        <v>1</v>
      </c>
      <c r="BH6" s="3">
        <f>IF(Д402[[#This Row],[ПС]]=0,IF(Д402[[#This Row],[ДС]]=0,Д402[[#This Row],[ТС]],Д402[[#This Row],[ДС]]),Д402[[#This Row],[ПС]])</f>
        <v>6908400</v>
      </c>
      <c r="BI6" s="3">
        <v>6908400</v>
      </c>
      <c r="BJ6" s="3">
        <v>0</v>
      </c>
      <c r="BK6" s="3">
        <v>0</v>
      </c>
      <c r="BL6" s="272">
        <f>Д402[[#This Row],[Стоимость CRM]]-Д402[[#This Row],[Стоимость до скидки]]</f>
        <v>0</v>
      </c>
      <c r="BM6" s="157" t="s">
        <v>9</v>
      </c>
      <c r="BN6" s="157" t="b">
        <f>Д402[[#This Row],[Отделка CRM]]=Д402[[#This Row],[Отделка]]</f>
        <v>1</v>
      </c>
      <c r="BO6" s="275" t="s">
        <v>138</v>
      </c>
    </row>
    <row r="7" spans="1:68" s="158" customFormat="1" ht="12" x14ac:dyDescent="0.25">
      <c r="A7" s="140">
        <v>5</v>
      </c>
      <c r="B7" s="15">
        <v>1</v>
      </c>
      <c r="C7" s="141">
        <v>2</v>
      </c>
      <c r="D7" s="142">
        <v>5</v>
      </c>
      <c r="E7" s="141">
        <v>1</v>
      </c>
      <c r="F7" s="143">
        <v>13.06</v>
      </c>
      <c r="G7" s="143"/>
      <c r="H7" s="143"/>
      <c r="I7" s="144">
        <f>SUM(Д402[[#This Row],[Комната 1]:[Комната 3]])</f>
        <v>13.06</v>
      </c>
      <c r="J7" s="145">
        <v>15.1</v>
      </c>
      <c r="K7" s="145">
        <v>4.4400000000000004</v>
      </c>
      <c r="L7" s="145"/>
      <c r="M7" s="145">
        <v>2.9</v>
      </c>
      <c r="N7" s="145"/>
      <c r="O7" s="145">
        <v>3.02</v>
      </c>
      <c r="P7" s="145"/>
      <c r="Q7" s="145"/>
      <c r="R7" s="145">
        <f>SUM(Д402[[#This Row],[Лоджия 1]:[Лоджия 3]])</f>
        <v>3.02</v>
      </c>
      <c r="S7" s="148">
        <f>ROUND(SUM(Д402[[#This Row],[Площадь по проекту жилая]:[Лоджия 3]]),2)</f>
        <v>38.520000000000003</v>
      </c>
      <c r="T7" s="148">
        <f>ROUND(Д402[[#This Row],[Площадь по проекту(общая)]]-Д402[[#This Row],[Летние]],2)</f>
        <v>35.5</v>
      </c>
      <c r="U7" s="148">
        <f>ROUND(Д402[[#This Row],[Площадь по проекту(общая)]]-(SUM(Д402[[#This Row],[Лоджия 1]:[Лоджия 3]])/2),2)</f>
        <v>37.01</v>
      </c>
      <c r="V7" s="149">
        <f>VLOOKUP(Д402[[#This Row],[№]],наценка7[],COLUMN(наценка7[[#This Row],[Цена м2 с учетом всех K]]),0)</f>
        <v>125223</v>
      </c>
      <c r="W7" s="150"/>
      <c r="X7" s="149">
        <f>Д402[[#This Row],[м2 после К]]+Д402[[#This Row],[02.12.2024]]</f>
        <v>125223</v>
      </c>
      <c r="Y7" s="149">
        <v>1000</v>
      </c>
      <c r="Z7" s="149">
        <f>Д402[[#This Row],[Фикс 20.12.24]]+Д402[[#This Row],[23.12.24 СП +1000]]</f>
        <v>126223</v>
      </c>
      <c r="AA7" s="149">
        <v>215</v>
      </c>
      <c r="AB7" s="149">
        <f>Д402[[#This Row],[Фикс 23.12.24]]+Д402[[#This Row],[Повышение 20.02.25]]</f>
        <v>126438</v>
      </c>
      <c r="AC7" s="149">
        <v>17.5</v>
      </c>
      <c r="AD7" s="149">
        <f>Д402[[#This Row],[Фикс 20.02.25]]+Д402[[#This Row],[Повышение 24.02.2025]]</f>
        <v>126455.5</v>
      </c>
      <c r="AE7" s="149">
        <f>Д402[[#This Row],[Фикс 24.02.25]]*1.5%</f>
        <v>1896.8325</v>
      </c>
      <c r="AF7" s="149">
        <f>Д402[[#This Row],[Фикс 24.02.25]]+Д402[[#This Row],[Повышение 05.03.2025
1К: до 40м - 1,5%, 40+ 0,5%
2К - 0,5% ]]</f>
        <v>128352.3325</v>
      </c>
      <c r="AG7" s="149">
        <f>Д402[[#This Row],[Фикс 05.03.25]]*1%</f>
        <v>1283.5233250000001</v>
      </c>
      <c r="AH7" s="149">
        <f>Д402[[#This Row],[Фикс 05.03.25]]+Д402[[#This Row],[повышение 14.03.25 1К-1%]]</f>
        <v>129635.85582500001</v>
      </c>
      <c r="AI7" s="149">
        <f>Д402[[#This Row],[Фикс 14.03.25]]*1%</f>
        <v>1296.35855825</v>
      </c>
      <c r="AJ7" s="149">
        <f>Д402[[#This Row],[Фикс 14.03.25]]+Д402[[#This Row],[повышение 28.03.25 1К-1%]]</f>
        <v>130932.21438325</v>
      </c>
      <c r="AK7" s="149"/>
      <c r="AL7" s="149">
        <f>Д402[[#This Row],[Фикс 28.03.25]]+Д402[[#This Row],[Повышение 23.07.25
1К 43-46м2 - 2%
2К 55-58 - 2%; 58-64 - 3%
3К 76-79 - 2%
]]</f>
        <v>130932.21438325</v>
      </c>
      <c r="AM7" s="148">
        <f>ROUND(Д402[[#This Row],[Фикс 23.07.25]],2)</f>
        <v>130932.21</v>
      </c>
      <c r="AN7" s="149">
        <f>ROUNDUP(Д402[[#This Row],[утв цена м2]]*Д402[[#This Row],[Расчетная проектная площадь]],-2)</f>
        <v>4845900</v>
      </c>
      <c r="AO7" s="151"/>
      <c r="AP7" s="152"/>
      <c r="AQ7" s="151">
        <f>Д402[[#This Row],[Стоимость до скидки]]*Д402[[#This Row],[Скидка %]]+Д402[[#This Row],[Скидка фиксированная]]</f>
        <v>0</v>
      </c>
      <c r="AR7" s="3">
        <f>Д402[[#This Row],[Стоимость ОН без отделки со скидкой]]/Д402[[#This Row],[Расчетная проектная площадь]]</f>
        <v>130934.88246419888</v>
      </c>
      <c r="AS7" s="3">
        <f>Д402[[#This Row],[Стоимость до скидки]]-Д402[[#This Row],[Итоговая сумма скидки]]</f>
        <v>4845900</v>
      </c>
      <c r="AT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" s="153"/>
      <c r="AV7" s="153"/>
      <c r="AW7" s="3">
        <f>Д402[[#This Row],[Цена м2 без отделки со скидкой]]+Д402[[#This Row],[Стоимость отделки]]</f>
        <v>130934.88246419888</v>
      </c>
      <c r="AX7" s="3">
        <f>Д402[[#This Row],[Стоимость квартиры с отделкой]]-Д402[[#This Row],[Стоимость ОН без отделки со скидкой]]</f>
        <v>0</v>
      </c>
      <c r="AY7" s="3">
        <f>Д402[[#This Row],[Цена м2 с отделкой]]*Д402[[#This Row],[Расчетная проектная площадь]]</f>
        <v>4845900</v>
      </c>
      <c r="AZ7" s="154"/>
      <c r="BA7" s="155" t="s">
        <v>12</v>
      </c>
      <c r="BB7" s="156" t="str" cm="1">
        <f t="array" ref="BB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7" s="157" t="s">
        <v>738</v>
      </c>
      <c r="BD7" s="157" t="s">
        <v>739</v>
      </c>
      <c r="BE7" s="157" t="s">
        <v>737</v>
      </c>
      <c r="BF7" s="157" t="s">
        <v>745</v>
      </c>
      <c r="BG7" s="157" t="b">
        <f>EXACT(Д402[[#This Row],[Статусы CRM]],Д402[[#This Row],[Статус]])</f>
        <v>1</v>
      </c>
      <c r="BH7" s="3">
        <f>IF(Д402[[#This Row],[ПС]]=0,IF(Д402[[#This Row],[ДС]]=0,Д402[[#This Row],[ТС]],Д402[[#This Row],[ДС]]),Д402[[#This Row],[ПС]])</f>
        <v>4845900</v>
      </c>
      <c r="BI7" s="3">
        <v>4845900</v>
      </c>
      <c r="BJ7" s="3">
        <v>0</v>
      </c>
      <c r="BK7" s="3">
        <v>0</v>
      </c>
      <c r="BL7" s="272">
        <f>Д402[[#This Row],[Стоимость CRM]]-Д402[[#This Row],[Стоимость до скидки]]</f>
        <v>0</v>
      </c>
      <c r="BM7" s="157" t="s">
        <v>9</v>
      </c>
      <c r="BN7" s="157" t="b">
        <f>Д402[[#This Row],[Отделка CRM]]=Д402[[#This Row],[Отделка]]</f>
        <v>1</v>
      </c>
      <c r="BO7" s="275" t="s">
        <v>139</v>
      </c>
    </row>
    <row r="8" spans="1:68" s="158" customFormat="1" ht="12" x14ac:dyDescent="0.25">
      <c r="A8" s="140">
        <v>6</v>
      </c>
      <c r="B8" s="15">
        <v>1</v>
      </c>
      <c r="C8" s="141">
        <v>2</v>
      </c>
      <c r="D8" s="142">
        <v>6</v>
      </c>
      <c r="E8" s="141">
        <v>1</v>
      </c>
      <c r="F8" s="143">
        <v>14.57</v>
      </c>
      <c r="G8" s="143"/>
      <c r="H8" s="143"/>
      <c r="I8" s="144">
        <f>SUM(Д402[[#This Row],[Комната 1]:[Комната 3]])</f>
        <v>14.57</v>
      </c>
      <c r="J8" s="145">
        <v>16.93</v>
      </c>
      <c r="K8" s="145">
        <v>4.46</v>
      </c>
      <c r="L8" s="145"/>
      <c r="M8" s="145">
        <v>7.75</v>
      </c>
      <c r="N8" s="145"/>
      <c r="O8" s="145">
        <v>3.1</v>
      </c>
      <c r="P8" s="145"/>
      <c r="Q8" s="145"/>
      <c r="R8" s="145">
        <f>SUM(Д402[[#This Row],[Лоджия 1]:[Лоджия 3]])</f>
        <v>3.1</v>
      </c>
      <c r="S8" s="148">
        <f>ROUND(SUM(Д402[[#This Row],[Площадь по проекту жилая]:[Лоджия 3]]),2)</f>
        <v>46.81</v>
      </c>
      <c r="T8" s="148">
        <f>ROUND(Д402[[#This Row],[Площадь по проекту(общая)]]-Д402[[#This Row],[Летние]],2)</f>
        <v>43.71</v>
      </c>
      <c r="U8" s="148">
        <f>ROUND(Д402[[#This Row],[Площадь по проекту(общая)]]-(SUM(Д402[[#This Row],[Лоджия 1]:[Лоджия 3]])/2),2)</f>
        <v>45.26</v>
      </c>
      <c r="V8" s="149">
        <f>VLOOKUP(Д402[[#This Row],[№]],наценка7[],COLUMN(наценка7[[#This Row],[Цена м2 с учетом всех K]]),0)</f>
        <v>121645.2</v>
      </c>
      <c r="W8" s="150"/>
      <c r="X8" s="149">
        <f>Д402[[#This Row],[м2 после К]]+Д402[[#This Row],[02.12.2024]]</f>
        <v>121645.2</v>
      </c>
      <c r="Y8" s="149">
        <v>1000</v>
      </c>
      <c r="Z8" s="149">
        <f>Д402[[#This Row],[Фикс 20.12.24]]+Д402[[#This Row],[23.12.24 СП +1000]]</f>
        <v>122645.2</v>
      </c>
      <c r="AA8" s="149">
        <v>215</v>
      </c>
      <c r="AB8" s="149">
        <f>Д402[[#This Row],[Фикс 23.12.24]]+Д402[[#This Row],[Повышение 20.02.25]]</f>
        <v>122860.2</v>
      </c>
      <c r="AC8" s="149">
        <v>17.5</v>
      </c>
      <c r="AD8" s="149">
        <f>Д402[[#This Row],[Фикс 20.02.25]]+Д402[[#This Row],[Повышение 24.02.2025]]</f>
        <v>122877.7</v>
      </c>
      <c r="AE8" s="149">
        <f>Д402[[#This Row],[Фикс 24.02.25]]*0.5%</f>
        <v>614.38850000000002</v>
      </c>
      <c r="AF8" s="149">
        <f>Д402[[#This Row],[Фикс 24.02.25]]+Д402[[#This Row],[Повышение 05.03.2025
1К: до 40м - 1,5%, 40+ 0,5%
2К - 0,5% ]]</f>
        <v>123492.0885</v>
      </c>
      <c r="AG8" s="149">
        <f>Д402[[#This Row],[Фикс 05.03.25]]*1%</f>
        <v>1234.920885</v>
      </c>
      <c r="AH8" s="149">
        <f>Д402[[#This Row],[Фикс 05.03.25]]+Д402[[#This Row],[повышение 14.03.25 1К-1%]]</f>
        <v>124727.009385</v>
      </c>
      <c r="AI8" s="149">
        <f>Д402[[#This Row],[Фикс 14.03.25]]*1%</f>
        <v>1247.27009385</v>
      </c>
      <c r="AJ8" s="149">
        <f>Д402[[#This Row],[Фикс 14.03.25]]+Д402[[#This Row],[повышение 28.03.25 1К-1%]]</f>
        <v>125974.27947885</v>
      </c>
      <c r="AK8" s="149">
        <f>Д402[[#This Row],[Фикс 28.03.25]]*2%</f>
        <v>2519.4855895770002</v>
      </c>
      <c r="AL8" s="149">
        <f>Д402[[#This Row],[Фикс 28.03.25]]+Д402[[#This Row],[Повышение 23.07.25
1К 43-46м2 - 2%
2К 55-58 - 2%; 58-64 - 3%
3К 76-79 - 2%
]]</f>
        <v>128493.765068427</v>
      </c>
      <c r="AM8" s="148">
        <f>ROUND(Д402[[#This Row],[Фикс 23.07.25]],2)</f>
        <v>128493.77</v>
      </c>
      <c r="AN8" s="149">
        <f>ROUNDUP(Д402[[#This Row],[утв цена м2]]*Д402[[#This Row],[Расчетная проектная площадь]],-2)</f>
        <v>5815700</v>
      </c>
      <c r="AO8" s="151"/>
      <c r="AP8" s="152"/>
      <c r="AQ8" s="151">
        <f>Д402[[#This Row],[Стоимость до скидки]]*Д402[[#This Row],[Скидка %]]+Д402[[#This Row],[Скидка фиксированная]]</f>
        <v>0</v>
      </c>
      <c r="AR8" s="3">
        <f>Д402[[#This Row],[Стоимость ОН без отделки со скидкой]]/Д402[[#This Row],[Расчетная проектная площадь]]</f>
        <v>128495.36014140522</v>
      </c>
      <c r="AS8" s="3">
        <f>Д402[[#This Row],[Стоимость до скидки]]-Д402[[#This Row],[Итоговая сумма скидки]]</f>
        <v>5815700</v>
      </c>
      <c r="AT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" s="153"/>
      <c r="AV8" s="153"/>
      <c r="AW8" s="3">
        <f>Д402[[#This Row],[Цена м2 без отделки со скидкой]]+Д402[[#This Row],[Стоимость отделки]]</f>
        <v>128495.36014140522</v>
      </c>
      <c r="AX8" s="3">
        <f>Д402[[#This Row],[Стоимость квартиры с отделкой]]-Д402[[#This Row],[Стоимость ОН без отделки со скидкой]]</f>
        <v>0</v>
      </c>
      <c r="AY8" s="3">
        <f>Д402[[#This Row],[Цена м2 с отделкой]]*Д402[[#This Row],[Расчетная проектная площадь]]</f>
        <v>5815700</v>
      </c>
      <c r="AZ8" s="154"/>
      <c r="BA8" s="155" t="s">
        <v>12</v>
      </c>
      <c r="BB8" s="156" t="str" cm="1">
        <f t="array" ref="BB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8" s="157" t="s">
        <v>738</v>
      </c>
      <c r="BD8" s="157" t="s">
        <v>739</v>
      </c>
      <c r="BE8" s="157" t="s">
        <v>737</v>
      </c>
      <c r="BF8" s="157" t="s">
        <v>745</v>
      </c>
      <c r="BG8" s="157" t="b">
        <f>EXACT(Д402[[#This Row],[Статусы CRM]],Д402[[#This Row],[Статус]])</f>
        <v>1</v>
      </c>
      <c r="BH8" s="3">
        <f>IF(Д402[[#This Row],[ПС]]=0,IF(Д402[[#This Row],[ДС]]=0,Д402[[#This Row],[ТС]],Д402[[#This Row],[ДС]]),Д402[[#This Row],[ПС]])</f>
        <v>5815700</v>
      </c>
      <c r="BI8" s="3">
        <v>5815700</v>
      </c>
      <c r="BJ8" s="3">
        <v>0</v>
      </c>
      <c r="BK8" s="3">
        <v>0</v>
      </c>
      <c r="BL8" s="272">
        <f>Д402[[#This Row],[Стоимость CRM]]-Д402[[#This Row],[Стоимость до скидки]]</f>
        <v>0</v>
      </c>
      <c r="BM8" s="157" t="s">
        <v>9</v>
      </c>
      <c r="BN8" s="157" t="b">
        <f>Д402[[#This Row],[Отделка CRM]]=Д402[[#This Row],[Отделка]]</f>
        <v>1</v>
      </c>
      <c r="BO8" s="275" t="s">
        <v>140</v>
      </c>
    </row>
    <row r="9" spans="1:68" ht="12" customHeight="1" x14ac:dyDescent="0.25">
      <c r="A9" s="140">
        <v>7</v>
      </c>
      <c r="B9" s="15">
        <v>1</v>
      </c>
      <c r="C9" s="141">
        <f t="shared" ref="C9:C40" si="0">C3+1</f>
        <v>3</v>
      </c>
      <c r="D9" s="142">
        <v>1</v>
      </c>
      <c r="E9" s="141">
        <v>0</v>
      </c>
      <c r="F9" s="143">
        <v>14.66</v>
      </c>
      <c r="G9" s="143"/>
      <c r="H9" s="143"/>
      <c r="I9" s="144">
        <f>SUM(Д402[[#This Row],[Комната 1]:[Комната 3]])</f>
        <v>14.66</v>
      </c>
      <c r="J9" s="145">
        <v>6.15</v>
      </c>
      <c r="K9" s="145">
        <v>5.0199999999999996</v>
      </c>
      <c r="L9" s="145"/>
      <c r="M9" s="145">
        <v>3.86</v>
      </c>
      <c r="N9" s="145"/>
      <c r="O9" s="145"/>
      <c r="P9" s="145"/>
      <c r="Q9" s="146"/>
      <c r="R9" s="146">
        <f>SUM(Д402[[#This Row],[Лоджия 1]:[Лоджия 3]])</f>
        <v>0</v>
      </c>
      <c r="S9" s="10">
        <f>ROUND(SUM(Д402[[#This Row],[Площадь по проекту жилая]:[Лоджия 3]]),2)</f>
        <v>29.69</v>
      </c>
      <c r="T9" s="10">
        <f>ROUND(Д402[[#This Row],[Площадь по проекту(общая)]]-Д402[[#This Row],[Летние]],2)</f>
        <v>29.69</v>
      </c>
      <c r="U9" s="149">
        <f>ROUND(Д402[[#This Row],[Площадь по проекту(общая)]]-(SUM(Д402[[#This Row],[Лоджия 1]:[Лоджия 3]])/2),2)</f>
        <v>29.69</v>
      </c>
      <c r="V9" s="149">
        <f>VLOOKUP(Д402[[#This Row],[№]],наценка7[],COLUMN(наценка7[[#This Row],[Цена м2 с учетом всех K]]),0)</f>
        <v>139730</v>
      </c>
      <c r="W9" s="159">
        <v>200</v>
      </c>
      <c r="X9" s="149">
        <f>Д402[[#This Row],[м2 после К]]+Д402[[#This Row],[02.12.2024]]</f>
        <v>139930</v>
      </c>
      <c r="Y9" s="149">
        <v>1000</v>
      </c>
      <c r="Z9" s="149">
        <f>Д402[[#This Row],[Фикс 20.12.24]]+Д402[[#This Row],[23.12.24 СП +1000]]</f>
        <v>140930</v>
      </c>
      <c r="AA9" s="149">
        <v>215</v>
      </c>
      <c r="AB9" s="149">
        <f>Д402[[#This Row],[Фикс 23.12.24]]+Д402[[#This Row],[Повышение 20.02.25]]</f>
        <v>141145</v>
      </c>
      <c r="AC9" s="149">
        <v>17.5</v>
      </c>
      <c r="AD9" s="149">
        <f>Д402[[#This Row],[Фикс 20.02.25]]+Д402[[#This Row],[Повышение 24.02.2025]]</f>
        <v>141162.5</v>
      </c>
      <c r="AE9" s="149"/>
      <c r="AF9" s="149">
        <f>Д402[[#This Row],[Фикс 24.02.25]]+Д402[[#This Row],[Повышение 05.03.2025
1К: до 40м - 1,5%, 40+ 0,5%
2К - 0,5% ]]</f>
        <v>141162.5</v>
      </c>
      <c r="AG9" s="149"/>
      <c r="AH9" s="149">
        <f>Д402[[#This Row],[Фикс 05.03.25]]+Д402[[#This Row],[повышение 14.03.25 1К-1%]]</f>
        <v>141162.5</v>
      </c>
      <c r="AI9" s="149"/>
      <c r="AJ9" s="149">
        <f>Д402[[#This Row],[Фикс 14.03.25]]+Д402[[#This Row],[повышение 28.03.25 1К-1%]]</f>
        <v>141162.5</v>
      </c>
      <c r="AK9" s="149"/>
      <c r="AL9" s="149">
        <f>Д402[[#This Row],[Фикс 28.03.25]]+Д402[[#This Row],[Повышение 23.07.25
1К 43-46м2 - 2%
2К 55-58 - 2%; 58-64 - 3%
3К 76-79 - 2%
]]</f>
        <v>141162.5</v>
      </c>
      <c r="AM9" s="10">
        <f>ROUND(Д402[[#This Row],[Фикс 23.07.25]],2)</f>
        <v>141162.5</v>
      </c>
      <c r="AN9" s="10">
        <f>ROUNDUP(Д402[[#This Row],[утв цена м2]]*Д402[[#This Row],[Расчетная проектная площадь]],-2)</f>
        <v>4191200</v>
      </c>
      <c r="AO9" s="160"/>
      <c r="AP9" s="152"/>
      <c r="AQ9" s="151">
        <f>Д402[[#This Row],[Стоимость до скидки]]*Д402[[#This Row],[Скидка %]]+Д402[[#This Row],[Скидка фиксированная]]</f>
        <v>0</v>
      </c>
      <c r="AR9" s="3">
        <f>Д402[[#This Row],[Стоимость ОН без отделки со скидкой]]/Д402[[#This Row],[Расчетная проектная площадь]]</f>
        <v>141165.37554732233</v>
      </c>
      <c r="AS9" s="3">
        <f>Д402[[#This Row],[Стоимость до скидки]]-Д402[[#This Row],[Итоговая сумма скидки]]</f>
        <v>4191200</v>
      </c>
      <c r="AT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" s="153"/>
      <c r="AV9" s="153"/>
      <c r="AW9" s="3">
        <f>Д402[[#This Row],[Цена м2 без отделки со скидкой]]+Д402[[#This Row],[Стоимость отделки]]</f>
        <v>141165.37554732233</v>
      </c>
      <c r="AX9" s="3">
        <f>Д402[[#This Row],[Стоимость квартиры с отделкой]]-Д402[[#This Row],[Стоимость ОН без отделки со скидкой]]</f>
        <v>0</v>
      </c>
      <c r="AY9" s="3">
        <f>Д402[[#This Row],[Цена м2 с отделкой]]*Д402[[#This Row],[Расчетная проектная площадь]]</f>
        <v>4191200</v>
      </c>
      <c r="AZ9" s="161"/>
      <c r="BA9" s="269" t="s">
        <v>128</v>
      </c>
      <c r="BB9" s="269" t="str" cm="1">
        <f t="array" ref="BB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9" s="161" t="s">
        <v>740</v>
      </c>
      <c r="BD9" s="161" t="s">
        <v>506</v>
      </c>
      <c r="BE9" s="161" t="s">
        <v>737</v>
      </c>
      <c r="BF9" s="161" t="s">
        <v>743</v>
      </c>
      <c r="BG9" s="161" t="b">
        <f>EXACT(Д402[[#This Row],[Статусы CRM]],Д402[[#This Row],[Статус]])</f>
        <v>1</v>
      </c>
      <c r="BH9" s="3">
        <f>IF(Д402[[#This Row],[ПС]]=0,IF(Д402[[#This Row],[ДС]]=0,Д402[[#This Row],[ТС]],Д402[[#This Row],[ДС]]),Д402[[#This Row],[ПС]])</f>
        <v>4191200</v>
      </c>
      <c r="BI9" s="3">
        <v>4191200</v>
      </c>
      <c r="BJ9" s="3">
        <v>0</v>
      </c>
      <c r="BK9" s="3">
        <v>0</v>
      </c>
      <c r="BL9" s="273">
        <f>Д402[[#This Row],[Стоимость CRM]]-Д402[[#This Row],[Стоимость до скидки]]</f>
        <v>0</v>
      </c>
      <c r="BM9" s="161" t="s">
        <v>9</v>
      </c>
      <c r="BN9" s="161" t="b">
        <f>Д402[[#This Row],[Отделка CRM]]=Д402[[#This Row],[Отделка]]</f>
        <v>1</v>
      </c>
      <c r="BO9" s="275" t="s">
        <v>141</v>
      </c>
      <c r="BP9" s="69"/>
    </row>
    <row r="10" spans="1:68" ht="12" customHeight="1" x14ac:dyDescent="0.25">
      <c r="A10" s="140">
        <v>8</v>
      </c>
      <c r="B10" s="15">
        <v>1</v>
      </c>
      <c r="C10" s="141">
        <f t="shared" si="0"/>
        <v>3</v>
      </c>
      <c r="D10" s="142">
        <v>2</v>
      </c>
      <c r="E10" s="141">
        <v>2</v>
      </c>
      <c r="F10" s="143">
        <v>16.100000000000001</v>
      </c>
      <c r="G10" s="143">
        <v>10.8</v>
      </c>
      <c r="H10" s="143"/>
      <c r="I10" s="144">
        <f>SUM(Д402[[#This Row],[Комната 1]:[Комната 3]])</f>
        <v>26.900000000000002</v>
      </c>
      <c r="J10" s="145">
        <v>17.7</v>
      </c>
      <c r="K10" s="145">
        <v>4.25</v>
      </c>
      <c r="L10" s="145"/>
      <c r="M10" s="145">
        <v>9.68</v>
      </c>
      <c r="N10" s="145"/>
      <c r="O10" s="145">
        <v>3.15</v>
      </c>
      <c r="P10" s="145"/>
      <c r="Q10" s="146"/>
      <c r="R10" s="146">
        <f>SUM(Д402[[#This Row],[Лоджия 1]:[Лоджия 3]])</f>
        <v>3.15</v>
      </c>
      <c r="S10" s="10">
        <f>ROUND(SUM(Д402[[#This Row],[Площадь по проекту жилая]:[Лоджия 3]]),2)</f>
        <v>61.68</v>
      </c>
      <c r="T10" s="10">
        <f>ROUND(Д402[[#This Row],[Площадь по проекту(общая)]]-Д402[[#This Row],[Летние]],2)</f>
        <v>58.53</v>
      </c>
      <c r="U10" s="10">
        <f>ROUND(Д402[[#This Row],[Площадь по проекту(общая)]]-(SUM(Д402[[#This Row],[Лоджия 1]:[Лоджия 3]])/2),2)</f>
        <v>60.11</v>
      </c>
      <c r="V10" s="10">
        <f>VLOOKUP(Д402[[#This Row],[№]],наценка7[],COLUMN(наценка7[[#This Row],[Цена м2 с учетом всех K]]),0)</f>
        <v>119811.8</v>
      </c>
      <c r="W10" s="162"/>
      <c r="X10" s="10">
        <f>Д402[[#This Row],[м2 после К]]+Д402[[#This Row],[02.12.2024]]</f>
        <v>119811.8</v>
      </c>
      <c r="Y10" s="149">
        <v>1000</v>
      </c>
      <c r="Z10" s="10">
        <f>Д402[[#This Row],[Фикс 20.12.24]]+Д402[[#This Row],[23.12.24 СП +1000]]</f>
        <v>120811.8</v>
      </c>
      <c r="AA10" s="149">
        <v>215</v>
      </c>
      <c r="AB10" s="10">
        <f>Д402[[#This Row],[Фикс 23.12.24]]+Д402[[#This Row],[Повышение 20.02.25]]</f>
        <v>121026.8</v>
      </c>
      <c r="AC10" s="149">
        <v>17.5</v>
      </c>
      <c r="AD10" s="10">
        <f>Д402[[#This Row],[Фикс 20.02.25]]+Д402[[#This Row],[Повышение 24.02.2025]]</f>
        <v>121044.3</v>
      </c>
      <c r="AE10" s="149">
        <f>Д402[[#This Row],[Фикс 24.02.25]]*0.5%</f>
        <v>605.22149999999999</v>
      </c>
      <c r="AF10" s="10">
        <f>Д402[[#This Row],[Фикс 24.02.25]]+Д402[[#This Row],[Повышение 05.03.2025
1К: до 40м - 1,5%, 40+ 0,5%
2К - 0,5% ]]</f>
        <v>121649.5215</v>
      </c>
      <c r="AG10" s="10"/>
      <c r="AH10" s="10">
        <f>Д402[[#This Row],[Фикс 05.03.25]]+Д402[[#This Row],[повышение 14.03.25 1К-1%]]</f>
        <v>121649.5215</v>
      </c>
      <c r="AI10" s="10"/>
      <c r="AJ10" s="10">
        <f>Д402[[#This Row],[Фикс 14.03.25]]+Д402[[#This Row],[повышение 28.03.25 1К-1%]]</f>
        <v>121649.5215</v>
      </c>
      <c r="AK10" s="10">
        <f>Д402[[#This Row],[Фикс 28.03.25]]*3%</f>
        <v>3649.4856449999997</v>
      </c>
      <c r="AL10" s="10">
        <f>Д402[[#This Row],[Фикс 28.03.25]]+Д402[[#This Row],[Повышение 23.07.25
1К 43-46м2 - 2%
2К 55-58 - 2%; 58-64 - 3%
3К 76-79 - 2%
]]</f>
        <v>125299.007145</v>
      </c>
      <c r="AM10" s="10">
        <f>ROUND(Д402[[#This Row],[Фикс 23.07.25]],2)</f>
        <v>125299.01</v>
      </c>
      <c r="AN10" s="10">
        <f>ROUNDUP(Д402[[#This Row],[утв цена м2]]*Д402[[#This Row],[Расчетная проектная площадь]],-2)</f>
        <v>7531800</v>
      </c>
      <c r="AO10" s="151"/>
      <c r="AP10" s="152"/>
      <c r="AQ10" s="151">
        <f>Д402[[#This Row],[Стоимость до скидки]]*Д402[[#This Row],[Скидка %]]+Д402[[#This Row],[Скидка фиксированная]]</f>
        <v>0</v>
      </c>
      <c r="AR10" s="3">
        <f>Д402[[#This Row],[Стоимость ОН без отделки со скидкой]]/Д402[[#This Row],[Расчетная проектная площадь]]</f>
        <v>125300.28281483946</v>
      </c>
      <c r="AS10" s="3">
        <f>Д402[[#This Row],[Стоимость до скидки]]-Д402[[#This Row],[Итоговая сумма скидки]]</f>
        <v>7531800</v>
      </c>
      <c r="AT1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" s="153"/>
      <c r="AV10" s="153"/>
      <c r="AW10" s="3">
        <f>Д402[[#This Row],[Цена м2 без отделки со скидкой]]+Д402[[#This Row],[Стоимость отделки]]</f>
        <v>125300.28281483946</v>
      </c>
      <c r="AX10" s="3">
        <f>Д402[[#This Row],[Стоимость квартиры с отделкой]]-Д402[[#This Row],[Стоимость ОН без отделки со скидкой]]</f>
        <v>0</v>
      </c>
      <c r="AY10" s="3">
        <f>Д402[[#This Row],[Цена м2 с отделкой]]*Д402[[#This Row],[Расчетная проектная площадь]]</f>
        <v>7531800</v>
      </c>
      <c r="AZ10" s="161"/>
      <c r="BA10" s="155" t="s">
        <v>12</v>
      </c>
      <c r="BB10" s="156" t="str" cm="1">
        <f t="array" ref="BB1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0" s="161" t="s">
        <v>738</v>
      </c>
      <c r="BD10" s="161" t="s">
        <v>739</v>
      </c>
      <c r="BE10" s="161" t="s">
        <v>737</v>
      </c>
      <c r="BF10" s="161" t="s">
        <v>744</v>
      </c>
      <c r="BG10" s="161" t="b">
        <f>EXACT(Д402[[#This Row],[Статусы CRM]],Д402[[#This Row],[Статус]])</f>
        <v>1</v>
      </c>
      <c r="BH10" s="3">
        <f>IF(Д402[[#This Row],[ПС]]=0,IF(Д402[[#This Row],[ДС]]=0,Д402[[#This Row],[ТС]],Д402[[#This Row],[ДС]]),Д402[[#This Row],[ПС]])</f>
        <v>7531800</v>
      </c>
      <c r="BI10" s="3">
        <v>7531800</v>
      </c>
      <c r="BJ10" s="3">
        <v>0</v>
      </c>
      <c r="BK10" s="3">
        <v>0</v>
      </c>
      <c r="BL10" s="273">
        <f>Д402[[#This Row],[Стоимость CRM]]-Д402[[#This Row],[Стоимость до скидки]]</f>
        <v>0</v>
      </c>
      <c r="BM10" s="161" t="s">
        <v>9</v>
      </c>
      <c r="BN10" s="161" t="b">
        <f>Д402[[#This Row],[Отделка CRM]]=Д402[[#This Row],[Отделка]]</f>
        <v>1</v>
      </c>
      <c r="BO10" s="275" t="s">
        <v>142</v>
      </c>
      <c r="BP10" s="69"/>
    </row>
    <row r="11" spans="1:68" ht="12" customHeight="1" x14ac:dyDescent="0.25">
      <c r="A11" s="140">
        <v>9</v>
      </c>
      <c r="B11" s="15">
        <v>1</v>
      </c>
      <c r="C11" s="141">
        <f t="shared" si="0"/>
        <v>3</v>
      </c>
      <c r="D11" s="142">
        <v>3</v>
      </c>
      <c r="E11" s="141">
        <v>2</v>
      </c>
      <c r="F11" s="143">
        <v>16.41</v>
      </c>
      <c r="G11" s="143">
        <v>12.19</v>
      </c>
      <c r="H11" s="143"/>
      <c r="I11" s="144">
        <f>SUM(Д402[[#This Row],[Комната 1]:[Комната 3]])</f>
        <v>28.6</v>
      </c>
      <c r="J11" s="145">
        <v>14.62</v>
      </c>
      <c r="K11" s="145">
        <v>3.86</v>
      </c>
      <c r="L11" s="145"/>
      <c r="M11" s="145">
        <v>6.1</v>
      </c>
      <c r="N11" s="145"/>
      <c r="O11" s="145">
        <v>3.33</v>
      </c>
      <c r="P11" s="145"/>
      <c r="Q11" s="146"/>
      <c r="R11" s="146">
        <f>SUM(Д402[[#This Row],[Лоджия 1]:[Лоджия 3]])</f>
        <v>3.33</v>
      </c>
      <c r="S11" s="10">
        <f>ROUND(SUM(Д402[[#This Row],[Площадь по проекту жилая]:[Лоджия 3]]),2)</f>
        <v>56.51</v>
      </c>
      <c r="T11" s="10">
        <f>ROUND(Д402[[#This Row],[Площадь по проекту(общая)]]-Д402[[#This Row],[Летние]],2)</f>
        <v>53.18</v>
      </c>
      <c r="U11" s="10">
        <f>ROUND(Д402[[#This Row],[Площадь по проекту(общая)]]-(SUM(Д402[[#This Row],[Лоджия 1]:[Лоджия 3]])/2),2)</f>
        <v>54.85</v>
      </c>
      <c r="V11" s="10">
        <f>VLOOKUP(Д402[[#This Row],[№]],наценка7[],COLUMN(наценка7[[#This Row],[Цена м2 с учетом всех K]]),0)</f>
        <v>117551.2</v>
      </c>
      <c r="W11" s="162"/>
      <c r="X11" s="10">
        <f>Д402[[#This Row],[м2 после К]]+Д402[[#This Row],[02.12.2024]]</f>
        <v>117551.2</v>
      </c>
      <c r="Y11" s="149">
        <v>1000</v>
      </c>
      <c r="Z11" s="10">
        <f>Д402[[#This Row],[Фикс 20.12.24]]+Д402[[#This Row],[23.12.24 СП +1000]]</f>
        <v>118551.2</v>
      </c>
      <c r="AA11" s="149">
        <v>215</v>
      </c>
      <c r="AB11" s="10">
        <f>Д402[[#This Row],[Фикс 23.12.24]]+Д402[[#This Row],[Повышение 20.02.25]]</f>
        <v>118766.2</v>
      </c>
      <c r="AC11" s="149">
        <v>17.5</v>
      </c>
      <c r="AD11" s="10">
        <f>Д402[[#This Row],[Фикс 20.02.25]]+Д402[[#This Row],[Повышение 24.02.2025]]</f>
        <v>118783.7</v>
      </c>
      <c r="AE11" s="149">
        <f>Д402[[#This Row],[Фикс 24.02.25]]*0.5%</f>
        <v>593.91849999999999</v>
      </c>
      <c r="AF11" s="10">
        <f>Д402[[#This Row],[Фикс 24.02.25]]+Д402[[#This Row],[Повышение 05.03.2025
1К: до 40м - 1,5%, 40+ 0,5%
2К - 0,5% ]]</f>
        <v>119377.6185</v>
      </c>
      <c r="AG11" s="10"/>
      <c r="AH11" s="10">
        <f>Д402[[#This Row],[Фикс 05.03.25]]+Д402[[#This Row],[повышение 14.03.25 1К-1%]]</f>
        <v>119377.6185</v>
      </c>
      <c r="AI11" s="10"/>
      <c r="AJ11" s="10">
        <f>Д402[[#This Row],[Фикс 14.03.25]]+Д402[[#This Row],[повышение 28.03.25 1К-1%]]</f>
        <v>119377.6185</v>
      </c>
      <c r="AK11" s="10"/>
      <c r="AL11" s="10">
        <f>Д402[[#This Row],[Фикс 28.03.25]]+Д402[[#This Row],[Повышение 23.07.25
1К 43-46м2 - 2%
2К 55-58 - 2%; 58-64 - 3%
3К 76-79 - 2%
]]</f>
        <v>119377.6185</v>
      </c>
      <c r="AM11" s="10">
        <f>ROUND(Д402[[#This Row],[Фикс 23.07.25]],2)</f>
        <v>119377.62</v>
      </c>
      <c r="AN11" s="10">
        <f>ROUNDUP(Д402[[#This Row],[утв цена м2]]*Д402[[#This Row],[Расчетная проектная площадь]],-2)</f>
        <v>6547900</v>
      </c>
      <c r="AO11" s="151"/>
      <c r="AP11" s="152"/>
      <c r="AQ11" s="151">
        <f>Д402[[#This Row],[Стоимость до скидки]]*Д402[[#This Row],[Скидка %]]+Д402[[#This Row],[Скидка фиксированная]]</f>
        <v>0</v>
      </c>
      <c r="AR11" s="3">
        <f>Д402[[#This Row],[Стоимость ОН без отделки со скидкой]]/Д402[[#This Row],[Расчетная проектная площадь]]</f>
        <v>119378.30446672744</v>
      </c>
      <c r="AS11" s="3">
        <f>Д402[[#This Row],[Стоимость до скидки]]-Д402[[#This Row],[Итоговая сумма скидки]]</f>
        <v>6547900</v>
      </c>
      <c r="AT1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" s="153"/>
      <c r="AV11" s="153"/>
      <c r="AW11" s="3">
        <f>Д402[[#This Row],[Цена м2 без отделки со скидкой]]+Д402[[#This Row],[Стоимость отделки]]</f>
        <v>119378.30446672744</v>
      </c>
      <c r="AX11" s="3">
        <f>Д402[[#This Row],[Стоимость квартиры с отделкой]]-Д402[[#This Row],[Стоимость ОН без отделки со скидкой]]</f>
        <v>0</v>
      </c>
      <c r="AY11" s="3">
        <f>Д402[[#This Row],[Цена м2 с отделкой]]*Д402[[#This Row],[Расчетная проектная площадь]]</f>
        <v>6547900</v>
      </c>
      <c r="AZ11" s="161"/>
      <c r="BA11" s="155" t="s">
        <v>12</v>
      </c>
      <c r="BB11" s="156" t="str" cm="1">
        <f t="array" ref="BB1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" s="161" t="s">
        <v>738</v>
      </c>
      <c r="BD11" s="161" t="s">
        <v>739</v>
      </c>
      <c r="BE11" s="161" t="s">
        <v>737</v>
      </c>
      <c r="BF11" s="161" t="s">
        <v>744</v>
      </c>
      <c r="BG11" s="161" t="b">
        <f>EXACT(Д402[[#This Row],[Статусы CRM]],Д402[[#This Row],[Статус]])</f>
        <v>1</v>
      </c>
      <c r="BH11" s="3">
        <f>IF(Д402[[#This Row],[ПС]]=0,IF(Д402[[#This Row],[ДС]]=0,Д402[[#This Row],[ТС]],Д402[[#This Row],[ДС]]),Д402[[#This Row],[ПС]])</f>
        <v>6547900</v>
      </c>
      <c r="BI11" s="3">
        <v>6547900</v>
      </c>
      <c r="BJ11" s="3">
        <v>0</v>
      </c>
      <c r="BK11" s="3">
        <v>0</v>
      </c>
      <c r="BL11" s="273">
        <f>Д402[[#This Row],[Стоимость CRM]]-Д402[[#This Row],[Стоимость до скидки]]</f>
        <v>0</v>
      </c>
      <c r="BM11" s="161" t="s">
        <v>9</v>
      </c>
      <c r="BN11" s="161" t="b">
        <f>Д402[[#This Row],[Отделка CRM]]=Д402[[#This Row],[Отделка]]</f>
        <v>1</v>
      </c>
      <c r="BO11" s="275" t="s">
        <v>143</v>
      </c>
      <c r="BP11" s="69"/>
    </row>
    <row r="12" spans="1:68" ht="12" customHeight="1" x14ac:dyDescent="0.25">
      <c r="A12" s="140">
        <v>10</v>
      </c>
      <c r="B12" s="15">
        <v>1</v>
      </c>
      <c r="C12" s="141">
        <f t="shared" si="0"/>
        <v>3</v>
      </c>
      <c r="D12" s="142">
        <v>4</v>
      </c>
      <c r="E12" s="141">
        <v>2</v>
      </c>
      <c r="F12" s="143">
        <v>14.98</v>
      </c>
      <c r="G12" s="143">
        <v>12.28</v>
      </c>
      <c r="H12" s="143"/>
      <c r="I12" s="144">
        <f>SUM(Д402[[#This Row],[Комната 1]:[Комната 3]])</f>
        <v>27.259999999999998</v>
      </c>
      <c r="J12" s="145">
        <v>15.16</v>
      </c>
      <c r="K12" s="145">
        <v>4.4400000000000004</v>
      </c>
      <c r="L12" s="145"/>
      <c r="M12" s="145">
        <v>6.25</v>
      </c>
      <c r="N12" s="145"/>
      <c r="O12" s="145">
        <v>3.33</v>
      </c>
      <c r="P12" s="145"/>
      <c r="Q12" s="146"/>
      <c r="R12" s="146">
        <f>SUM(Д402[[#This Row],[Лоджия 1]:[Лоджия 3]])</f>
        <v>3.33</v>
      </c>
      <c r="S12" s="10">
        <f>ROUND(SUM(Д402[[#This Row],[Площадь по проекту жилая]:[Лоджия 3]]),2)</f>
        <v>56.44</v>
      </c>
      <c r="T12" s="10">
        <f>ROUND(Д402[[#This Row],[Площадь по проекту(общая)]]-Д402[[#This Row],[Летние]],2)</f>
        <v>53.11</v>
      </c>
      <c r="U12" s="10">
        <f>ROUND(Д402[[#This Row],[Площадь по проекту(общая)]]-(SUM(Д402[[#This Row],[Лоджия 1]:[Лоджия 3]])/2),2)</f>
        <v>54.78</v>
      </c>
      <c r="V12" s="10">
        <f>VLOOKUP(Д402[[#This Row],[№]],наценка7[],COLUMN(наценка7[[#This Row],[Цена м2 с учетом всех K]]),0)</f>
        <v>119811.8</v>
      </c>
      <c r="W12" s="162"/>
      <c r="X12" s="10">
        <f>Д402[[#This Row],[м2 после К]]+Д402[[#This Row],[02.12.2024]]</f>
        <v>119811.8</v>
      </c>
      <c r="Y12" s="149">
        <v>1000</v>
      </c>
      <c r="Z12" s="10">
        <f>Д402[[#This Row],[Фикс 20.12.24]]+Д402[[#This Row],[23.12.24 СП +1000]]</f>
        <v>120811.8</v>
      </c>
      <c r="AA12" s="149">
        <v>215</v>
      </c>
      <c r="AB12" s="10">
        <f>Д402[[#This Row],[Фикс 23.12.24]]+Д402[[#This Row],[Повышение 20.02.25]]</f>
        <v>121026.8</v>
      </c>
      <c r="AC12" s="149">
        <v>17.5</v>
      </c>
      <c r="AD12" s="10">
        <f>Д402[[#This Row],[Фикс 20.02.25]]+Д402[[#This Row],[Повышение 24.02.2025]]</f>
        <v>121044.3</v>
      </c>
      <c r="AE12" s="149">
        <f>Д402[[#This Row],[Фикс 24.02.25]]*0.5%</f>
        <v>605.22149999999999</v>
      </c>
      <c r="AF12" s="10">
        <f>Д402[[#This Row],[Фикс 24.02.25]]+Д402[[#This Row],[Повышение 05.03.2025
1К: до 40м - 1,5%, 40+ 0,5%
2К - 0,5% ]]</f>
        <v>121649.5215</v>
      </c>
      <c r="AG12" s="10"/>
      <c r="AH12" s="10">
        <f>Д402[[#This Row],[Фикс 05.03.25]]+Д402[[#This Row],[повышение 14.03.25 1К-1%]]</f>
        <v>121649.5215</v>
      </c>
      <c r="AI12" s="10"/>
      <c r="AJ12" s="10">
        <f>Д402[[#This Row],[Фикс 14.03.25]]+Д402[[#This Row],[повышение 28.03.25 1К-1%]]</f>
        <v>121649.5215</v>
      </c>
      <c r="AK12" s="10"/>
      <c r="AL12" s="10">
        <f>Д402[[#This Row],[Фикс 28.03.25]]+Д402[[#This Row],[Повышение 23.07.25
1К 43-46м2 - 2%
2К 55-58 - 2%; 58-64 - 3%
3К 76-79 - 2%
]]</f>
        <v>121649.5215</v>
      </c>
      <c r="AM12" s="10">
        <f>ROUND(Д402[[#This Row],[Фикс 23.07.25]],2)</f>
        <v>121649.52</v>
      </c>
      <c r="AN12" s="10">
        <f>ROUNDUP(Д402[[#This Row],[утв цена м2]]*Д402[[#This Row],[Расчетная проектная площадь]],-2)</f>
        <v>6664000</v>
      </c>
      <c r="AO12" s="151"/>
      <c r="AP12" s="152"/>
      <c r="AQ12" s="151">
        <f>Д402[[#This Row],[Стоимость до скидки]]*Д402[[#This Row],[Скидка %]]+Д402[[#This Row],[Скидка фиксированная]]</f>
        <v>0</v>
      </c>
      <c r="AR12" s="3">
        <f>Д402[[#This Row],[Стоимость ОН без отделки со скидкой]]/Д402[[#This Row],[Расчетная проектная площадь]]</f>
        <v>121650.23731288791</v>
      </c>
      <c r="AS12" s="3">
        <f>Д402[[#This Row],[Стоимость до скидки]]-Д402[[#This Row],[Итоговая сумма скидки]]</f>
        <v>6664000</v>
      </c>
      <c r="AT1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2" s="153">
        <v>30000</v>
      </c>
      <c r="AV12" s="153" t="s">
        <v>722</v>
      </c>
      <c r="AW12" s="3">
        <f>Д402[[#This Row],[Цена м2 без отделки со скидкой]]+Д402[[#This Row],[Стоимость отделки]]</f>
        <v>151650.23731288791</v>
      </c>
      <c r="AX12" s="3">
        <f>Д402[[#This Row],[Стоимость квартиры с отделкой]]-Д402[[#This Row],[Стоимость ОН без отделки со скидкой]]</f>
        <v>1643400</v>
      </c>
      <c r="AY12" s="3">
        <f>Д402[[#This Row],[Цена м2 с отделкой]]*Д402[[#This Row],[Расчетная проектная площадь]]</f>
        <v>8307400</v>
      </c>
      <c r="AZ12" s="161"/>
      <c r="BA12" s="155" t="s">
        <v>12</v>
      </c>
      <c r="BB12" s="156" t="str" cm="1">
        <f t="array" ref="BB1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" s="161" t="s">
        <v>738</v>
      </c>
      <c r="BD12" s="161" t="s">
        <v>739</v>
      </c>
      <c r="BE12" s="161" t="s">
        <v>737</v>
      </c>
      <c r="BF12" s="161" t="s">
        <v>744</v>
      </c>
      <c r="BG12" s="161" t="b">
        <f>EXACT(Д402[[#This Row],[Статусы CRM]],Д402[[#This Row],[Статус]])</f>
        <v>1</v>
      </c>
      <c r="BH12" s="3">
        <f>IF(Д402[[#This Row],[ПС]]=0,IF(Д402[[#This Row],[ДС]]=0,Д402[[#This Row],[ТС]],Д402[[#This Row],[ДС]]),Д402[[#This Row],[ПС]])</f>
        <v>6664000</v>
      </c>
      <c r="BI12" s="3">
        <v>6664000</v>
      </c>
      <c r="BJ12" s="3">
        <v>0</v>
      </c>
      <c r="BK12" s="3">
        <v>0</v>
      </c>
      <c r="BL12" s="273">
        <f>Д402[[#This Row],[Стоимость CRM]]-Д402[[#This Row],[Стоимость до скидки]]</f>
        <v>0</v>
      </c>
      <c r="BM12" s="161" t="s">
        <v>11</v>
      </c>
      <c r="BN12" s="161" t="b">
        <f>Д402[[#This Row],[Отделка CRM]]=Д402[[#This Row],[Отделка]]</f>
        <v>1</v>
      </c>
      <c r="BO12" s="275" t="s">
        <v>144</v>
      </c>
      <c r="BP12" s="69"/>
    </row>
    <row r="13" spans="1:68" ht="12" customHeight="1" x14ac:dyDescent="0.25">
      <c r="A13" s="140">
        <v>11</v>
      </c>
      <c r="B13" s="15">
        <v>1</v>
      </c>
      <c r="C13" s="141">
        <f t="shared" si="0"/>
        <v>3</v>
      </c>
      <c r="D13" s="142">
        <v>5</v>
      </c>
      <c r="E13" s="141">
        <v>1</v>
      </c>
      <c r="F13" s="143">
        <v>13.06</v>
      </c>
      <c r="G13" s="143"/>
      <c r="H13" s="143"/>
      <c r="I13" s="144">
        <f>SUM(Д402[[#This Row],[Комната 1]:[Комната 3]])</f>
        <v>13.06</v>
      </c>
      <c r="J13" s="145">
        <v>15.1</v>
      </c>
      <c r="K13" s="145">
        <v>4.4400000000000004</v>
      </c>
      <c r="L13" s="145"/>
      <c r="M13" s="145">
        <v>2.9</v>
      </c>
      <c r="N13" s="145"/>
      <c r="O13" s="145">
        <v>3.02</v>
      </c>
      <c r="P13" s="145"/>
      <c r="Q13" s="146"/>
      <c r="R13" s="146">
        <f>SUM(Д402[[#This Row],[Лоджия 1]:[Лоджия 3]])</f>
        <v>3.02</v>
      </c>
      <c r="S13" s="149">
        <f>ROUND(SUM(Д402[[#This Row],[Площадь по проекту жилая]:[Лоджия 3]]),2)</f>
        <v>38.520000000000003</v>
      </c>
      <c r="T13" s="149">
        <f>ROUND(Д402[[#This Row],[Площадь по проекту(общая)]]-Д402[[#This Row],[Летние]],2)</f>
        <v>35.5</v>
      </c>
      <c r="U13" s="149">
        <f>ROUND(Д402[[#This Row],[Площадь по проекту(общая)]]-(SUM(Д402[[#This Row],[Лоджия 1]:[Лоджия 3]])/2),2)</f>
        <v>37.01</v>
      </c>
      <c r="V13" s="149">
        <f>VLOOKUP(Д402[[#This Row],[№]],наценка7[],COLUMN(наценка7[[#This Row],[Цена м2 с учетом всех K]]),0)</f>
        <v>125223</v>
      </c>
      <c r="W13" s="159">
        <f>2%*Д402[[#This Row],[м2 после К]]</f>
        <v>2504.46</v>
      </c>
      <c r="X13" s="149">
        <f>Д402[[#This Row],[м2 после К]]+Д402[[#This Row],[02.12.2024]]</f>
        <v>127727.46</v>
      </c>
      <c r="Y13" s="149">
        <v>1000</v>
      </c>
      <c r="Z13" s="149">
        <f>Д402[[#This Row],[Фикс 20.12.24]]+Д402[[#This Row],[23.12.24 СП +1000]]</f>
        <v>128727.46</v>
      </c>
      <c r="AA13" s="149">
        <v>215</v>
      </c>
      <c r="AB13" s="149">
        <f>Д402[[#This Row],[Фикс 23.12.24]]+Д402[[#This Row],[Повышение 20.02.25]]</f>
        <v>128942.46</v>
      </c>
      <c r="AC13" s="149">
        <v>17.5</v>
      </c>
      <c r="AD13" s="149">
        <f>Д402[[#This Row],[Фикс 20.02.25]]+Д402[[#This Row],[Повышение 24.02.2025]]</f>
        <v>128959.96</v>
      </c>
      <c r="AE13" s="149">
        <f>Д402[[#This Row],[Фикс 24.02.25]]*1.5%</f>
        <v>1934.3994</v>
      </c>
      <c r="AF13" s="149">
        <f>Д402[[#This Row],[Фикс 24.02.25]]+Д402[[#This Row],[Повышение 05.03.2025
1К: до 40м - 1,5%, 40+ 0,5%
2К - 0,5% ]]</f>
        <v>130894.3594</v>
      </c>
      <c r="AG13" s="149">
        <f>Д402[[#This Row],[Фикс 05.03.25]]*1%</f>
        <v>1308.9435940000001</v>
      </c>
      <c r="AH13" s="149">
        <f>Д402[[#This Row],[Фикс 05.03.25]]+Д402[[#This Row],[повышение 14.03.25 1К-1%]]</f>
        <v>132203.302994</v>
      </c>
      <c r="AI13" s="149">
        <f>Д402[[#This Row],[Фикс 14.03.25]]*1%</f>
        <v>1322.03302994</v>
      </c>
      <c r="AJ13" s="149">
        <f>Д402[[#This Row],[Фикс 14.03.25]]+Д402[[#This Row],[повышение 28.03.25 1К-1%]]</f>
        <v>133525.33602394001</v>
      </c>
      <c r="AK13" s="149"/>
      <c r="AL13" s="149">
        <f>Д402[[#This Row],[Фикс 28.03.25]]+Д402[[#This Row],[Повышение 23.07.25
1К 43-46м2 - 2%
2К 55-58 - 2%; 58-64 - 3%
3К 76-79 - 2%
]]</f>
        <v>133525.33602394001</v>
      </c>
      <c r="AM13" s="149">
        <f>ROUND(Д402[[#This Row],[Фикс 23.07.25]],2)</f>
        <v>133525.34</v>
      </c>
      <c r="AN13" s="149">
        <f>ROUNDUP(Д402[[#This Row],[утв цена м2]]*Д402[[#This Row],[Расчетная проектная площадь]],-2)</f>
        <v>4941800</v>
      </c>
      <c r="AO13" s="151"/>
      <c r="AP13" s="152"/>
      <c r="AQ13" s="151">
        <f>Д402[[#This Row],[Стоимость до скидки]]*Д402[[#This Row],[Скидка %]]+Д402[[#This Row],[Скидка фиксированная]]</f>
        <v>0</v>
      </c>
      <c r="AR13" s="3">
        <f>Д402[[#This Row],[Стоимость ОН без отделки со скидкой]]/Д402[[#This Row],[Расчетная проектная площадь]]</f>
        <v>133526.07403404487</v>
      </c>
      <c r="AS13" s="3">
        <f>Д402[[#This Row],[Стоимость до скидки]]-Д402[[#This Row],[Итоговая сумма скидки]]</f>
        <v>4941800</v>
      </c>
      <c r="AT1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" s="153"/>
      <c r="AV13" s="153"/>
      <c r="AW13" s="3">
        <f>Д402[[#This Row],[Цена м2 без отделки со скидкой]]+Д402[[#This Row],[Стоимость отделки]]</f>
        <v>133526.07403404487</v>
      </c>
      <c r="AX13" s="3">
        <f>Д402[[#This Row],[Стоимость квартиры с отделкой]]-Д402[[#This Row],[Стоимость ОН без отделки со скидкой]]</f>
        <v>0</v>
      </c>
      <c r="AY13" s="3">
        <f>Д402[[#This Row],[Цена м2 с отделкой]]*Д402[[#This Row],[Расчетная проектная площадь]]</f>
        <v>4941800</v>
      </c>
      <c r="AZ13" s="161"/>
      <c r="BA13" s="269" t="s">
        <v>12</v>
      </c>
      <c r="BB13" s="269" t="str" cm="1">
        <f t="array" ref="BB1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" s="161" t="s">
        <v>738</v>
      </c>
      <c r="BD13" s="161" t="s">
        <v>739</v>
      </c>
      <c r="BE13" s="161" t="s">
        <v>737</v>
      </c>
      <c r="BF13" s="161" t="s">
        <v>745</v>
      </c>
      <c r="BG13" s="161" t="b">
        <f>EXACT(Д402[[#This Row],[Статусы CRM]],Д402[[#This Row],[Статус]])</f>
        <v>1</v>
      </c>
      <c r="BH13" s="3">
        <f>IF(Д402[[#This Row],[ПС]]=0,IF(Д402[[#This Row],[ДС]]=0,Д402[[#This Row],[ТС]],Д402[[#This Row],[ДС]]),Д402[[#This Row],[ПС]])</f>
        <v>4941800</v>
      </c>
      <c r="BI13" s="3">
        <v>4941800</v>
      </c>
      <c r="BJ13" s="3">
        <v>0</v>
      </c>
      <c r="BK13" s="3">
        <v>0</v>
      </c>
      <c r="BL13" s="273">
        <f>Д402[[#This Row],[Стоимость CRM]]-Д402[[#This Row],[Стоимость до скидки]]</f>
        <v>0</v>
      </c>
      <c r="BM13" s="161" t="s">
        <v>9</v>
      </c>
      <c r="BN13" s="161" t="b">
        <f>Д402[[#This Row],[Отделка CRM]]=Д402[[#This Row],[Отделка]]</f>
        <v>1</v>
      </c>
      <c r="BO13" s="275" t="s">
        <v>145</v>
      </c>
      <c r="BP13" s="69"/>
    </row>
    <row r="14" spans="1:68" ht="12" customHeight="1" x14ac:dyDescent="0.25">
      <c r="A14" s="140">
        <v>12</v>
      </c>
      <c r="B14" s="15">
        <v>1</v>
      </c>
      <c r="C14" s="141">
        <f t="shared" si="0"/>
        <v>3</v>
      </c>
      <c r="D14" s="142">
        <v>6</v>
      </c>
      <c r="E14" s="141">
        <v>1</v>
      </c>
      <c r="F14" s="143">
        <v>14.57</v>
      </c>
      <c r="G14" s="143"/>
      <c r="H14" s="143"/>
      <c r="I14" s="144">
        <f>SUM(Д402[[#This Row],[Комната 1]:[Комната 3]])</f>
        <v>14.57</v>
      </c>
      <c r="J14" s="145">
        <v>16.93</v>
      </c>
      <c r="K14" s="145">
        <v>4.46</v>
      </c>
      <c r="L14" s="145"/>
      <c r="M14" s="145">
        <v>7.75</v>
      </c>
      <c r="N14" s="145"/>
      <c r="O14" s="145">
        <v>3.1</v>
      </c>
      <c r="P14" s="145"/>
      <c r="Q14" s="146"/>
      <c r="R14" s="146">
        <f>SUM(Д402[[#This Row],[Лоджия 1]:[Лоджия 3]])</f>
        <v>3.1</v>
      </c>
      <c r="S14" s="149">
        <f>ROUND(SUM(Д402[[#This Row],[Площадь по проекту жилая]:[Лоджия 3]]),2)</f>
        <v>46.81</v>
      </c>
      <c r="T14" s="149">
        <f>ROUND(Д402[[#This Row],[Площадь по проекту(общая)]]-Д402[[#This Row],[Летние]],2)</f>
        <v>43.71</v>
      </c>
      <c r="U14" s="149">
        <f>ROUND(Д402[[#This Row],[Площадь по проекту(общая)]]-(SUM(Д402[[#This Row],[Лоджия 1]:[Лоджия 3]])/2),2)</f>
        <v>45.26</v>
      </c>
      <c r="V14" s="149">
        <f>VLOOKUP(Д402[[#This Row],[№]],наценка7[],COLUMN(наценка7[[#This Row],[Цена м2 с учетом всех K]]),0)</f>
        <v>121645.2</v>
      </c>
      <c r="W14" s="159"/>
      <c r="X14" s="149">
        <f>Д402[[#This Row],[м2 после К]]+Д402[[#This Row],[02.12.2024]]</f>
        <v>121645.2</v>
      </c>
      <c r="Y14" s="149">
        <v>1000</v>
      </c>
      <c r="Z14" s="149">
        <f>Д402[[#This Row],[Фикс 20.12.24]]+Д402[[#This Row],[23.12.24 СП +1000]]</f>
        <v>122645.2</v>
      </c>
      <c r="AA14" s="149">
        <v>215</v>
      </c>
      <c r="AB14" s="149">
        <f>Д402[[#This Row],[Фикс 23.12.24]]+Д402[[#This Row],[Повышение 20.02.25]]</f>
        <v>122860.2</v>
      </c>
      <c r="AC14" s="149">
        <v>17.5</v>
      </c>
      <c r="AD14" s="149">
        <f>Д402[[#This Row],[Фикс 20.02.25]]+Д402[[#This Row],[Повышение 24.02.2025]]</f>
        <v>122877.7</v>
      </c>
      <c r="AE14" s="149">
        <f>Д402[[#This Row],[Фикс 24.02.25]]*0.5%</f>
        <v>614.38850000000002</v>
      </c>
      <c r="AF14" s="149">
        <f>Д402[[#This Row],[Фикс 24.02.25]]+Д402[[#This Row],[Повышение 05.03.2025
1К: до 40м - 1,5%, 40+ 0,5%
2К - 0,5% ]]</f>
        <v>123492.0885</v>
      </c>
      <c r="AG14" s="149">
        <f>Д402[[#This Row],[Фикс 05.03.25]]*1%</f>
        <v>1234.920885</v>
      </c>
      <c r="AH14" s="149">
        <f>Д402[[#This Row],[Фикс 05.03.25]]+Д402[[#This Row],[повышение 14.03.25 1К-1%]]</f>
        <v>124727.009385</v>
      </c>
      <c r="AI14" s="149">
        <f>Д402[[#This Row],[Фикс 14.03.25]]*1%</f>
        <v>1247.27009385</v>
      </c>
      <c r="AJ14" s="149">
        <f>Д402[[#This Row],[Фикс 14.03.25]]+Д402[[#This Row],[повышение 28.03.25 1К-1%]]</f>
        <v>125974.27947885</v>
      </c>
      <c r="AK14" s="149">
        <f>Д402[[#This Row],[Фикс 28.03.25]]*2%</f>
        <v>2519.4855895770002</v>
      </c>
      <c r="AL14" s="149">
        <f>Д402[[#This Row],[Фикс 28.03.25]]+Д402[[#This Row],[Повышение 23.07.25
1К 43-46м2 - 2%
2К 55-58 - 2%; 58-64 - 3%
3К 76-79 - 2%
]]</f>
        <v>128493.765068427</v>
      </c>
      <c r="AM14" s="149">
        <f>ROUND(Д402[[#This Row],[Фикс 23.07.25]],2)</f>
        <v>128493.77</v>
      </c>
      <c r="AN14" s="149">
        <f>ROUNDUP(Д402[[#This Row],[утв цена м2]]*Д402[[#This Row],[Расчетная проектная площадь]],-2)</f>
        <v>5815700</v>
      </c>
      <c r="AO14" s="151"/>
      <c r="AP14" s="152"/>
      <c r="AQ14" s="151">
        <f>Д402[[#This Row],[Стоимость до скидки]]*Д402[[#This Row],[Скидка %]]+Д402[[#This Row],[Скидка фиксированная]]</f>
        <v>0</v>
      </c>
      <c r="AR14" s="3">
        <f>Д402[[#This Row],[Стоимость ОН без отделки со скидкой]]/Д402[[#This Row],[Расчетная проектная площадь]]</f>
        <v>128495.36014140522</v>
      </c>
      <c r="AS14" s="3">
        <f>Д402[[#This Row],[Стоимость до скидки]]-Д402[[#This Row],[Итоговая сумма скидки]]</f>
        <v>5815700</v>
      </c>
      <c r="AT1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" s="153"/>
      <c r="AV14" s="153"/>
      <c r="AW14" s="3">
        <f>Д402[[#This Row],[Цена м2 без отделки со скидкой]]+Д402[[#This Row],[Стоимость отделки]]</f>
        <v>128495.36014140522</v>
      </c>
      <c r="AX14" s="3">
        <f>Д402[[#This Row],[Стоимость квартиры с отделкой]]-Д402[[#This Row],[Стоимость ОН без отделки со скидкой]]</f>
        <v>0</v>
      </c>
      <c r="AY14" s="3">
        <f>Д402[[#This Row],[Цена м2 с отделкой]]*Д402[[#This Row],[Расчетная проектная площадь]]</f>
        <v>5815700</v>
      </c>
      <c r="AZ14" s="161"/>
      <c r="BA14" s="155" t="s">
        <v>12</v>
      </c>
      <c r="BB14" s="156" t="str" cm="1">
        <f t="array" ref="BB1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" s="161" t="s">
        <v>738</v>
      </c>
      <c r="BD14" s="161" t="s">
        <v>739</v>
      </c>
      <c r="BE14" s="161" t="s">
        <v>737</v>
      </c>
      <c r="BF14" s="161" t="s">
        <v>745</v>
      </c>
      <c r="BG14" s="161" t="b">
        <f>EXACT(Д402[[#This Row],[Статусы CRM]],Д402[[#This Row],[Статус]])</f>
        <v>1</v>
      </c>
      <c r="BH14" s="3">
        <f>IF(Д402[[#This Row],[ПС]]=0,IF(Д402[[#This Row],[ДС]]=0,Д402[[#This Row],[ТС]],Д402[[#This Row],[ДС]]),Д402[[#This Row],[ПС]])</f>
        <v>5815700</v>
      </c>
      <c r="BI14" s="3">
        <v>5815700</v>
      </c>
      <c r="BJ14" s="3">
        <v>0</v>
      </c>
      <c r="BK14" s="3">
        <v>0</v>
      </c>
      <c r="BL14" s="273">
        <f>Д402[[#This Row],[Стоимость CRM]]-Д402[[#This Row],[Стоимость до скидки]]</f>
        <v>0</v>
      </c>
      <c r="BM14" s="161" t="s">
        <v>9</v>
      </c>
      <c r="BN14" s="161" t="b">
        <f>Д402[[#This Row],[Отделка CRM]]=Д402[[#This Row],[Отделка]]</f>
        <v>1</v>
      </c>
      <c r="BO14" s="275" t="s">
        <v>146</v>
      </c>
      <c r="BP14" s="69"/>
    </row>
    <row r="15" spans="1:68" ht="12" customHeight="1" x14ac:dyDescent="0.25">
      <c r="A15" s="140">
        <v>13</v>
      </c>
      <c r="B15" s="15">
        <v>1</v>
      </c>
      <c r="C15" s="141">
        <f t="shared" si="0"/>
        <v>4</v>
      </c>
      <c r="D15" s="142">
        <v>1</v>
      </c>
      <c r="E15" s="141">
        <v>0</v>
      </c>
      <c r="F15" s="143">
        <v>14.66</v>
      </c>
      <c r="G15" s="143"/>
      <c r="H15" s="143"/>
      <c r="I15" s="144">
        <f>SUM(Д402[[#This Row],[Комната 1]:[Комната 3]])</f>
        <v>14.66</v>
      </c>
      <c r="J15" s="145">
        <v>6.15</v>
      </c>
      <c r="K15" s="145">
        <v>5.0199999999999996</v>
      </c>
      <c r="L15" s="145"/>
      <c r="M15" s="145">
        <v>3.86</v>
      </c>
      <c r="N15" s="145"/>
      <c r="O15" s="145"/>
      <c r="P15" s="145"/>
      <c r="Q15" s="146"/>
      <c r="R15" s="146">
        <f>SUM(Д402[[#This Row],[Лоджия 1]:[Лоджия 3]])</f>
        <v>0</v>
      </c>
      <c r="S15" s="10">
        <f>ROUND(SUM(Д402[[#This Row],[Площадь по проекту жилая]:[Лоджия 3]]),2)</f>
        <v>29.69</v>
      </c>
      <c r="T15" s="10">
        <f>ROUND(Д402[[#This Row],[Площадь по проекту(общая)]]-Д402[[#This Row],[Летние]],2)</f>
        <v>29.69</v>
      </c>
      <c r="U15" s="10">
        <f>ROUND(Д402[[#This Row],[Площадь по проекту(общая)]]-(SUM(Д402[[#This Row],[Лоджия 1]:[Лоджия 3]])/2),2)</f>
        <v>29.69</v>
      </c>
      <c r="V15" s="10">
        <f>VLOOKUP(Д402[[#This Row],[№]],наценка7[],COLUMN(наценка7[[#This Row],[Цена м2 с учетом всех K]]),0)</f>
        <v>139730</v>
      </c>
      <c r="W15" s="159">
        <v>200</v>
      </c>
      <c r="X15" s="10">
        <f>Д402[[#This Row],[м2 после К]]+Д402[[#This Row],[02.12.2024]]</f>
        <v>139930</v>
      </c>
      <c r="Y15" s="149">
        <v>1000</v>
      </c>
      <c r="Z15" s="10">
        <f>Д402[[#This Row],[Фикс 20.12.24]]+Д402[[#This Row],[23.12.24 СП +1000]]</f>
        <v>140930</v>
      </c>
      <c r="AA15" s="149">
        <v>215</v>
      </c>
      <c r="AB15" s="10">
        <f>Д402[[#This Row],[Фикс 23.12.24]]+Д402[[#This Row],[Повышение 20.02.25]]</f>
        <v>141145</v>
      </c>
      <c r="AC15" s="149">
        <v>17.5</v>
      </c>
      <c r="AD15" s="10">
        <f>Д402[[#This Row],[Фикс 20.02.25]]+Д402[[#This Row],[Повышение 24.02.2025]]</f>
        <v>141162.5</v>
      </c>
      <c r="AE15" s="10"/>
      <c r="AF15" s="10">
        <f>Д402[[#This Row],[Фикс 24.02.25]]+Д402[[#This Row],[Повышение 05.03.2025
1К: до 40м - 1,5%, 40+ 0,5%
2К - 0,5% ]]</f>
        <v>141162.5</v>
      </c>
      <c r="AG15" s="10"/>
      <c r="AH15" s="10">
        <f>Д402[[#This Row],[Фикс 05.03.25]]+Д402[[#This Row],[повышение 14.03.25 1К-1%]]</f>
        <v>141162.5</v>
      </c>
      <c r="AI15" s="10"/>
      <c r="AJ15" s="10">
        <f>Д402[[#This Row],[Фикс 14.03.25]]+Д402[[#This Row],[повышение 28.03.25 1К-1%]]</f>
        <v>141162.5</v>
      </c>
      <c r="AK15" s="10"/>
      <c r="AL15" s="10">
        <f>Д402[[#This Row],[Фикс 28.03.25]]+Д402[[#This Row],[Повышение 23.07.25
1К 43-46м2 - 2%
2К 55-58 - 2%; 58-64 - 3%
3К 76-79 - 2%
]]</f>
        <v>141162.5</v>
      </c>
      <c r="AM15" s="10">
        <f>ROUND(Д402[[#This Row],[Фикс 23.07.25]],2)</f>
        <v>141162.5</v>
      </c>
      <c r="AN15" s="10">
        <f>ROUNDUP(Д402[[#This Row],[утв цена м2]]*Д402[[#This Row],[Расчетная проектная площадь]],-2)</f>
        <v>4191200</v>
      </c>
      <c r="AO15" s="151"/>
      <c r="AP15" s="152"/>
      <c r="AQ15" s="151">
        <f>Д402[[#This Row],[Стоимость до скидки]]*Д402[[#This Row],[Скидка %]]+Д402[[#This Row],[Скидка фиксированная]]</f>
        <v>0</v>
      </c>
      <c r="AR15" s="3">
        <f>Д402[[#This Row],[Стоимость ОН без отделки со скидкой]]/Д402[[#This Row],[Расчетная проектная площадь]]</f>
        <v>141165.37554732233</v>
      </c>
      <c r="AS15" s="3">
        <f>Д402[[#This Row],[Стоимость до скидки]]-Д402[[#This Row],[Итоговая сумма скидки]]</f>
        <v>4191200</v>
      </c>
      <c r="AT1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" s="153"/>
      <c r="AV15" s="153"/>
      <c r="AW15" s="3">
        <f>Д402[[#This Row],[Цена м2 без отделки со скидкой]]+Д402[[#This Row],[Стоимость отделки]]</f>
        <v>141165.37554732233</v>
      </c>
      <c r="AX15" s="3">
        <f>Д402[[#This Row],[Стоимость квартиры с отделкой]]-Д402[[#This Row],[Стоимость ОН без отделки со скидкой]]</f>
        <v>0</v>
      </c>
      <c r="AY15" s="3">
        <f>Д402[[#This Row],[Цена м2 с отделкой]]*Д402[[#This Row],[Расчетная проектная площадь]]</f>
        <v>4191200</v>
      </c>
      <c r="AZ15" s="161"/>
      <c r="BA15" s="269" t="s">
        <v>12</v>
      </c>
      <c r="BB15" s="269" t="str" cm="1">
        <f t="array" ref="BB1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" s="161" t="s">
        <v>738</v>
      </c>
      <c r="BD15" s="161" t="s">
        <v>739</v>
      </c>
      <c r="BE15" s="161" t="s">
        <v>737</v>
      </c>
      <c r="BF15" s="161" t="s">
        <v>743</v>
      </c>
      <c r="BG15" s="161" t="b">
        <f>EXACT(Д402[[#This Row],[Статусы CRM]],Д402[[#This Row],[Статус]])</f>
        <v>1</v>
      </c>
      <c r="BH15" s="3">
        <f>IF(Д402[[#This Row],[ПС]]=0,IF(Д402[[#This Row],[ДС]]=0,Д402[[#This Row],[ТС]],Д402[[#This Row],[ДС]]),Д402[[#This Row],[ПС]])</f>
        <v>4191200</v>
      </c>
      <c r="BI15" s="3">
        <v>4191200</v>
      </c>
      <c r="BJ15" s="3">
        <v>0</v>
      </c>
      <c r="BK15" s="3">
        <v>0</v>
      </c>
      <c r="BL15" s="273">
        <f>Д402[[#This Row],[Стоимость CRM]]-Д402[[#This Row],[Стоимость до скидки]]</f>
        <v>0</v>
      </c>
      <c r="BM15" s="161" t="s">
        <v>9</v>
      </c>
      <c r="BN15" s="161" t="b">
        <f>Д402[[#This Row],[Отделка CRM]]=Д402[[#This Row],[Отделка]]</f>
        <v>1</v>
      </c>
      <c r="BO15" s="275" t="s">
        <v>147</v>
      </c>
      <c r="BP15" s="69"/>
    </row>
    <row r="16" spans="1:68" ht="12" customHeight="1" x14ac:dyDescent="0.25">
      <c r="A16" s="140">
        <v>14</v>
      </c>
      <c r="B16" s="15">
        <v>1</v>
      </c>
      <c r="C16" s="141">
        <f t="shared" si="0"/>
        <v>4</v>
      </c>
      <c r="D16" s="142">
        <v>2</v>
      </c>
      <c r="E16" s="141">
        <v>2</v>
      </c>
      <c r="F16" s="143">
        <v>16.100000000000001</v>
      </c>
      <c r="G16" s="143">
        <v>10.8</v>
      </c>
      <c r="H16" s="143"/>
      <c r="I16" s="144">
        <f>SUM(Д402[[#This Row],[Комната 1]:[Комната 3]])</f>
        <v>26.900000000000002</v>
      </c>
      <c r="J16" s="145">
        <v>17.7</v>
      </c>
      <c r="K16" s="145">
        <v>4.25</v>
      </c>
      <c r="L16" s="145"/>
      <c r="M16" s="145">
        <v>9.68</v>
      </c>
      <c r="N16" s="145"/>
      <c r="O16" s="145">
        <v>3.15</v>
      </c>
      <c r="P16" s="145"/>
      <c r="Q16" s="146"/>
      <c r="R16" s="146">
        <f>SUM(Д402[[#This Row],[Лоджия 1]:[Лоджия 3]])</f>
        <v>3.15</v>
      </c>
      <c r="S16" s="10">
        <f>ROUND(SUM(Д402[[#This Row],[Площадь по проекту жилая]:[Лоджия 3]]),2)</f>
        <v>61.68</v>
      </c>
      <c r="T16" s="10">
        <f>ROUND(Д402[[#This Row],[Площадь по проекту(общая)]]-Д402[[#This Row],[Летние]],2)</f>
        <v>58.53</v>
      </c>
      <c r="U16" s="10">
        <f>ROUND(Д402[[#This Row],[Площадь по проекту(общая)]]-(SUM(Д402[[#This Row],[Лоджия 1]:[Лоджия 3]])/2),2)</f>
        <v>60.11</v>
      </c>
      <c r="V16" s="10">
        <f>VLOOKUP(Д402[[#This Row],[№]],наценка7[],COLUMN(наценка7[[#This Row],[Цена м2 с учетом всех K]]),0)</f>
        <v>119811.8</v>
      </c>
      <c r="W16" s="162"/>
      <c r="X16" s="10">
        <f>Д402[[#This Row],[м2 после К]]+Д402[[#This Row],[02.12.2024]]</f>
        <v>119811.8</v>
      </c>
      <c r="Y16" s="149">
        <v>1000</v>
      </c>
      <c r="Z16" s="10">
        <f>Д402[[#This Row],[Фикс 20.12.24]]+Д402[[#This Row],[23.12.24 СП +1000]]</f>
        <v>120811.8</v>
      </c>
      <c r="AA16" s="149">
        <v>215</v>
      </c>
      <c r="AB16" s="10">
        <f>Д402[[#This Row],[Фикс 23.12.24]]+Д402[[#This Row],[Повышение 20.02.25]]</f>
        <v>121026.8</v>
      </c>
      <c r="AC16" s="149">
        <v>17.5</v>
      </c>
      <c r="AD16" s="10">
        <f>Д402[[#This Row],[Фикс 20.02.25]]+Д402[[#This Row],[Повышение 24.02.2025]]</f>
        <v>121044.3</v>
      </c>
      <c r="AE16" s="149">
        <f>Д402[[#This Row],[Фикс 24.02.25]]*0.5%</f>
        <v>605.22149999999999</v>
      </c>
      <c r="AF16" s="10">
        <f>Д402[[#This Row],[Фикс 24.02.25]]+Д402[[#This Row],[Повышение 05.03.2025
1К: до 40м - 1,5%, 40+ 0,5%
2К - 0,5% ]]</f>
        <v>121649.5215</v>
      </c>
      <c r="AG16" s="10"/>
      <c r="AH16" s="10">
        <f>Д402[[#This Row],[Фикс 05.03.25]]+Д402[[#This Row],[повышение 14.03.25 1К-1%]]</f>
        <v>121649.5215</v>
      </c>
      <c r="AI16" s="10"/>
      <c r="AJ16" s="10">
        <f>Д402[[#This Row],[Фикс 14.03.25]]+Д402[[#This Row],[повышение 28.03.25 1К-1%]]</f>
        <v>121649.5215</v>
      </c>
      <c r="AK16" s="10">
        <f>Д402[[#This Row],[Фикс 28.03.25]]*3%</f>
        <v>3649.4856449999997</v>
      </c>
      <c r="AL16" s="10">
        <f>Д402[[#This Row],[Фикс 28.03.25]]+Д402[[#This Row],[Повышение 23.07.25
1К 43-46м2 - 2%
2К 55-58 - 2%; 58-64 - 3%
3К 76-79 - 2%
]]</f>
        <v>125299.007145</v>
      </c>
      <c r="AM16" s="10">
        <f>ROUND(Д402[[#This Row],[Фикс 23.07.25]],2)</f>
        <v>125299.01</v>
      </c>
      <c r="AN16" s="10">
        <f>ROUNDUP(Д402[[#This Row],[утв цена м2]]*Д402[[#This Row],[Расчетная проектная площадь]],-2)</f>
        <v>7531800</v>
      </c>
      <c r="AO16" s="160"/>
      <c r="AP16" s="152"/>
      <c r="AQ16" s="151">
        <f>Д402[[#This Row],[Стоимость до скидки]]*Д402[[#This Row],[Скидка %]]+Д402[[#This Row],[Скидка фиксированная]]</f>
        <v>0</v>
      </c>
      <c r="AR16" s="3">
        <f>Д402[[#This Row],[Стоимость ОН без отделки со скидкой]]/Д402[[#This Row],[Расчетная проектная площадь]]</f>
        <v>125300.28281483946</v>
      </c>
      <c r="AS16" s="3">
        <f>Д402[[#This Row],[Стоимость до скидки]]-Д402[[#This Row],[Итоговая сумма скидки]]</f>
        <v>7531800</v>
      </c>
      <c r="AT1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" s="153"/>
      <c r="AV16" s="153"/>
      <c r="AW16" s="3">
        <f>Д402[[#This Row],[Цена м2 без отделки со скидкой]]+Д402[[#This Row],[Стоимость отделки]]</f>
        <v>125300.28281483946</v>
      </c>
      <c r="AX16" s="3">
        <f>Д402[[#This Row],[Стоимость квартиры с отделкой]]-Д402[[#This Row],[Стоимость ОН без отделки со скидкой]]</f>
        <v>0</v>
      </c>
      <c r="AY16" s="3">
        <f>Д402[[#This Row],[Цена м2 с отделкой]]*Д402[[#This Row],[Расчетная проектная площадь]]</f>
        <v>7531800</v>
      </c>
      <c r="AZ16" s="161"/>
      <c r="BA16" s="155" t="s">
        <v>12</v>
      </c>
      <c r="BB16" s="156" t="str" cm="1">
        <f t="array" ref="BB1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" s="161" t="s">
        <v>738</v>
      </c>
      <c r="BD16" s="161" t="s">
        <v>739</v>
      </c>
      <c r="BE16" s="161" t="s">
        <v>737</v>
      </c>
      <c r="BF16" s="161" t="s">
        <v>744</v>
      </c>
      <c r="BG16" s="161" t="b">
        <f>EXACT(Д402[[#This Row],[Статусы CRM]],Д402[[#This Row],[Статус]])</f>
        <v>1</v>
      </c>
      <c r="BH16" s="3">
        <f>IF(Д402[[#This Row],[ПС]]=0,IF(Д402[[#This Row],[ДС]]=0,Д402[[#This Row],[ТС]],Д402[[#This Row],[ДС]]),Д402[[#This Row],[ПС]])</f>
        <v>7531800</v>
      </c>
      <c r="BI16" s="3">
        <v>7531800</v>
      </c>
      <c r="BJ16" s="3">
        <v>0</v>
      </c>
      <c r="BK16" s="3">
        <v>0</v>
      </c>
      <c r="BL16" s="273">
        <f>Д402[[#This Row],[Стоимость CRM]]-Д402[[#This Row],[Стоимость до скидки]]</f>
        <v>0</v>
      </c>
      <c r="BM16" s="161" t="s">
        <v>9</v>
      </c>
      <c r="BN16" s="161" t="b">
        <f>Д402[[#This Row],[Отделка CRM]]=Д402[[#This Row],[Отделка]]</f>
        <v>1</v>
      </c>
      <c r="BO16" s="275" t="s">
        <v>148</v>
      </c>
      <c r="BP16" s="69"/>
    </row>
    <row r="17" spans="1:68" ht="12" customHeight="1" x14ac:dyDescent="0.25">
      <c r="A17" s="140">
        <v>15</v>
      </c>
      <c r="B17" s="15">
        <v>1</v>
      </c>
      <c r="C17" s="141">
        <f t="shared" si="0"/>
        <v>4</v>
      </c>
      <c r="D17" s="142">
        <v>3</v>
      </c>
      <c r="E17" s="141">
        <v>2</v>
      </c>
      <c r="F17" s="143">
        <v>16.41</v>
      </c>
      <c r="G17" s="143">
        <v>12.19</v>
      </c>
      <c r="H17" s="143"/>
      <c r="I17" s="144">
        <f>SUM(Д402[[#This Row],[Комната 1]:[Комната 3]])</f>
        <v>28.6</v>
      </c>
      <c r="J17" s="145">
        <v>14.62</v>
      </c>
      <c r="K17" s="145">
        <v>3.86</v>
      </c>
      <c r="L17" s="145"/>
      <c r="M17" s="145">
        <v>6.1</v>
      </c>
      <c r="N17" s="145"/>
      <c r="O17" s="145">
        <v>3.33</v>
      </c>
      <c r="P17" s="145"/>
      <c r="Q17" s="146"/>
      <c r="R17" s="146">
        <f>SUM(Д402[[#This Row],[Лоджия 1]:[Лоджия 3]])</f>
        <v>3.33</v>
      </c>
      <c r="S17" s="10">
        <f>ROUND(SUM(Д402[[#This Row],[Площадь по проекту жилая]:[Лоджия 3]]),2)</f>
        <v>56.51</v>
      </c>
      <c r="T17" s="10">
        <f>ROUND(Д402[[#This Row],[Площадь по проекту(общая)]]-Д402[[#This Row],[Летние]],2)</f>
        <v>53.18</v>
      </c>
      <c r="U17" s="10">
        <f>ROUND(Д402[[#This Row],[Площадь по проекту(общая)]]-(SUM(Д402[[#This Row],[Лоджия 1]:[Лоджия 3]])/2),2)</f>
        <v>54.85</v>
      </c>
      <c r="V17" s="10">
        <f>VLOOKUP(Д402[[#This Row],[№]],наценка7[],COLUMN(наценка7[[#This Row],[Цена м2 с учетом всех K]]),0)</f>
        <v>118681.5</v>
      </c>
      <c r="W17" s="162"/>
      <c r="X17" s="10">
        <f>Д402[[#This Row],[м2 после К]]+Д402[[#This Row],[02.12.2024]]</f>
        <v>118681.5</v>
      </c>
      <c r="Y17" s="149">
        <v>1000</v>
      </c>
      <c r="Z17" s="10">
        <f>Д402[[#This Row],[Фикс 20.12.24]]+Д402[[#This Row],[23.12.24 СП +1000]]</f>
        <v>119681.5</v>
      </c>
      <c r="AA17" s="149">
        <v>215</v>
      </c>
      <c r="AB17" s="10">
        <f>Д402[[#This Row],[Фикс 23.12.24]]+Д402[[#This Row],[Повышение 20.02.25]]</f>
        <v>119896.5</v>
      </c>
      <c r="AC17" s="149">
        <v>17.5</v>
      </c>
      <c r="AD17" s="10">
        <f>Д402[[#This Row],[Фикс 20.02.25]]+Д402[[#This Row],[Повышение 24.02.2025]]</f>
        <v>119914</v>
      </c>
      <c r="AE17" s="149">
        <f>Д402[[#This Row],[Фикс 24.02.25]]*0.5%</f>
        <v>599.57000000000005</v>
      </c>
      <c r="AF17" s="10">
        <f>Д402[[#This Row],[Фикс 24.02.25]]+Д402[[#This Row],[Повышение 05.03.2025
1К: до 40м - 1,5%, 40+ 0,5%
2К - 0,5% ]]</f>
        <v>120513.57</v>
      </c>
      <c r="AG17" s="10"/>
      <c r="AH17" s="10">
        <f>Д402[[#This Row],[Фикс 05.03.25]]+Д402[[#This Row],[повышение 14.03.25 1К-1%]]</f>
        <v>120513.57</v>
      </c>
      <c r="AI17" s="10"/>
      <c r="AJ17" s="10">
        <f>Д402[[#This Row],[Фикс 14.03.25]]+Д402[[#This Row],[повышение 28.03.25 1К-1%]]</f>
        <v>120513.57</v>
      </c>
      <c r="AK17" s="10"/>
      <c r="AL17" s="10">
        <f>Д402[[#This Row],[Фикс 28.03.25]]+Д402[[#This Row],[Повышение 23.07.25
1К 43-46м2 - 2%
2К 55-58 - 2%; 58-64 - 3%
3К 76-79 - 2%
]]</f>
        <v>120513.57</v>
      </c>
      <c r="AM17" s="10">
        <f>ROUND(Д402[[#This Row],[Фикс 23.07.25]],2)</f>
        <v>120513.57</v>
      </c>
      <c r="AN17" s="10">
        <f>ROUNDUP(Д402[[#This Row],[утв цена м2]]*Д402[[#This Row],[Расчетная проектная площадь]],-2)</f>
        <v>6610200</v>
      </c>
      <c r="AO17" s="151"/>
      <c r="AP17" s="152"/>
      <c r="AQ17" s="151">
        <f>Д402[[#This Row],[Стоимость до скидки]]*Д402[[#This Row],[Скидка %]]+Д402[[#This Row],[Скидка фиксированная]]</f>
        <v>0</v>
      </c>
      <c r="AR17" s="3">
        <f>Д402[[#This Row],[Стоимость ОН без отделки со скидкой]]/Д402[[#This Row],[Расчетная проектная площадь]]</f>
        <v>120514.12944393801</v>
      </c>
      <c r="AS17" s="3">
        <f>Д402[[#This Row],[Стоимость до скидки]]-Д402[[#This Row],[Итоговая сумма скидки]]</f>
        <v>6610200</v>
      </c>
      <c r="AT1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" s="153"/>
      <c r="AV17" s="153"/>
      <c r="AW17" s="3">
        <f>Д402[[#This Row],[Цена м2 без отделки со скидкой]]+Д402[[#This Row],[Стоимость отделки]]</f>
        <v>120514.12944393801</v>
      </c>
      <c r="AX17" s="3">
        <f>Д402[[#This Row],[Стоимость квартиры с отделкой]]-Д402[[#This Row],[Стоимость ОН без отделки со скидкой]]</f>
        <v>0</v>
      </c>
      <c r="AY17" s="3">
        <f>Д402[[#This Row],[Цена м2 с отделкой]]*Д402[[#This Row],[Расчетная проектная площадь]]</f>
        <v>6610200</v>
      </c>
      <c r="AZ17" s="161"/>
      <c r="BA17" s="155" t="s">
        <v>12</v>
      </c>
      <c r="BB17" s="156" t="str" cm="1">
        <f t="array" ref="BB1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" s="161" t="s">
        <v>738</v>
      </c>
      <c r="BD17" s="161" t="s">
        <v>739</v>
      </c>
      <c r="BE17" s="161" t="s">
        <v>737</v>
      </c>
      <c r="BF17" s="161" t="s">
        <v>744</v>
      </c>
      <c r="BG17" s="161" t="b">
        <f>EXACT(Д402[[#This Row],[Статусы CRM]],Д402[[#This Row],[Статус]])</f>
        <v>1</v>
      </c>
      <c r="BH17" s="3">
        <f>IF(Д402[[#This Row],[ПС]]=0,IF(Д402[[#This Row],[ДС]]=0,Д402[[#This Row],[ТС]],Д402[[#This Row],[ДС]]),Д402[[#This Row],[ПС]])</f>
        <v>6610200</v>
      </c>
      <c r="BI17" s="3">
        <v>6610200</v>
      </c>
      <c r="BJ17" s="3">
        <v>0</v>
      </c>
      <c r="BK17" s="3">
        <v>0</v>
      </c>
      <c r="BL17" s="273">
        <f>Д402[[#This Row],[Стоимость CRM]]-Д402[[#This Row],[Стоимость до скидки]]</f>
        <v>0</v>
      </c>
      <c r="BM17" s="161" t="s">
        <v>9</v>
      </c>
      <c r="BN17" s="161" t="b">
        <f>Д402[[#This Row],[Отделка CRM]]=Д402[[#This Row],[Отделка]]</f>
        <v>1</v>
      </c>
      <c r="BO17" s="275" t="s">
        <v>149</v>
      </c>
      <c r="BP17" s="69"/>
    </row>
    <row r="18" spans="1:68" ht="12" customHeight="1" x14ac:dyDescent="0.25">
      <c r="A18" s="140">
        <v>16</v>
      </c>
      <c r="B18" s="15">
        <v>1</v>
      </c>
      <c r="C18" s="141">
        <f t="shared" si="0"/>
        <v>4</v>
      </c>
      <c r="D18" s="142">
        <v>4</v>
      </c>
      <c r="E18" s="141">
        <v>2</v>
      </c>
      <c r="F18" s="143">
        <v>14.98</v>
      </c>
      <c r="G18" s="143">
        <v>12.28</v>
      </c>
      <c r="H18" s="143"/>
      <c r="I18" s="144">
        <f>SUM(Д402[[#This Row],[Комната 1]:[Комната 3]])</f>
        <v>27.259999999999998</v>
      </c>
      <c r="J18" s="145">
        <v>15.16</v>
      </c>
      <c r="K18" s="145">
        <v>4.4400000000000004</v>
      </c>
      <c r="L18" s="145"/>
      <c r="M18" s="145">
        <v>6.25</v>
      </c>
      <c r="N18" s="145"/>
      <c r="O18" s="145">
        <v>3.33</v>
      </c>
      <c r="P18" s="145"/>
      <c r="Q18" s="146"/>
      <c r="R18" s="146">
        <f>SUM(Д402[[#This Row],[Лоджия 1]:[Лоджия 3]])</f>
        <v>3.33</v>
      </c>
      <c r="S18" s="10">
        <f>ROUND(SUM(Д402[[#This Row],[Площадь по проекту жилая]:[Лоджия 3]]),2)</f>
        <v>56.44</v>
      </c>
      <c r="T18" s="10">
        <f>ROUND(Д402[[#This Row],[Площадь по проекту(общая)]]-Д402[[#This Row],[Летние]],2)</f>
        <v>53.11</v>
      </c>
      <c r="U18" s="10">
        <f>ROUND(Д402[[#This Row],[Площадь по проекту(общая)]]-(SUM(Д402[[#This Row],[Лоджия 1]:[Лоджия 3]])/2),2)</f>
        <v>54.78</v>
      </c>
      <c r="V18" s="10">
        <f>VLOOKUP(Д402[[#This Row],[№]],наценка7[],COLUMN(наценка7[[#This Row],[Цена м2 с учетом всех K]]),0)</f>
        <v>120942.1</v>
      </c>
      <c r="W18" s="162"/>
      <c r="X18" s="10">
        <f>Д402[[#This Row],[м2 после К]]+Д402[[#This Row],[02.12.2024]]</f>
        <v>120942.1</v>
      </c>
      <c r="Y18" s="149">
        <v>1000</v>
      </c>
      <c r="Z18" s="10">
        <f>Д402[[#This Row],[Фикс 20.12.24]]+Д402[[#This Row],[23.12.24 СП +1000]]</f>
        <v>121942.1</v>
      </c>
      <c r="AA18" s="149">
        <v>215</v>
      </c>
      <c r="AB18" s="10">
        <f>Д402[[#This Row],[Фикс 23.12.24]]+Д402[[#This Row],[Повышение 20.02.25]]</f>
        <v>122157.1</v>
      </c>
      <c r="AC18" s="149">
        <v>17.5</v>
      </c>
      <c r="AD18" s="10">
        <f>Д402[[#This Row],[Фикс 20.02.25]]+Д402[[#This Row],[Повышение 24.02.2025]]</f>
        <v>122174.6</v>
      </c>
      <c r="AE18" s="149">
        <f>Д402[[#This Row],[Фикс 24.02.25]]*0.5%</f>
        <v>610.87300000000005</v>
      </c>
      <c r="AF18" s="10">
        <f>Д402[[#This Row],[Фикс 24.02.25]]+Д402[[#This Row],[Повышение 05.03.2025
1К: до 40м - 1,5%, 40+ 0,5%
2К - 0,5% ]]</f>
        <v>122785.47300000001</v>
      </c>
      <c r="AG18" s="10"/>
      <c r="AH18" s="10">
        <f>Д402[[#This Row],[Фикс 05.03.25]]+Д402[[#This Row],[повышение 14.03.25 1К-1%]]</f>
        <v>122785.47300000001</v>
      </c>
      <c r="AI18" s="10"/>
      <c r="AJ18" s="10">
        <f>Д402[[#This Row],[Фикс 14.03.25]]+Д402[[#This Row],[повышение 28.03.25 1К-1%]]</f>
        <v>122785.47300000001</v>
      </c>
      <c r="AK18" s="10"/>
      <c r="AL18" s="10">
        <f>Д402[[#This Row],[Фикс 28.03.25]]+Д402[[#This Row],[Повышение 23.07.25
1К 43-46м2 - 2%
2К 55-58 - 2%; 58-64 - 3%
3К 76-79 - 2%
]]</f>
        <v>122785.47300000001</v>
      </c>
      <c r="AM18" s="10">
        <f>ROUND(Д402[[#This Row],[Фикс 23.07.25]],2)</f>
        <v>122785.47</v>
      </c>
      <c r="AN18" s="10">
        <f>ROUNDUP(Д402[[#This Row],[утв цена м2]]*Д402[[#This Row],[Расчетная проектная площадь]],-2)</f>
        <v>6726200</v>
      </c>
      <c r="AO18" s="151"/>
      <c r="AP18" s="152"/>
      <c r="AQ18" s="151">
        <f>Д402[[#This Row],[Стоимость до скидки]]*Д402[[#This Row],[Скидка %]]+Д402[[#This Row],[Скидка фиксированная]]</f>
        <v>0</v>
      </c>
      <c r="AR18" s="3">
        <f>Д402[[#This Row],[Стоимость ОН без отделки со скидкой]]/Д402[[#This Row],[Расчетная проектная площадь]]</f>
        <v>122785.68820737496</v>
      </c>
      <c r="AS18" s="3">
        <f>Д402[[#This Row],[Стоимость до скидки]]-Д402[[#This Row],[Итоговая сумма скидки]]</f>
        <v>6726200</v>
      </c>
      <c r="AT1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" s="153"/>
      <c r="AV18" s="153"/>
      <c r="AW18" s="3">
        <f>Д402[[#This Row],[Цена м2 без отделки со скидкой]]+Д402[[#This Row],[Стоимость отделки]]</f>
        <v>122785.68820737496</v>
      </c>
      <c r="AX18" s="3">
        <f>Д402[[#This Row],[Стоимость квартиры с отделкой]]-Д402[[#This Row],[Стоимость ОН без отделки со скидкой]]</f>
        <v>0</v>
      </c>
      <c r="AY18" s="3">
        <f>Д402[[#This Row],[Цена м2 с отделкой]]*Д402[[#This Row],[Расчетная проектная площадь]]</f>
        <v>6726200</v>
      </c>
      <c r="AZ18" s="161"/>
      <c r="BA18" s="155" t="s">
        <v>12</v>
      </c>
      <c r="BB18" s="156" t="str" cm="1">
        <f t="array" ref="BB1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" s="161" t="s">
        <v>738</v>
      </c>
      <c r="BD18" s="161" t="s">
        <v>739</v>
      </c>
      <c r="BE18" s="161" t="s">
        <v>737</v>
      </c>
      <c r="BF18" s="161" t="s">
        <v>744</v>
      </c>
      <c r="BG18" s="161" t="b">
        <f>EXACT(Д402[[#This Row],[Статусы CRM]],Д402[[#This Row],[Статус]])</f>
        <v>1</v>
      </c>
      <c r="BH18" s="3">
        <f>IF(Д402[[#This Row],[ПС]]=0,IF(Д402[[#This Row],[ДС]]=0,Д402[[#This Row],[ТС]],Д402[[#This Row],[ДС]]),Д402[[#This Row],[ПС]])</f>
        <v>6726200</v>
      </c>
      <c r="BI18" s="3">
        <v>6726200</v>
      </c>
      <c r="BJ18" s="3">
        <v>0</v>
      </c>
      <c r="BK18" s="3">
        <v>0</v>
      </c>
      <c r="BL18" s="273">
        <f>Д402[[#This Row],[Стоимость CRM]]-Д402[[#This Row],[Стоимость до скидки]]</f>
        <v>0</v>
      </c>
      <c r="BM18" s="161" t="s">
        <v>9</v>
      </c>
      <c r="BN18" s="161" t="b">
        <f>Д402[[#This Row],[Отделка CRM]]=Д402[[#This Row],[Отделка]]</f>
        <v>1</v>
      </c>
      <c r="BO18" s="275" t="s">
        <v>150</v>
      </c>
      <c r="BP18" s="69"/>
    </row>
    <row r="19" spans="1:68" ht="12" customHeight="1" x14ac:dyDescent="0.25">
      <c r="A19" s="140">
        <v>17</v>
      </c>
      <c r="B19" s="15">
        <v>1</v>
      </c>
      <c r="C19" s="141">
        <f t="shared" si="0"/>
        <v>4</v>
      </c>
      <c r="D19" s="142">
        <v>5</v>
      </c>
      <c r="E19" s="141">
        <v>1</v>
      </c>
      <c r="F19" s="143">
        <v>13.06</v>
      </c>
      <c r="G19" s="143"/>
      <c r="H19" s="143"/>
      <c r="I19" s="144">
        <f>SUM(Д402[[#This Row],[Комната 1]:[Комната 3]])</f>
        <v>13.06</v>
      </c>
      <c r="J19" s="145">
        <v>15.1</v>
      </c>
      <c r="K19" s="145">
        <v>4.4400000000000004</v>
      </c>
      <c r="L19" s="145"/>
      <c r="M19" s="145">
        <v>2.9</v>
      </c>
      <c r="N19" s="145"/>
      <c r="O19" s="145">
        <v>3.02</v>
      </c>
      <c r="P19" s="145"/>
      <c r="Q19" s="146"/>
      <c r="R19" s="146">
        <f>SUM(Д402[[#This Row],[Лоджия 1]:[Лоджия 3]])</f>
        <v>3.02</v>
      </c>
      <c r="S19" s="10">
        <f>ROUND(SUM(Д402[[#This Row],[Площадь по проекту жилая]:[Лоджия 3]]),2)</f>
        <v>38.520000000000003</v>
      </c>
      <c r="T19" s="10">
        <f>ROUND(Д402[[#This Row],[Площадь по проекту(общая)]]-Д402[[#This Row],[Летние]],2)</f>
        <v>35.5</v>
      </c>
      <c r="U19" s="10">
        <f>ROUND(Д402[[#This Row],[Площадь по проекту(общая)]]-(SUM(Д402[[#This Row],[Лоджия 1]:[Лоджия 3]])/2),2)</f>
        <v>37.01</v>
      </c>
      <c r="V19" s="10">
        <f>VLOOKUP(Д402[[#This Row],[№]],наценка7[],COLUMN(наценка7[[#This Row],[Цена м2 с учетом всех K]]),0)</f>
        <v>125223</v>
      </c>
      <c r="W19" s="159">
        <f>2%*Д402[[#This Row],[м2 после К]]</f>
        <v>2504.46</v>
      </c>
      <c r="X19" s="10">
        <f>Д402[[#This Row],[м2 после К]]+Д402[[#This Row],[02.12.2024]]</f>
        <v>127727.46</v>
      </c>
      <c r="Y19" s="149">
        <v>1000</v>
      </c>
      <c r="Z19" s="10">
        <f>Д402[[#This Row],[Фикс 20.12.24]]+Д402[[#This Row],[23.12.24 СП +1000]]</f>
        <v>128727.46</v>
      </c>
      <c r="AA19" s="149">
        <v>215</v>
      </c>
      <c r="AB19" s="10">
        <f>Д402[[#This Row],[Фикс 23.12.24]]+Д402[[#This Row],[Повышение 20.02.25]]</f>
        <v>128942.46</v>
      </c>
      <c r="AC19" s="149">
        <v>17.5</v>
      </c>
      <c r="AD19" s="10">
        <f>Д402[[#This Row],[Фикс 20.02.25]]+Д402[[#This Row],[Повышение 24.02.2025]]</f>
        <v>128959.96</v>
      </c>
      <c r="AE19" s="149">
        <f>Д402[[#This Row],[Фикс 24.02.25]]*1.5%</f>
        <v>1934.3994</v>
      </c>
      <c r="AF19" s="10">
        <f>Д402[[#This Row],[Фикс 24.02.25]]+Д402[[#This Row],[Повышение 05.03.2025
1К: до 40м - 1,5%, 40+ 0,5%
2К - 0,5% ]]</f>
        <v>130894.3594</v>
      </c>
      <c r="AG19" s="149">
        <f>Д402[[#This Row],[Фикс 05.03.25]]*1%</f>
        <v>1308.9435940000001</v>
      </c>
      <c r="AH19" s="10">
        <f>Д402[[#This Row],[Фикс 05.03.25]]+Д402[[#This Row],[повышение 14.03.25 1К-1%]]</f>
        <v>132203.302994</v>
      </c>
      <c r="AI19" s="149">
        <f>Д402[[#This Row],[Фикс 14.03.25]]*1%</f>
        <v>1322.03302994</v>
      </c>
      <c r="AJ19" s="10">
        <f>Д402[[#This Row],[Фикс 14.03.25]]+Д402[[#This Row],[повышение 28.03.25 1К-1%]]</f>
        <v>133525.33602394001</v>
      </c>
      <c r="AK19" s="10"/>
      <c r="AL19" s="10">
        <f>Д402[[#This Row],[Фикс 28.03.25]]+Д402[[#This Row],[Повышение 23.07.25
1К 43-46м2 - 2%
2К 55-58 - 2%; 58-64 - 3%
3К 76-79 - 2%
]]</f>
        <v>133525.33602394001</v>
      </c>
      <c r="AM19" s="10">
        <f>ROUND(Д402[[#This Row],[Фикс 23.07.25]],2)</f>
        <v>133525.34</v>
      </c>
      <c r="AN19" s="10">
        <f>ROUNDUP(Д402[[#This Row],[утв цена м2]]*Д402[[#This Row],[Расчетная проектная площадь]],-2)</f>
        <v>4941800</v>
      </c>
      <c r="AO19" s="151"/>
      <c r="AP19" s="152"/>
      <c r="AQ19" s="151">
        <f>Д402[[#This Row],[Стоимость до скидки]]*Д402[[#This Row],[Скидка %]]+Д402[[#This Row],[Скидка фиксированная]]</f>
        <v>0</v>
      </c>
      <c r="AR19" s="3">
        <f>Д402[[#This Row],[Стоимость ОН без отделки со скидкой]]/Д402[[#This Row],[Расчетная проектная площадь]]</f>
        <v>133526.07403404487</v>
      </c>
      <c r="AS19" s="3">
        <f>Д402[[#This Row],[Стоимость до скидки]]-Д402[[#This Row],[Итоговая сумма скидки]]</f>
        <v>4941800</v>
      </c>
      <c r="AT1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" s="153"/>
      <c r="AV19" s="153"/>
      <c r="AW19" s="3">
        <f>Д402[[#This Row],[Цена м2 без отделки со скидкой]]+Д402[[#This Row],[Стоимость отделки]]</f>
        <v>133526.07403404487</v>
      </c>
      <c r="AX19" s="3">
        <f>Д402[[#This Row],[Стоимость квартиры с отделкой]]-Д402[[#This Row],[Стоимость ОН без отделки со скидкой]]</f>
        <v>0</v>
      </c>
      <c r="AY19" s="3">
        <f>Д402[[#This Row],[Цена м2 с отделкой]]*Д402[[#This Row],[Расчетная проектная площадь]]</f>
        <v>4941800</v>
      </c>
      <c r="AZ19" s="161"/>
      <c r="BA19" s="269" t="s">
        <v>12</v>
      </c>
      <c r="BB19" s="269" t="str" cm="1">
        <f t="array" ref="BB1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" s="161" t="s">
        <v>738</v>
      </c>
      <c r="BD19" s="161" t="s">
        <v>739</v>
      </c>
      <c r="BE19" s="161" t="s">
        <v>737</v>
      </c>
      <c r="BF19" s="161" t="s">
        <v>745</v>
      </c>
      <c r="BG19" s="161" t="b">
        <f>EXACT(Д402[[#This Row],[Статусы CRM]],Д402[[#This Row],[Статус]])</f>
        <v>1</v>
      </c>
      <c r="BH19" s="3">
        <f>IF(Д402[[#This Row],[ПС]]=0,IF(Д402[[#This Row],[ДС]]=0,Д402[[#This Row],[ТС]],Д402[[#This Row],[ДС]]),Д402[[#This Row],[ПС]])</f>
        <v>4941800</v>
      </c>
      <c r="BI19" s="3">
        <v>4941800</v>
      </c>
      <c r="BJ19" s="3">
        <v>0</v>
      </c>
      <c r="BK19" s="3">
        <v>0</v>
      </c>
      <c r="BL19" s="273">
        <f>Д402[[#This Row],[Стоимость CRM]]-Д402[[#This Row],[Стоимость до скидки]]</f>
        <v>0</v>
      </c>
      <c r="BM19" s="161" t="s">
        <v>9</v>
      </c>
      <c r="BN19" s="161" t="b">
        <f>Д402[[#This Row],[Отделка CRM]]=Д402[[#This Row],[Отделка]]</f>
        <v>1</v>
      </c>
      <c r="BO19" s="275" t="s">
        <v>151</v>
      </c>
      <c r="BP19" s="69"/>
    </row>
    <row r="20" spans="1:68" ht="12" customHeight="1" x14ac:dyDescent="0.25">
      <c r="A20" s="140">
        <v>18</v>
      </c>
      <c r="B20" s="15">
        <v>1</v>
      </c>
      <c r="C20" s="141">
        <f t="shared" si="0"/>
        <v>4</v>
      </c>
      <c r="D20" s="142">
        <v>6</v>
      </c>
      <c r="E20" s="141">
        <v>1</v>
      </c>
      <c r="F20" s="143">
        <v>14.57</v>
      </c>
      <c r="G20" s="143"/>
      <c r="H20" s="143"/>
      <c r="I20" s="144">
        <f>SUM(Д402[[#This Row],[Комната 1]:[Комната 3]])</f>
        <v>14.57</v>
      </c>
      <c r="J20" s="145">
        <v>16.93</v>
      </c>
      <c r="K20" s="145">
        <v>4.46</v>
      </c>
      <c r="L20" s="145"/>
      <c r="M20" s="145">
        <v>7.75</v>
      </c>
      <c r="N20" s="145"/>
      <c r="O20" s="145">
        <v>3.1</v>
      </c>
      <c r="P20" s="145"/>
      <c r="Q20" s="146"/>
      <c r="R20" s="146">
        <f>SUM(Д402[[#This Row],[Лоджия 1]:[Лоджия 3]])</f>
        <v>3.1</v>
      </c>
      <c r="S20" s="149">
        <f>ROUND(SUM(Д402[[#This Row],[Площадь по проекту жилая]:[Лоджия 3]]),2)</f>
        <v>46.81</v>
      </c>
      <c r="T20" s="149">
        <f>ROUND(Д402[[#This Row],[Площадь по проекту(общая)]]-Д402[[#This Row],[Летние]],2)</f>
        <v>43.71</v>
      </c>
      <c r="U20" s="149">
        <f>ROUND(Д402[[#This Row],[Площадь по проекту(общая)]]-(SUM(Д402[[#This Row],[Лоджия 1]:[Лоджия 3]])/2),2)</f>
        <v>45.26</v>
      </c>
      <c r="V20" s="149">
        <f>VLOOKUP(Д402[[#This Row],[№]],наценка7[],COLUMN(наценка7[[#This Row],[Цена м2 с учетом всех K]]),0)</f>
        <v>121645.2</v>
      </c>
      <c r="W20" s="159"/>
      <c r="X20" s="149">
        <f>Д402[[#This Row],[м2 после К]]+Д402[[#This Row],[02.12.2024]]</f>
        <v>121645.2</v>
      </c>
      <c r="Y20" s="149">
        <v>1000</v>
      </c>
      <c r="Z20" s="149">
        <f>Д402[[#This Row],[Фикс 20.12.24]]+Д402[[#This Row],[23.12.24 СП +1000]]</f>
        <v>122645.2</v>
      </c>
      <c r="AA20" s="149">
        <v>215</v>
      </c>
      <c r="AB20" s="149">
        <f>Д402[[#This Row],[Фикс 23.12.24]]+Д402[[#This Row],[Повышение 20.02.25]]</f>
        <v>122860.2</v>
      </c>
      <c r="AC20" s="149">
        <v>17.5</v>
      </c>
      <c r="AD20" s="149">
        <f>Д402[[#This Row],[Фикс 20.02.25]]+Д402[[#This Row],[Повышение 24.02.2025]]</f>
        <v>122877.7</v>
      </c>
      <c r="AE20" s="149">
        <f>Д402[[#This Row],[Фикс 24.02.25]]*0.5%</f>
        <v>614.38850000000002</v>
      </c>
      <c r="AF20" s="149">
        <f>Д402[[#This Row],[Фикс 24.02.25]]+Д402[[#This Row],[Повышение 05.03.2025
1К: до 40м - 1,5%, 40+ 0,5%
2К - 0,5% ]]</f>
        <v>123492.0885</v>
      </c>
      <c r="AG20" s="149">
        <f>Д402[[#This Row],[Фикс 05.03.25]]*1%</f>
        <v>1234.920885</v>
      </c>
      <c r="AH20" s="149">
        <f>Д402[[#This Row],[Фикс 05.03.25]]+Д402[[#This Row],[повышение 14.03.25 1К-1%]]</f>
        <v>124727.009385</v>
      </c>
      <c r="AI20" s="149">
        <f>Д402[[#This Row],[Фикс 14.03.25]]*1%</f>
        <v>1247.27009385</v>
      </c>
      <c r="AJ20" s="149">
        <f>Д402[[#This Row],[Фикс 14.03.25]]+Д402[[#This Row],[повышение 28.03.25 1К-1%]]</f>
        <v>125974.27947885</v>
      </c>
      <c r="AK20" s="149">
        <f>Д402[[#This Row],[Фикс 28.03.25]]*2%</f>
        <v>2519.4855895770002</v>
      </c>
      <c r="AL20" s="149">
        <f>Д402[[#This Row],[Фикс 28.03.25]]+Д402[[#This Row],[Повышение 23.07.25
1К 43-46м2 - 2%
2К 55-58 - 2%; 58-64 - 3%
3К 76-79 - 2%
]]</f>
        <v>128493.765068427</v>
      </c>
      <c r="AM20" s="149">
        <f>ROUND(Д402[[#This Row],[Фикс 23.07.25]],2)</f>
        <v>128493.77</v>
      </c>
      <c r="AN20" s="149">
        <f>ROUNDUP(Д402[[#This Row],[утв цена м2]]*Д402[[#This Row],[Расчетная проектная площадь]],-2)</f>
        <v>5815700</v>
      </c>
      <c r="AO20" s="151"/>
      <c r="AP20" s="152"/>
      <c r="AQ20" s="151">
        <f>Д402[[#This Row],[Стоимость до скидки]]*Д402[[#This Row],[Скидка %]]+Д402[[#This Row],[Скидка фиксированная]]</f>
        <v>0</v>
      </c>
      <c r="AR20" s="3">
        <f>Д402[[#This Row],[Стоимость ОН без отделки со скидкой]]/Д402[[#This Row],[Расчетная проектная площадь]]</f>
        <v>128495.36014140522</v>
      </c>
      <c r="AS20" s="3">
        <f>Д402[[#This Row],[Стоимость до скидки]]-Д402[[#This Row],[Итоговая сумма скидки]]</f>
        <v>5815700</v>
      </c>
      <c r="AT2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" s="153"/>
      <c r="AV20" s="153"/>
      <c r="AW20" s="3">
        <f>Д402[[#This Row],[Цена м2 без отделки со скидкой]]+Д402[[#This Row],[Стоимость отделки]]</f>
        <v>128495.36014140522</v>
      </c>
      <c r="AX20" s="3">
        <f>Д402[[#This Row],[Стоимость квартиры с отделкой]]-Д402[[#This Row],[Стоимость ОН без отделки со скидкой]]</f>
        <v>0</v>
      </c>
      <c r="AY20" s="3">
        <f>Д402[[#This Row],[Цена м2 с отделкой]]*Д402[[#This Row],[Расчетная проектная площадь]]</f>
        <v>5815700</v>
      </c>
      <c r="AZ20" s="161"/>
      <c r="BA20" s="155" t="s">
        <v>12</v>
      </c>
      <c r="BB20" s="156" t="str" cm="1">
        <f t="array" ref="BB2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" s="161" t="s">
        <v>738</v>
      </c>
      <c r="BD20" s="161" t="s">
        <v>739</v>
      </c>
      <c r="BE20" s="161" t="s">
        <v>737</v>
      </c>
      <c r="BF20" s="161" t="s">
        <v>745</v>
      </c>
      <c r="BG20" s="161" t="b">
        <f>EXACT(Д402[[#This Row],[Статусы CRM]],Д402[[#This Row],[Статус]])</f>
        <v>1</v>
      </c>
      <c r="BH20" s="3">
        <f>IF(Д402[[#This Row],[ПС]]=0,IF(Д402[[#This Row],[ДС]]=0,Д402[[#This Row],[ТС]],Д402[[#This Row],[ДС]]),Д402[[#This Row],[ПС]])</f>
        <v>5815700</v>
      </c>
      <c r="BI20" s="3">
        <v>5815700</v>
      </c>
      <c r="BJ20" s="3">
        <v>0</v>
      </c>
      <c r="BK20" s="3">
        <v>0</v>
      </c>
      <c r="BL20" s="273">
        <f>Д402[[#This Row],[Стоимость CRM]]-Д402[[#This Row],[Стоимость до скидки]]</f>
        <v>0</v>
      </c>
      <c r="BM20" s="161" t="s">
        <v>9</v>
      </c>
      <c r="BN20" s="161" t="b">
        <f>Д402[[#This Row],[Отделка CRM]]=Д402[[#This Row],[Отделка]]</f>
        <v>1</v>
      </c>
      <c r="BO20" s="275" t="s">
        <v>152</v>
      </c>
      <c r="BP20" s="69"/>
    </row>
    <row r="21" spans="1:68" ht="12" customHeight="1" x14ac:dyDescent="0.25">
      <c r="A21" s="140">
        <v>19</v>
      </c>
      <c r="B21" s="15">
        <v>1</v>
      </c>
      <c r="C21" s="141">
        <f t="shared" si="0"/>
        <v>5</v>
      </c>
      <c r="D21" s="142">
        <v>1</v>
      </c>
      <c r="E21" s="141">
        <v>0</v>
      </c>
      <c r="F21" s="143">
        <v>14.66</v>
      </c>
      <c r="G21" s="143"/>
      <c r="H21" s="143"/>
      <c r="I21" s="144">
        <f>SUM(Д402[[#This Row],[Комната 1]:[Комната 3]])</f>
        <v>14.66</v>
      </c>
      <c r="J21" s="145">
        <v>6.15</v>
      </c>
      <c r="K21" s="145">
        <v>5.0199999999999996</v>
      </c>
      <c r="L21" s="145"/>
      <c r="M21" s="145">
        <v>3.86</v>
      </c>
      <c r="N21" s="145"/>
      <c r="O21" s="145"/>
      <c r="P21" s="145"/>
      <c r="Q21" s="146"/>
      <c r="R21" s="146">
        <f>SUM(Д402[[#This Row],[Лоджия 1]:[Лоджия 3]])</f>
        <v>0</v>
      </c>
      <c r="S21" s="149">
        <f>ROUND(SUM(Д402[[#This Row],[Площадь по проекту жилая]:[Лоджия 3]]),2)</f>
        <v>29.69</v>
      </c>
      <c r="T21" s="149">
        <f>ROUND(Д402[[#This Row],[Площадь по проекту(общая)]]-Д402[[#This Row],[Летние]],2)</f>
        <v>29.69</v>
      </c>
      <c r="U21" s="149">
        <f>ROUND(Д402[[#This Row],[Площадь по проекту(общая)]]-(SUM(Д402[[#This Row],[Лоджия 1]:[Лоджия 3]])/2),2)</f>
        <v>29.69</v>
      </c>
      <c r="V21" s="149">
        <f>VLOOKUP(Д402[[#This Row],[№]],наценка7[],COLUMN(наценка7[[#This Row],[Цена м2 с учетом всех K]]),0)</f>
        <v>139730</v>
      </c>
      <c r="W21" s="159">
        <v>200</v>
      </c>
      <c r="X21" s="149">
        <f>Д402[[#This Row],[м2 после К]]+Д402[[#This Row],[02.12.2024]]</f>
        <v>139930</v>
      </c>
      <c r="Y21" s="149">
        <v>1000</v>
      </c>
      <c r="Z21" s="149">
        <f>Д402[[#This Row],[Фикс 20.12.24]]+Д402[[#This Row],[23.12.24 СП +1000]]</f>
        <v>140930</v>
      </c>
      <c r="AA21" s="149">
        <v>215</v>
      </c>
      <c r="AB21" s="149">
        <f>Д402[[#This Row],[Фикс 23.12.24]]+Д402[[#This Row],[Повышение 20.02.25]]</f>
        <v>141145</v>
      </c>
      <c r="AC21" s="149">
        <v>17.5</v>
      </c>
      <c r="AD21" s="149">
        <f>Д402[[#This Row],[Фикс 20.02.25]]+Д402[[#This Row],[Повышение 24.02.2025]]</f>
        <v>141162.5</v>
      </c>
      <c r="AE21" s="149"/>
      <c r="AF21" s="149">
        <f>Д402[[#This Row],[Фикс 24.02.25]]+Д402[[#This Row],[Повышение 05.03.2025
1К: до 40м - 1,5%, 40+ 0,5%
2К - 0,5% ]]</f>
        <v>141162.5</v>
      </c>
      <c r="AG21" s="149"/>
      <c r="AH21" s="149">
        <f>Д402[[#This Row],[Фикс 05.03.25]]+Д402[[#This Row],[повышение 14.03.25 1К-1%]]</f>
        <v>141162.5</v>
      </c>
      <c r="AI21" s="149"/>
      <c r="AJ21" s="149">
        <f>Д402[[#This Row],[Фикс 14.03.25]]+Д402[[#This Row],[повышение 28.03.25 1К-1%]]</f>
        <v>141162.5</v>
      </c>
      <c r="AK21" s="149"/>
      <c r="AL21" s="149">
        <f>Д402[[#This Row],[Фикс 28.03.25]]+Д402[[#This Row],[Повышение 23.07.25
1К 43-46м2 - 2%
2К 55-58 - 2%; 58-64 - 3%
3К 76-79 - 2%
]]</f>
        <v>141162.5</v>
      </c>
      <c r="AM21" s="149">
        <f>ROUND(Д402[[#This Row],[Фикс 23.07.25]],2)</f>
        <v>141162.5</v>
      </c>
      <c r="AN21" s="149">
        <f>ROUNDUP(Д402[[#This Row],[утв цена м2]]*Д402[[#This Row],[Расчетная проектная площадь]],-2)</f>
        <v>4191200</v>
      </c>
      <c r="AO21" s="151"/>
      <c r="AP21" s="152"/>
      <c r="AQ21" s="151">
        <f>Д402[[#This Row],[Стоимость до скидки]]*Д402[[#This Row],[Скидка %]]+Д402[[#This Row],[Скидка фиксированная]]</f>
        <v>0</v>
      </c>
      <c r="AR21" s="3">
        <f>Д402[[#This Row],[Стоимость ОН без отделки со скидкой]]/Д402[[#This Row],[Расчетная проектная площадь]]</f>
        <v>141165.37554732233</v>
      </c>
      <c r="AS21" s="3">
        <f>Д402[[#This Row],[Стоимость до скидки]]-Д402[[#This Row],[Итоговая сумма скидки]]</f>
        <v>4191200</v>
      </c>
      <c r="AT2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" s="153"/>
      <c r="AV21" s="153"/>
      <c r="AW21" s="3">
        <f>Д402[[#This Row],[Цена м2 без отделки со скидкой]]+Д402[[#This Row],[Стоимость отделки]]</f>
        <v>141165.37554732233</v>
      </c>
      <c r="AX21" s="3">
        <f>Д402[[#This Row],[Стоимость квартиры с отделкой]]-Д402[[#This Row],[Стоимость ОН без отделки со скидкой]]</f>
        <v>0</v>
      </c>
      <c r="AY21" s="3">
        <f>Д402[[#This Row],[Цена м2 с отделкой]]*Д402[[#This Row],[Расчетная проектная площадь]]</f>
        <v>4191200</v>
      </c>
      <c r="AZ21" s="161"/>
      <c r="BA21" s="269" t="s">
        <v>128</v>
      </c>
      <c r="BB21" s="269" t="str" cm="1">
        <f t="array" ref="BB2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1" s="161" t="s">
        <v>740</v>
      </c>
      <c r="BD21" s="161" t="s">
        <v>506</v>
      </c>
      <c r="BE21" s="161" t="s">
        <v>737</v>
      </c>
      <c r="BF21" s="161" t="s">
        <v>743</v>
      </c>
      <c r="BG21" s="161" t="b">
        <f>EXACT(Д402[[#This Row],[Статусы CRM]],Д402[[#This Row],[Статус]])</f>
        <v>1</v>
      </c>
      <c r="BH21" s="3">
        <f>IF(Д402[[#This Row],[ПС]]=0,IF(Д402[[#This Row],[ДС]]=0,Д402[[#This Row],[ТС]],Д402[[#This Row],[ДС]]),Д402[[#This Row],[ПС]])</f>
        <v>4191200</v>
      </c>
      <c r="BI21" s="3">
        <v>4191200</v>
      </c>
      <c r="BJ21" s="3">
        <v>0</v>
      </c>
      <c r="BK21" s="3">
        <v>0</v>
      </c>
      <c r="BL21" s="273">
        <f>Д402[[#This Row],[Стоимость CRM]]-Д402[[#This Row],[Стоимость до скидки]]</f>
        <v>0</v>
      </c>
      <c r="BM21" s="161" t="s">
        <v>9</v>
      </c>
      <c r="BN21" s="161" t="b">
        <f>Д402[[#This Row],[Отделка CRM]]=Д402[[#This Row],[Отделка]]</f>
        <v>1</v>
      </c>
      <c r="BO21" s="275" t="s">
        <v>153</v>
      </c>
      <c r="BP21" s="69"/>
    </row>
    <row r="22" spans="1:68" ht="12" customHeight="1" x14ac:dyDescent="0.25">
      <c r="A22" s="140">
        <v>20</v>
      </c>
      <c r="B22" s="15">
        <v>1</v>
      </c>
      <c r="C22" s="141">
        <f t="shared" si="0"/>
        <v>5</v>
      </c>
      <c r="D22" s="142">
        <v>2</v>
      </c>
      <c r="E22" s="141">
        <v>2</v>
      </c>
      <c r="F22" s="143">
        <v>16.100000000000001</v>
      </c>
      <c r="G22" s="143">
        <v>10.8</v>
      </c>
      <c r="H22" s="143"/>
      <c r="I22" s="144">
        <f>SUM(Д402[[#This Row],[Комната 1]:[Комната 3]])</f>
        <v>26.900000000000002</v>
      </c>
      <c r="J22" s="145">
        <v>17.7</v>
      </c>
      <c r="K22" s="145">
        <v>4.25</v>
      </c>
      <c r="L22" s="145"/>
      <c r="M22" s="145">
        <v>9.68</v>
      </c>
      <c r="N22" s="145"/>
      <c r="O22" s="145">
        <v>3.15</v>
      </c>
      <c r="P22" s="145"/>
      <c r="Q22" s="146"/>
      <c r="R22" s="146">
        <f>SUM(Д402[[#This Row],[Лоджия 1]:[Лоджия 3]])</f>
        <v>3.15</v>
      </c>
      <c r="S22" s="10">
        <f>ROUND(SUM(Д402[[#This Row],[Площадь по проекту жилая]:[Лоджия 3]]),2)</f>
        <v>61.68</v>
      </c>
      <c r="T22" s="10">
        <f>ROUND(Д402[[#This Row],[Площадь по проекту(общая)]]-Д402[[#This Row],[Летние]],2)</f>
        <v>58.53</v>
      </c>
      <c r="U22" s="10">
        <f>ROUND(Д402[[#This Row],[Площадь по проекту(общая)]]-(SUM(Д402[[#This Row],[Лоджия 1]:[Лоджия 3]])/2),2)</f>
        <v>60.11</v>
      </c>
      <c r="V22" s="10">
        <f>VLOOKUP(Д402[[#This Row],[№]],наценка7[],COLUMN(наценка7[[#This Row],[Цена м2 с учетом всех K]]),0)</f>
        <v>119811.8</v>
      </c>
      <c r="W22" s="162"/>
      <c r="X22" s="10">
        <f>Д402[[#This Row],[м2 после К]]+Д402[[#This Row],[02.12.2024]]</f>
        <v>119811.8</v>
      </c>
      <c r="Y22" s="149">
        <v>1000</v>
      </c>
      <c r="Z22" s="10">
        <f>Д402[[#This Row],[Фикс 20.12.24]]+Д402[[#This Row],[23.12.24 СП +1000]]</f>
        <v>120811.8</v>
      </c>
      <c r="AA22" s="149">
        <v>215</v>
      </c>
      <c r="AB22" s="10">
        <f>Д402[[#This Row],[Фикс 23.12.24]]+Д402[[#This Row],[Повышение 20.02.25]]</f>
        <v>121026.8</v>
      </c>
      <c r="AC22" s="149">
        <v>17.5</v>
      </c>
      <c r="AD22" s="10">
        <f>Д402[[#This Row],[Фикс 20.02.25]]+Д402[[#This Row],[Повышение 24.02.2025]]</f>
        <v>121044.3</v>
      </c>
      <c r="AE22" s="149">
        <f>Д402[[#This Row],[Фикс 24.02.25]]*0.5%</f>
        <v>605.22149999999999</v>
      </c>
      <c r="AF22" s="10">
        <f>Д402[[#This Row],[Фикс 24.02.25]]+Д402[[#This Row],[Повышение 05.03.2025
1К: до 40м - 1,5%, 40+ 0,5%
2К - 0,5% ]]</f>
        <v>121649.5215</v>
      </c>
      <c r="AG22" s="10"/>
      <c r="AH22" s="10">
        <f>Д402[[#This Row],[Фикс 05.03.25]]+Д402[[#This Row],[повышение 14.03.25 1К-1%]]</f>
        <v>121649.5215</v>
      </c>
      <c r="AI22" s="10"/>
      <c r="AJ22" s="10">
        <f>Д402[[#This Row],[Фикс 14.03.25]]+Д402[[#This Row],[повышение 28.03.25 1К-1%]]</f>
        <v>121649.5215</v>
      </c>
      <c r="AK22" s="10">
        <f>Д402[[#This Row],[Фикс 28.03.25]]*3%</f>
        <v>3649.4856449999997</v>
      </c>
      <c r="AL22" s="10">
        <f>Д402[[#This Row],[Фикс 28.03.25]]+Д402[[#This Row],[Повышение 23.07.25
1К 43-46м2 - 2%
2К 55-58 - 2%; 58-64 - 3%
3К 76-79 - 2%
]]</f>
        <v>125299.007145</v>
      </c>
      <c r="AM22" s="10">
        <f>ROUND(Д402[[#This Row],[Фикс 23.07.25]],2)</f>
        <v>125299.01</v>
      </c>
      <c r="AN22" s="10">
        <f>ROUNDUP(Д402[[#This Row],[утв цена м2]]*Д402[[#This Row],[Расчетная проектная площадь]],-2)</f>
        <v>7531800</v>
      </c>
      <c r="AO22" s="151"/>
      <c r="AP22" s="152"/>
      <c r="AQ22" s="151">
        <f>Д402[[#This Row],[Стоимость до скидки]]*Д402[[#This Row],[Скидка %]]+Д402[[#This Row],[Скидка фиксированная]]</f>
        <v>0</v>
      </c>
      <c r="AR22" s="3">
        <f>Д402[[#This Row],[Стоимость ОН без отделки со скидкой]]/Д402[[#This Row],[Расчетная проектная площадь]]</f>
        <v>125300.28281483946</v>
      </c>
      <c r="AS22" s="3">
        <f>Д402[[#This Row],[Стоимость до скидки]]-Д402[[#This Row],[Итоговая сумма скидки]]</f>
        <v>7531800</v>
      </c>
      <c r="AT2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2" s="153">
        <v>30000</v>
      </c>
      <c r="AV22" s="153" t="s">
        <v>722</v>
      </c>
      <c r="AW22" s="3">
        <f>Д402[[#This Row],[Цена м2 без отделки со скидкой]]+Д402[[#This Row],[Стоимость отделки]]</f>
        <v>155300.28281483945</v>
      </c>
      <c r="AX22" s="3">
        <f>Д402[[#This Row],[Стоимость квартиры с отделкой]]-Д402[[#This Row],[Стоимость ОН без отделки со скидкой]]</f>
        <v>1803300</v>
      </c>
      <c r="AY22" s="3">
        <f>Д402[[#This Row],[Цена м2 с отделкой]]*Д402[[#This Row],[Расчетная проектная площадь]]</f>
        <v>9335100</v>
      </c>
      <c r="AZ22" s="161"/>
      <c r="BA22" s="155" t="s">
        <v>12</v>
      </c>
      <c r="BB22" s="156" t="str" cm="1">
        <f t="array" ref="BB2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2" s="161" t="s">
        <v>738</v>
      </c>
      <c r="BD22" s="161" t="s">
        <v>739</v>
      </c>
      <c r="BE22" s="161" t="s">
        <v>737</v>
      </c>
      <c r="BF22" s="161" t="s">
        <v>744</v>
      </c>
      <c r="BG22" s="161" t="b">
        <f>EXACT(Д402[[#This Row],[Статусы CRM]],Д402[[#This Row],[Статус]])</f>
        <v>1</v>
      </c>
      <c r="BH22" s="3">
        <f>IF(Д402[[#This Row],[ПС]]=0,IF(Д402[[#This Row],[ДС]]=0,Д402[[#This Row],[ТС]],Д402[[#This Row],[ДС]]),Д402[[#This Row],[ПС]])</f>
        <v>7531800</v>
      </c>
      <c r="BI22" s="3">
        <v>7531800</v>
      </c>
      <c r="BJ22" s="3">
        <v>0</v>
      </c>
      <c r="BK22" s="3">
        <v>0</v>
      </c>
      <c r="BL22" s="273">
        <f>Д402[[#This Row],[Стоимость CRM]]-Д402[[#This Row],[Стоимость до скидки]]</f>
        <v>0</v>
      </c>
      <c r="BM22" s="161" t="s">
        <v>11</v>
      </c>
      <c r="BN22" s="161" t="b">
        <f>Д402[[#This Row],[Отделка CRM]]=Д402[[#This Row],[Отделка]]</f>
        <v>1</v>
      </c>
      <c r="BO22" s="275" t="s">
        <v>154</v>
      </c>
      <c r="BP22" s="69"/>
    </row>
    <row r="23" spans="1:68" ht="12" customHeight="1" x14ac:dyDescent="0.25">
      <c r="A23" s="140">
        <v>21</v>
      </c>
      <c r="B23" s="15">
        <v>1</v>
      </c>
      <c r="C23" s="141">
        <f t="shared" si="0"/>
        <v>5</v>
      </c>
      <c r="D23" s="142">
        <v>3</v>
      </c>
      <c r="E23" s="141">
        <v>2</v>
      </c>
      <c r="F23" s="143">
        <v>16.41</v>
      </c>
      <c r="G23" s="143">
        <v>12.19</v>
      </c>
      <c r="H23" s="143"/>
      <c r="I23" s="144">
        <f>SUM(Д402[[#This Row],[Комната 1]:[Комната 3]])</f>
        <v>28.6</v>
      </c>
      <c r="J23" s="145">
        <v>14.62</v>
      </c>
      <c r="K23" s="145">
        <v>3.86</v>
      </c>
      <c r="L23" s="145"/>
      <c r="M23" s="145">
        <v>6.1</v>
      </c>
      <c r="N23" s="145"/>
      <c r="O23" s="145">
        <v>3.33</v>
      </c>
      <c r="P23" s="145"/>
      <c r="Q23" s="146"/>
      <c r="R23" s="146">
        <f>SUM(Д402[[#This Row],[Лоджия 1]:[Лоджия 3]])</f>
        <v>3.33</v>
      </c>
      <c r="S23" s="10">
        <f>ROUND(SUM(Д402[[#This Row],[Площадь по проекту жилая]:[Лоджия 3]]),2)</f>
        <v>56.51</v>
      </c>
      <c r="T23" s="10">
        <f>ROUND(Д402[[#This Row],[Площадь по проекту(общая)]]-Д402[[#This Row],[Летние]],2)</f>
        <v>53.18</v>
      </c>
      <c r="U23" s="10">
        <f>ROUND(Д402[[#This Row],[Площадь по проекту(общая)]]-(SUM(Д402[[#This Row],[Лоджия 1]:[Лоджия 3]])/2),2)</f>
        <v>54.85</v>
      </c>
      <c r="V23" s="10">
        <f>VLOOKUP(Д402[[#This Row],[№]],наценка7[],COLUMN(наценка7[[#This Row],[Цена м2 с учетом всех K]]),0)</f>
        <v>117551.2</v>
      </c>
      <c r="W23" s="162"/>
      <c r="X23" s="10">
        <f>Д402[[#This Row],[м2 после К]]+Д402[[#This Row],[02.12.2024]]</f>
        <v>117551.2</v>
      </c>
      <c r="Y23" s="149">
        <v>1000</v>
      </c>
      <c r="Z23" s="10">
        <f>Д402[[#This Row],[Фикс 20.12.24]]+Д402[[#This Row],[23.12.24 СП +1000]]</f>
        <v>118551.2</v>
      </c>
      <c r="AA23" s="149">
        <v>215</v>
      </c>
      <c r="AB23" s="10">
        <f>Д402[[#This Row],[Фикс 23.12.24]]+Д402[[#This Row],[Повышение 20.02.25]]</f>
        <v>118766.2</v>
      </c>
      <c r="AC23" s="149">
        <v>17.5</v>
      </c>
      <c r="AD23" s="10">
        <f>Д402[[#This Row],[Фикс 20.02.25]]+Д402[[#This Row],[Повышение 24.02.2025]]</f>
        <v>118783.7</v>
      </c>
      <c r="AE23" s="149">
        <f>Д402[[#This Row],[Фикс 24.02.25]]*0.5%</f>
        <v>593.91849999999999</v>
      </c>
      <c r="AF23" s="10">
        <f>Д402[[#This Row],[Фикс 24.02.25]]+Д402[[#This Row],[Повышение 05.03.2025
1К: до 40м - 1,5%, 40+ 0,5%
2К - 0,5% ]]</f>
        <v>119377.6185</v>
      </c>
      <c r="AG23" s="10"/>
      <c r="AH23" s="10">
        <f>Д402[[#This Row],[Фикс 05.03.25]]+Д402[[#This Row],[повышение 14.03.25 1К-1%]]</f>
        <v>119377.6185</v>
      </c>
      <c r="AI23" s="10"/>
      <c r="AJ23" s="10">
        <f>Д402[[#This Row],[Фикс 14.03.25]]+Д402[[#This Row],[повышение 28.03.25 1К-1%]]</f>
        <v>119377.6185</v>
      </c>
      <c r="AK23" s="10"/>
      <c r="AL23" s="10">
        <f>Д402[[#This Row],[Фикс 28.03.25]]+Д402[[#This Row],[Повышение 23.07.25
1К 43-46м2 - 2%
2К 55-58 - 2%; 58-64 - 3%
3К 76-79 - 2%
]]</f>
        <v>119377.6185</v>
      </c>
      <c r="AM23" s="149">
        <f>ROUND(Д402[[#This Row],[Фикс 23.07.25]],2)</f>
        <v>119377.62</v>
      </c>
      <c r="AN23" s="149">
        <f>ROUNDUP(Д402[[#This Row],[утв цена м2]]*Д402[[#This Row],[Расчетная проектная площадь]],-2)</f>
        <v>6547900</v>
      </c>
      <c r="AO23" s="151"/>
      <c r="AP23" s="152"/>
      <c r="AQ23" s="151">
        <f>Д402[[#This Row],[Стоимость до скидки]]*Д402[[#This Row],[Скидка %]]+Д402[[#This Row],[Скидка фиксированная]]</f>
        <v>0</v>
      </c>
      <c r="AR23" s="3">
        <f>Д402[[#This Row],[Стоимость ОН без отделки со скидкой]]/Д402[[#This Row],[Расчетная проектная площадь]]</f>
        <v>119378.30446672744</v>
      </c>
      <c r="AS23" s="3">
        <f>Д402[[#This Row],[Стоимость до скидки]]-Д402[[#This Row],[Итоговая сумма скидки]]</f>
        <v>6547900</v>
      </c>
      <c r="AT2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" s="153"/>
      <c r="AV23" s="153"/>
      <c r="AW23" s="3">
        <f>Д402[[#This Row],[Цена м2 без отделки со скидкой]]+Д402[[#This Row],[Стоимость отделки]]</f>
        <v>119378.30446672744</v>
      </c>
      <c r="AX23" s="3">
        <f>Д402[[#This Row],[Стоимость квартиры с отделкой]]-Д402[[#This Row],[Стоимость ОН без отделки со скидкой]]</f>
        <v>0</v>
      </c>
      <c r="AY23" s="3">
        <f>Д402[[#This Row],[Цена м2 с отделкой]]*Д402[[#This Row],[Расчетная проектная площадь]]</f>
        <v>6547900</v>
      </c>
      <c r="AZ23" s="161"/>
      <c r="BA23" s="155" t="s">
        <v>12</v>
      </c>
      <c r="BB23" s="156" t="str" cm="1">
        <f t="array" ref="BB2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3" s="161" t="s">
        <v>738</v>
      </c>
      <c r="BD23" s="161" t="s">
        <v>739</v>
      </c>
      <c r="BE23" s="161" t="s">
        <v>737</v>
      </c>
      <c r="BF23" s="161" t="s">
        <v>744</v>
      </c>
      <c r="BG23" s="161" t="b">
        <f>EXACT(Д402[[#This Row],[Статусы CRM]],Д402[[#This Row],[Статус]])</f>
        <v>1</v>
      </c>
      <c r="BH23" s="3">
        <f>IF(Д402[[#This Row],[ПС]]=0,IF(Д402[[#This Row],[ДС]]=0,Д402[[#This Row],[ТС]],Д402[[#This Row],[ДС]]),Д402[[#This Row],[ПС]])</f>
        <v>6547900</v>
      </c>
      <c r="BI23" s="3">
        <v>6547900</v>
      </c>
      <c r="BJ23" s="3">
        <v>0</v>
      </c>
      <c r="BK23" s="3">
        <v>0</v>
      </c>
      <c r="BL23" s="273">
        <f>Д402[[#This Row],[Стоимость CRM]]-Д402[[#This Row],[Стоимость до скидки]]</f>
        <v>0</v>
      </c>
      <c r="BM23" s="161" t="s">
        <v>9</v>
      </c>
      <c r="BN23" s="161" t="b">
        <f>Д402[[#This Row],[Отделка CRM]]=Д402[[#This Row],[Отделка]]</f>
        <v>1</v>
      </c>
      <c r="BO23" s="275" t="s">
        <v>155</v>
      </c>
      <c r="BP23" s="69"/>
    </row>
    <row r="24" spans="1:68" ht="12" customHeight="1" x14ac:dyDescent="0.25">
      <c r="A24" s="140">
        <v>22</v>
      </c>
      <c r="B24" s="15">
        <v>1</v>
      </c>
      <c r="C24" s="141">
        <f t="shared" si="0"/>
        <v>5</v>
      </c>
      <c r="D24" s="142">
        <v>4</v>
      </c>
      <c r="E24" s="141">
        <v>2</v>
      </c>
      <c r="F24" s="143">
        <v>14.98</v>
      </c>
      <c r="G24" s="143">
        <v>12.28</v>
      </c>
      <c r="H24" s="143"/>
      <c r="I24" s="144">
        <f>SUM(Д402[[#This Row],[Комната 1]:[Комната 3]])</f>
        <v>27.259999999999998</v>
      </c>
      <c r="J24" s="145">
        <v>15.16</v>
      </c>
      <c r="K24" s="145">
        <v>4.4400000000000004</v>
      </c>
      <c r="L24" s="145"/>
      <c r="M24" s="145">
        <v>6.25</v>
      </c>
      <c r="N24" s="145"/>
      <c r="O24" s="145">
        <v>3.33</v>
      </c>
      <c r="P24" s="145"/>
      <c r="Q24" s="146"/>
      <c r="R24" s="146">
        <f>SUM(Д402[[#This Row],[Лоджия 1]:[Лоджия 3]])</f>
        <v>3.33</v>
      </c>
      <c r="S24" s="10">
        <f>ROUND(SUM(Д402[[#This Row],[Площадь по проекту жилая]:[Лоджия 3]]),2)</f>
        <v>56.44</v>
      </c>
      <c r="T24" s="10">
        <f>ROUND(Д402[[#This Row],[Площадь по проекту(общая)]]-Д402[[#This Row],[Летние]],2)</f>
        <v>53.11</v>
      </c>
      <c r="U24" s="10">
        <f>ROUND(Д402[[#This Row],[Площадь по проекту(общая)]]-(SUM(Д402[[#This Row],[Лоджия 1]:[Лоджия 3]])/2),2)</f>
        <v>54.78</v>
      </c>
      <c r="V24" s="10">
        <f>VLOOKUP(Д402[[#This Row],[№]],наценка7[],COLUMN(наценка7[[#This Row],[Цена м2 с учетом всех K]]),0)</f>
        <v>119811.8</v>
      </c>
      <c r="W24" s="162"/>
      <c r="X24" s="10">
        <f>Д402[[#This Row],[м2 после К]]+Д402[[#This Row],[02.12.2024]]</f>
        <v>119811.8</v>
      </c>
      <c r="Y24" s="149">
        <v>1000</v>
      </c>
      <c r="Z24" s="10">
        <f>Д402[[#This Row],[Фикс 20.12.24]]+Д402[[#This Row],[23.12.24 СП +1000]]</f>
        <v>120811.8</v>
      </c>
      <c r="AA24" s="149">
        <v>215</v>
      </c>
      <c r="AB24" s="10">
        <f>Д402[[#This Row],[Фикс 23.12.24]]+Д402[[#This Row],[Повышение 20.02.25]]</f>
        <v>121026.8</v>
      </c>
      <c r="AC24" s="149">
        <v>17.5</v>
      </c>
      <c r="AD24" s="10">
        <f>Д402[[#This Row],[Фикс 20.02.25]]+Д402[[#This Row],[Повышение 24.02.2025]]</f>
        <v>121044.3</v>
      </c>
      <c r="AE24" s="149">
        <f>Д402[[#This Row],[Фикс 24.02.25]]*0.5%</f>
        <v>605.22149999999999</v>
      </c>
      <c r="AF24" s="10">
        <f>Д402[[#This Row],[Фикс 24.02.25]]+Д402[[#This Row],[Повышение 05.03.2025
1К: до 40м - 1,5%, 40+ 0,5%
2К - 0,5% ]]</f>
        <v>121649.5215</v>
      </c>
      <c r="AG24" s="10"/>
      <c r="AH24" s="10">
        <f>Д402[[#This Row],[Фикс 05.03.25]]+Д402[[#This Row],[повышение 14.03.25 1К-1%]]</f>
        <v>121649.5215</v>
      </c>
      <c r="AI24" s="10"/>
      <c r="AJ24" s="10">
        <f>Д402[[#This Row],[Фикс 14.03.25]]+Д402[[#This Row],[повышение 28.03.25 1К-1%]]</f>
        <v>121649.5215</v>
      </c>
      <c r="AK24" s="10"/>
      <c r="AL24" s="10">
        <f>Д402[[#This Row],[Фикс 28.03.25]]+Д402[[#This Row],[Повышение 23.07.25
1К 43-46м2 - 2%
2К 55-58 - 2%; 58-64 - 3%
3К 76-79 - 2%
]]</f>
        <v>121649.5215</v>
      </c>
      <c r="AM24" s="149">
        <f>ROUND(Д402[[#This Row],[Фикс 23.07.25]],2)</f>
        <v>121649.52</v>
      </c>
      <c r="AN24" s="149">
        <f>ROUNDUP(Д402[[#This Row],[утв цена м2]]*Д402[[#This Row],[Расчетная проектная площадь]],-2)</f>
        <v>6664000</v>
      </c>
      <c r="AO24" s="151"/>
      <c r="AP24" s="152"/>
      <c r="AQ24" s="151">
        <f>Д402[[#This Row],[Стоимость до скидки]]*Д402[[#This Row],[Скидка %]]+Д402[[#This Row],[Скидка фиксированная]]</f>
        <v>0</v>
      </c>
      <c r="AR24" s="3">
        <f>Д402[[#This Row],[Стоимость ОН без отделки со скидкой]]/Д402[[#This Row],[Расчетная проектная площадь]]</f>
        <v>121650.23731288791</v>
      </c>
      <c r="AS24" s="3">
        <f>Д402[[#This Row],[Стоимость до скидки]]-Д402[[#This Row],[Итоговая сумма скидки]]</f>
        <v>6664000</v>
      </c>
      <c r="AT2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" s="153"/>
      <c r="AV24" s="153"/>
      <c r="AW24" s="3">
        <f>Д402[[#This Row],[Цена м2 без отделки со скидкой]]+Д402[[#This Row],[Стоимость отделки]]</f>
        <v>121650.23731288791</v>
      </c>
      <c r="AX24" s="3">
        <f>Д402[[#This Row],[Стоимость квартиры с отделкой]]-Д402[[#This Row],[Стоимость ОН без отделки со скидкой]]</f>
        <v>0</v>
      </c>
      <c r="AY24" s="3">
        <f>Д402[[#This Row],[Цена м2 с отделкой]]*Д402[[#This Row],[Расчетная проектная площадь]]</f>
        <v>6664000</v>
      </c>
      <c r="AZ24" s="161"/>
      <c r="BA24" s="155" t="s">
        <v>12</v>
      </c>
      <c r="BB24" s="156" t="str" cm="1">
        <f t="array" ref="BB2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" s="161" t="s">
        <v>738</v>
      </c>
      <c r="BD24" s="161" t="s">
        <v>739</v>
      </c>
      <c r="BE24" s="161" t="s">
        <v>737</v>
      </c>
      <c r="BF24" s="161" t="s">
        <v>744</v>
      </c>
      <c r="BG24" s="161" t="b">
        <f>EXACT(Д402[[#This Row],[Статусы CRM]],Д402[[#This Row],[Статус]])</f>
        <v>1</v>
      </c>
      <c r="BH24" s="3">
        <f>IF(Д402[[#This Row],[ПС]]=0,IF(Д402[[#This Row],[ДС]]=0,Д402[[#This Row],[ТС]],Д402[[#This Row],[ДС]]),Д402[[#This Row],[ПС]])</f>
        <v>6664000</v>
      </c>
      <c r="BI24" s="3">
        <v>6664000</v>
      </c>
      <c r="BJ24" s="3">
        <v>0</v>
      </c>
      <c r="BK24" s="3">
        <v>0</v>
      </c>
      <c r="BL24" s="273">
        <f>Д402[[#This Row],[Стоимость CRM]]-Д402[[#This Row],[Стоимость до скидки]]</f>
        <v>0</v>
      </c>
      <c r="BM24" s="161" t="s">
        <v>9</v>
      </c>
      <c r="BN24" s="161" t="b">
        <f>Д402[[#This Row],[Отделка CRM]]=Д402[[#This Row],[Отделка]]</f>
        <v>1</v>
      </c>
      <c r="BO24" s="275" t="s">
        <v>156</v>
      </c>
      <c r="BP24" s="69"/>
    </row>
    <row r="25" spans="1:68" ht="12" customHeight="1" x14ac:dyDescent="0.25">
      <c r="A25" s="140">
        <v>23</v>
      </c>
      <c r="B25" s="15">
        <v>1</v>
      </c>
      <c r="C25" s="141">
        <f t="shared" si="0"/>
        <v>5</v>
      </c>
      <c r="D25" s="142">
        <v>5</v>
      </c>
      <c r="E25" s="141">
        <v>1</v>
      </c>
      <c r="F25" s="143">
        <v>13.06</v>
      </c>
      <c r="G25" s="143"/>
      <c r="H25" s="143"/>
      <c r="I25" s="144">
        <f>SUM(Д402[[#This Row],[Комната 1]:[Комната 3]])</f>
        <v>13.06</v>
      </c>
      <c r="J25" s="145">
        <v>15.1</v>
      </c>
      <c r="K25" s="145">
        <v>4.4400000000000004</v>
      </c>
      <c r="L25" s="145"/>
      <c r="M25" s="145">
        <v>2.9</v>
      </c>
      <c r="N25" s="145"/>
      <c r="O25" s="145">
        <v>3.02</v>
      </c>
      <c r="P25" s="145"/>
      <c r="Q25" s="146"/>
      <c r="R25" s="146">
        <f>SUM(Д402[[#This Row],[Лоджия 1]:[Лоджия 3]])</f>
        <v>3.02</v>
      </c>
      <c r="S25" s="10">
        <f>ROUND(SUM(Д402[[#This Row],[Площадь по проекту жилая]:[Лоджия 3]]),2)</f>
        <v>38.520000000000003</v>
      </c>
      <c r="T25" s="10">
        <f>ROUND(Д402[[#This Row],[Площадь по проекту(общая)]]-Д402[[#This Row],[Летние]],2)</f>
        <v>35.5</v>
      </c>
      <c r="U25" s="10">
        <f>ROUND(Д402[[#This Row],[Площадь по проекту(общая)]]-(SUM(Д402[[#This Row],[Лоджия 1]:[Лоджия 3]])/2),2)</f>
        <v>37.01</v>
      </c>
      <c r="V25" s="10">
        <f>VLOOKUP(Д402[[#This Row],[№]],наценка7[],COLUMN(наценка7[[#This Row],[Цена м2 с учетом всех K]]),0)</f>
        <v>126415.6</v>
      </c>
      <c r="W25" s="159">
        <f>2%*Д402[[#This Row],[м2 после К]]</f>
        <v>2528.3120000000004</v>
      </c>
      <c r="X25" s="10">
        <f>Д402[[#This Row],[м2 после К]]+Д402[[#This Row],[02.12.2024]]</f>
        <v>128943.91200000001</v>
      </c>
      <c r="Y25" s="149">
        <v>1000</v>
      </c>
      <c r="Z25" s="10">
        <f>Д402[[#This Row],[Фикс 20.12.24]]+Д402[[#This Row],[23.12.24 СП +1000]]</f>
        <v>129943.91200000001</v>
      </c>
      <c r="AA25" s="149">
        <v>215</v>
      </c>
      <c r="AB25" s="10">
        <f>Д402[[#This Row],[Фикс 23.12.24]]+Д402[[#This Row],[Повышение 20.02.25]]</f>
        <v>130158.91200000001</v>
      </c>
      <c r="AC25" s="149">
        <v>17.5</v>
      </c>
      <c r="AD25" s="10">
        <f>Д402[[#This Row],[Фикс 20.02.25]]+Д402[[#This Row],[Повышение 24.02.2025]]</f>
        <v>130176.41200000001</v>
      </c>
      <c r="AE25" s="10"/>
      <c r="AF25" s="10">
        <f>Д402[[#This Row],[Фикс 24.02.25]]+Д402[[#This Row],[Повышение 05.03.2025
1К: до 40м - 1,5%, 40+ 0,5%
2К - 0,5% ]]</f>
        <v>130176.41200000001</v>
      </c>
      <c r="AG25" s="10"/>
      <c r="AH25" s="10">
        <f>Д402[[#This Row],[Фикс 05.03.25]]+Д402[[#This Row],[повышение 14.03.25 1К-1%]]</f>
        <v>130176.41200000001</v>
      </c>
      <c r="AI25" s="10"/>
      <c r="AJ25" s="10">
        <f>Д402[[#This Row],[Фикс 14.03.25]]+Д402[[#This Row],[повышение 28.03.25 1К-1%]]</f>
        <v>130176.41200000001</v>
      </c>
      <c r="AK25" s="10"/>
      <c r="AL25" s="10">
        <f>Д402[[#This Row],[Фикс 28.03.25]]+Д402[[#This Row],[Повышение 23.07.25
1К 43-46м2 - 2%
2К 55-58 - 2%; 58-64 - 3%
3К 76-79 - 2%
]]</f>
        <v>130176.41200000001</v>
      </c>
      <c r="AM25" s="149">
        <f>ROUND(Д402[[#This Row],[Фикс 23.07.25]],2)</f>
        <v>130176.41</v>
      </c>
      <c r="AN25" s="149">
        <f>ROUNDUP(Д402[[#This Row],[утв цена м2]]*Д402[[#This Row],[Расчетная проектная площадь]],-2)</f>
        <v>4817900</v>
      </c>
      <c r="AO25" s="151"/>
      <c r="AP25" s="152">
        <v>0.03</v>
      </c>
      <c r="AQ25" s="151">
        <f>Д402[[#This Row],[Стоимость до скидки]]*Д402[[#This Row],[Скидка %]]+Д402[[#This Row],[Скидка фиксированная]]</f>
        <v>144537</v>
      </c>
      <c r="AR25" s="3">
        <f>Д402[[#This Row],[Стоимость ОН без отделки со скидкой]]/Д402[[#This Row],[Расчетная проектная площадь]]</f>
        <v>126272.98027560119</v>
      </c>
      <c r="AS25" s="3">
        <f>Д402[[#This Row],[Стоимость до скидки]]-Д402[[#This Row],[Итоговая сумма скидки]]</f>
        <v>4673363</v>
      </c>
      <c r="AT2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5" s="153">
        <v>10000</v>
      </c>
      <c r="AV25" s="153"/>
      <c r="AW25" s="3">
        <f>Д402[[#This Row],[Цена м2 без отделки со скидкой]]+Д402[[#This Row],[Стоимость отделки]]</f>
        <v>136272.98027560121</v>
      </c>
      <c r="AX25" s="3">
        <f>Д402[[#This Row],[Стоимость квартиры с отделкой]]-Д402[[#This Row],[Стоимость ОН без отделки со скидкой]]</f>
        <v>370100</v>
      </c>
      <c r="AY25" s="3">
        <f>Д402[[#This Row],[Цена м2 с отделкой]]*Д402[[#This Row],[Расчетная проектная площадь]]</f>
        <v>5043463</v>
      </c>
      <c r="AZ25" s="161" t="s">
        <v>133</v>
      </c>
      <c r="BA25" s="277" t="s">
        <v>426</v>
      </c>
      <c r="BB25" s="269" t="str" cm="1">
        <f t="array" ref="BB2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" s="161" t="s">
        <v>741</v>
      </c>
      <c r="BD25" s="161" t="s">
        <v>506</v>
      </c>
      <c r="BE25" s="161" t="s">
        <v>737</v>
      </c>
      <c r="BF25" s="161" t="s">
        <v>745</v>
      </c>
      <c r="BG25" s="161" t="b">
        <f>EXACT(Д402[[#This Row],[Статусы CRM]],Д402[[#This Row],[Статус]])</f>
        <v>1</v>
      </c>
      <c r="BH25" s="3">
        <f>IF(Д402[[#This Row],[ПС]]=0,IF(Д402[[#This Row],[ДС]]=0,Д402[[#This Row],[ТС]],Д402[[#This Row],[ДС]]),Д402[[#This Row],[ПС]])</f>
        <v>4817900</v>
      </c>
      <c r="BI25" s="3" t="s">
        <v>749</v>
      </c>
      <c r="BJ25" s="3">
        <v>4817900</v>
      </c>
      <c r="BK25" s="3">
        <v>4817900</v>
      </c>
      <c r="BL25" s="273">
        <f>Д402[[#This Row],[Стоимость CRM]]-Д402[[#This Row],[Стоимость до скидки]]</f>
        <v>0</v>
      </c>
      <c r="BM25" s="161" t="s">
        <v>718</v>
      </c>
      <c r="BN25" s="161" t="b">
        <f>Д402[[#This Row],[Отделка CRM]]=Д402[[#This Row],[Отделка]]</f>
        <v>1</v>
      </c>
      <c r="BO25" s="275" t="s">
        <v>157</v>
      </c>
      <c r="BP25" s="69"/>
    </row>
    <row r="26" spans="1:68" ht="12" customHeight="1" x14ac:dyDescent="0.25">
      <c r="A26" s="140">
        <v>24</v>
      </c>
      <c r="B26" s="15">
        <v>1</v>
      </c>
      <c r="C26" s="141">
        <f t="shared" si="0"/>
        <v>5</v>
      </c>
      <c r="D26" s="142">
        <v>6</v>
      </c>
      <c r="E26" s="141">
        <v>1</v>
      </c>
      <c r="F26" s="143">
        <v>14.57</v>
      </c>
      <c r="G26" s="143"/>
      <c r="H26" s="143"/>
      <c r="I26" s="144">
        <f>SUM(Д402[[#This Row],[Комната 1]:[Комната 3]])</f>
        <v>14.57</v>
      </c>
      <c r="J26" s="145">
        <v>16.93</v>
      </c>
      <c r="K26" s="145">
        <v>4.46</v>
      </c>
      <c r="L26" s="145"/>
      <c r="M26" s="145">
        <v>7.75</v>
      </c>
      <c r="N26" s="145"/>
      <c r="O26" s="145">
        <v>3.1</v>
      </c>
      <c r="P26" s="145"/>
      <c r="Q26" s="146"/>
      <c r="R26" s="146">
        <f>SUM(Д402[[#This Row],[Лоджия 1]:[Лоджия 3]])</f>
        <v>3.1</v>
      </c>
      <c r="S26" s="10">
        <f>ROUND(SUM(Д402[[#This Row],[Площадь по проекту жилая]:[Лоджия 3]]),2)</f>
        <v>46.81</v>
      </c>
      <c r="T26" s="10">
        <f>ROUND(Д402[[#This Row],[Площадь по проекту(общая)]]-Д402[[#This Row],[Летние]],2)</f>
        <v>43.71</v>
      </c>
      <c r="U26" s="10">
        <f>ROUND(Д402[[#This Row],[Площадь по проекту(общая)]]-(SUM(Д402[[#This Row],[Лоджия 1]:[Лоджия 3]])/2),2)</f>
        <v>45.26</v>
      </c>
      <c r="V26" s="10">
        <f>VLOOKUP(Д402[[#This Row],[№]],наценка7[],COLUMN(наценка7[[#This Row],[Цена м2 с учетом всех K]]),0)</f>
        <v>122837.8</v>
      </c>
      <c r="W26" s="162"/>
      <c r="X26" s="10">
        <f>Д402[[#This Row],[м2 после К]]+Д402[[#This Row],[02.12.2024]]</f>
        <v>122837.8</v>
      </c>
      <c r="Y26" s="149">
        <v>1000</v>
      </c>
      <c r="Z26" s="10">
        <f>Д402[[#This Row],[Фикс 20.12.24]]+Д402[[#This Row],[23.12.24 СП +1000]]</f>
        <v>123837.8</v>
      </c>
      <c r="AA26" s="149">
        <v>215</v>
      </c>
      <c r="AB26" s="10">
        <f>Д402[[#This Row],[Фикс 23.12.24]]+Д402[[#This Row],[Повышение 20.02.25]]</f>
        <v>124052.8</v>
      </c>
      <c r="AC26" s="149">
        <v>17.5</v>
      </c>
      <c r="AD26" s="10">
        <f>Д402[[#This Row],[Фикс 20.02.25]]+Д402[[#This Row],[Повышение 24.02.2025]]</f>
        <v>124070.3</v>
      </c>
      <c r="AE26" s="149">
        <f>Д402[[#This Row],[Фикс 24.02.25]]*0.5%</f>
        <v>620.35149999999999</v>
      </c>
      <c r="AF26" s="10">
        <f>Д402[[#This Row],[Фикс 24.02.25]]+Д402[[#This Row],[Повышение 05.03.2025
1К: до 40м - 1,5%, 40+ 0,5%
2К - 0,5% ]]</f>
        <v>124690.65150000001</v>
      </c>
      <c r="AG26" s="149">
        <f>Д402[[#This Row],[Фикс 05.03.25]]*1%</f>
        <v>1246.9065150000001</v>
      </c>
      <c r="AH26" s="10">
        <f>Д402[[#This Row],[Фикс 05.03.25]]+Д402[[#This Row],[повышение 14.03.25 1К-1%]]</f>
        <v>125937.558015</v>
      </c>
      <c r="AI26" s="149">
        <f>Д402[[#This Row],[Фикс 14.03.25]]*1%</f>
        <v>1259.3755801500001</v>
      </c>
      <c r="AJ26" s="10">
        <f>Д402[[#This Row],[Фикс 14.03.25]]+Д402[[#This Row],[повышение 28.03.25 1К-1%]]</f>
        <v>127196.93359515</v>
      </c>
      <c r="AK26" s="149">
        <f>Д402[[#This Row],[Фикс 28.03.25]]*2%</f>
        <v>2543.9386719029999</v>
      </c>
      <c r="AL26" s="10">
        <f>Д402[[#This Row],[Фикс 28.03.25]]+Д402[[#This Row],[Повышение 23.07.25
1К 43-46м2 - 2%
2К 55-58 - 2%; 58-64 - 3%
3К 76-79 - 2%
]]</f>
        <v>129740.872267053</v>
      </c>
      <c r="AM26" s="149">
        <f>ROUND(Д402[[#This Row],[Фикс 23.07.25]],2)</f>
        <v>129740.87</v>
      </c>
      <c r="AN26" s="149">
        <f>ROUNDUP(Д402[[#This Row],[утв цена м2]]*Д402[[#This Row],[Расчетная проектная площадь]],-2)</f>
        <v>5872100</v>
      </c>
      <c r="AO26" s="151"/>
      <c r="AP26" s="152"/>
      <c r="AQ26" s="151">
        <f>Д402[[#This Row],[Стоимость до скидки]]*Д402[[#This Row],[Скидка %]]+Д402[[#This Row],[Скидка фиксированная]]</f>
        <v>0</v>
      </c>
      <c r="AR26" s="3">
        <f>Д402[[#This Row],[Стоимость ОН без отделки со скидкой]]/Д402[[#This Row],[Расчетная проектная площадь]]</f>
        <v>129741.49359257623</v>
      </c>
      <c r="AS26" s="3">
        <f>Д402[[#This Row],[Стоимость до скидки]]-Д402[[#This Row],[Итоговая сумма скидки]]</f>
        <v>5872100</v>
      </c>
      <c r="AT2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" s="153"/>
      <c r="AV26" s="153"/>
      <c r="AW26" s="3">
        <f>Д402[[#This Row],[Цена м2 без отделки со скидкой]]+Д402[[#This Row],[Стоимость отделки]]</f>
        <v>129741.49359257623</v>
      </c>
      <c r="AX26" s="3">
        <f>Д402[[#This Row],[Стоимость квартиры с отделкой]]-Д402[[#This Row],[Стоимость ОН без отделки со скидкой]]</f>
        <v>0</v>
      </c>
      <c r="AY26" s="3">
        <f>Д402[[#This Row],[Цена м2 с отделкой]]*Д402[[#This Row],[Расчетная проектная площадь]]</f>
        <v>5872100</v>
      </c>
      <c r="AZ26" s="161"/>
      <c r="BA26" s="155" t="s">
        <v>12</v>
      </c>
      <c r="BB26" s="156" t="str" cm="1">
        <f t="array" ref="BB2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6" s="161" t="s">
        <v>738</v>
      </c>
      <c r="BD26" s="161" t="s">
        <v>739</v>
      </c>
      <c r="BE26" s="161" t="s">
        <v>737</v>
      </c>
      <c r="BF26" s="161" t="s">
        <v>745</v>
      </c>
      <c r="BG26" s="161" t="b">
        <f>EXACT(Д402[[#This Row],[Статусы CRM]],Д402[[#This Row],[Статус]])</f>
        <v>1</v>
      </c>
      <c r="BH26" s="3">
        <f>IF(Д402[[#This Row],[ПС]]=0,IF(Д402[[#This Row],[ДС]]=0,Д402[[#This Row],[ТС]],Д402[[#This Row],[ДС]]),Д402[[#This Row],[ПС]])</f>
        <v>5872100</v>
      </c>
      <c r="BI26" s="3">
        <v>5872100</v>
      </c>
      <c r="BJ26" s="3">
        <v>0</v>
      </c>
      <c r="BK26" s="3">
        <v>0</v>
      </c>
      <c r="BL26" s="273">
        <f>Д402[[#This Row],[Стоимость CRM]]-Д402[[#This Row],[Стоимость до скидки]]</f>
        <v>0</v>
      </c>
      <c r="BM26" s="161" t="s">
        <v>9</v>
      </c>
      <c r="BN26" s="161" t="b">
        <f>Д402[[#This Row],[Отделка CRM]]=Д402[[#This Row],[Отделка]]</f>
        <v>1</v>
      </c>
      <c r="BO26" s="275" t="s">
        <v>158</v>
      </c>
      <c r="BP26" s="69"/>
    </row>
    <row r="27" spans="1:68" ht="12" customHeight="1" x14ac:dyDescent="0.25">
      <c r="A27" s="140">
        <v>25</v>
      </c>
      <c r="B27" s="15">
        <v>1</v>
      </c>
      <c r="C27" s="141">
        <f t="shared" si="0"/>
        <v>6</v>
      </c>
      <c r="D27" s="142">
        <v>1</v>
      </c>
      <c r="E27" s="141">
        <v>0</v>
      </c>
      <c r="F27" s="143">
        <v>14.66</v>
      </c>
      <c r="G27" s="143"/>
      <c r="H27" s="143"/>
      <c r="I27" s="144">
        <f>SUM(Д402[[#This Row],[Комната 1]:[Комната 3]])</f>
        <v>14.66</v>
      </c>
      <c r="J27" s="145">
        <v>6.15</v>
      </c>
      <c r="K27" s="145">
        <v>5.0199999999999996</v>
      </c>
      <c r="L27" s="145"/>
      <c r="M27" s="145">
        <v>3.86</v>
      </c>
      <c r="N27" s="145"/>
      <c r="O27" s="145"/>
      <c r="P27" s="145"/>
      <c r="Q27" s="146"/>
      <c r="R27" s="146">
        <f>SUM(Д402[[#This Row],[Лоджия 1]:[Лоджия 3]])</f>
        <v>0</v>
      </c>
      <c r="S27" s="149">
        <f>ROUND(SUM(Д402[[#This Row],[Площадь по проекту жилая]:[Лоджия 3]]),2)</f>
        <v>29.69</v>
      </c>
      <c r="T27" s="149">
        <f>ROUND(Д402[[#This Row],[Площадь по проекту(общая)]]-Д402[[#This Row],[Летние]],2)</f>
        <v>29.69</v>
      </c>
      <c r="U27" s="149">
        <f>ROUND(Д402[[#This Row],[Площадь по проекту(общая)]]-(SUM(Д402[[#This Row],[Лоджия 1]:[Лоджия 3]])/2),2)</f>
        <v>29.69</v>
      </c>
      <c r="V27" s="149">
        <f>VLOOKUP(Д402[[#This Row],[№]],наценка7[],COLUMN(наценка7[[#This Row],[Цена м2 с учетом всех K]]),0)</f>
        <v>139730</v>
      </c>
      <c r="W27" s="159">
        <v>200</v>
      </c>
      <c r="X27" s="149">
        <f>Д402[[#This Row],[м2 после К]]+Д402[[#This Row],[02.12.2024]]</f>
        <v>139930</v>
      </c>
      <c r="Y27" s="149">
        <v>1000</v>
      </c>
      <c r="Z27" s="149">
        <f>Д402[[#This Row],[Фикс 20.12.24]]+Д402[[#This Row],[23.12.24 СП +1000]]</f>
        <v>140930</v>
      </c>
      <c r="AA27" s="149">
        <v>215</v>
      </c>
      <c r="AB27" s="149">
        <f>Д402[[#This Row],[Фикс 23.12.24]]+Д402[[#This Row],[Повышение 20.02.25]]</f>
        <v>141145</v>
      </c>
      <c r="AC27" s="149">
        <v>17.5</v>
      </c>
      <c r="AD27" s="149">
        <f>Д402[[#This Row],[Фикс 20.02.25]]+Д402[[#This Row],[Повышение 24.02.2025]]</f>
        <v>141162.5</v>
      </c>
      <c r="AE27" s="149"/>
      <c r="AF27" s="149">
        <f>Д402[[#This Row],[Фикс 24.02.25]]+Д402[[#This Row],[Повышение 05.03.2025
1К: до 40м - 1,5%, 40+ 0,5%
2К - 0,5% ]]</f>
        <v>141162.5</v>
      </c>
      <c r="AG27" s="149"/>
      <c r="AH27" s="149">
        <f>Д402[[#This Row],[Фикс 05.03.25]]+Д402[[#This Row],[повышение 14.03.25 1К-1%]]</f>
        <v>141162.5</v>
      </c>
      <c r="AI27" s="149"/>
      <c r="AJ27" s="149">
        <f>Д402[[#This Row],[Фикс 14.03.25]]+Д402[[#This Row],[повышение 28.03.25 1К-1%]]</f>
        <v>141162.5</v>
      </c>
      <c r="AK27" s="149"/>
      <c r="AL27" s="149">
        <f>Д402[[#This Row],[Фикс 28.03.25]]+Д402[[#This Row],[Повышение 23.07.25
1К 43-46м2 - 2%
2К 55-58 - 2%; 58-64 - 3%
3К 76-79 - 2%
]]</f>
        <v>141162.5</v>
      </c>
      <c r="AM27" s="149">
        <f>ROUND(Д402[[#This Row],[Фикс 23.07.25]],2)</f>
        <v>141162.5</v>
      </c>
      <c r="AN27" s="149">
        <f>ROUNDUP(Д402[[#This Row],[утв цена м2]]*Д402[[#This Row],[Расчетная проектная площадь]],-2)</f>
        <v>4191200</v>
      </c>
      <c r="AO27" s="151"/>
      <c r="AP27" s="152"/>
      <c r="AQ27" s="151">
        <f>Д402[[#This Row],[Стоимость до скидки]]*Д402[[#This Row],[Скидка %]]+Д402[[#This Row],[Скидка фиксированная]]</f>
        <v>0</v>
      </c>
      <c r="AR27" s="3">
        <f>Д402[[#This Row],[Стоимость ОН без отделки со скидкой]]/Д402[[#This Row],[Расчетная проектная площадь]]</f>
        <v>141165.37554732233</v>
      </c>
      <c r="AS27" s="3">
        <f>Д402[[#This Row],[Стоимость до скидки]]-Д402[[#This Row],[Итоговая сумма скидки]]</f>
        <v>4191200</v>
      </c>
      <c r="AT2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7" s="153">
        <v>30000</v>
      </c>
      <c r="AV27" s="153" t="s">
        <v>722</v>
      </c>
      <c r="AW27" s="3">
        <f>Д402[[#This Row],[Цена м2 без отделки со скидкой]]+Д402[[#This Row],[Стоимость отделки]]</f>
        <v>171165.37554732233</v>
      </c>
      <c r="AX27" s="3">
        <f>Д402[[#This Row],[Стоимость квартиры с отделкой]]-Д402[[#This Row],[Стоимость ОН без отделки со скидкой]]</f>
        <v>890700</v>
      </c>
      <c r="AY27" s="3">
        <f>Д402[[#This Row],[Цена м2 с отделкой]]*Д402[[#This Row],[Расчетная проектная площадь]]</f>
        <v>5081900</v>
      </c>
      <c r="AZ27" s="161"/>
      <c r="BA27" s="269" t="s">
        <v>128</v>
      </c>
      <c r="BB27" s="269" t="str" cm="1">
        <f t="array" ref="BB2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7" s="161" t="s">
        <v>740</v>
      </c>
      <c r="BD27" s="161" t="s">
        <v>506</v>
      </c>
      <c r="BE27" s="161" t="s">
        <v>737</v>
      </c>
      <c r="BF27" s="161" t="s">
        <v>743</v>
      </c>
      <c r="BG27" s="161" t="b">
        <f>EXACT(Д402[[#This Row],[Статусы CRM]],Д402[[#This Row],[Статус]])</f>
        <v>1</v>
      </c>
      <c r="BH27" s="3">
        <f>IF(Д402[[#This Row],[ПС]]=0,IF(Д402[[#This Row],[ДС]]=0,Д402[[#This Row],[ТС]],Д402[[#This Row],[ДС]]),Д402[[#This Row],[ПС]])</f>
        <v>4191200</v>
      </c>
      <c r="BI27" s="3">
        <v>4191200</v>
      </c>
      <c r="BJ27" s="3">
        <v>0</v>
      </c>
      <c r="BK27" s="3">
        <v>0</v>
      </c>
      <c r="BL27" s="273">
        <f>Д402[[#This Row],[Стоимость CRM]]-Д402[[#This Row],[Стоимость до скидки]]</f>
        <v>0</v>
      </c>
      <c r="BM27" s="161" t="s">
        <v>11</v>
      </c>
      <c r="BN27" s="161" t="b">
        <f>Д402[[#This Row],[Отделка CRM]]=Д402[[#This Row],[Отделка]]</f>
        <v>1</v>
      </c>
      <c r="BO27" s="275" t="s">
        <v>159</v>
      </c>
      <c r="BP27" s="69"/>
    </row>
    <row r="28" spans="1:68" ht="12" customHeight="1" x14ac:dyDescent="0.25">
      <c r="A28" s="140">
        <v>26</v>
      </c>
      <c r="B28" s="15">
        <v>1</v>
      </c>
      <c r="C28" s="141">
        <f t="shared" si="0"/>
        <v>6</v>
      </c>
      <c r="D28" s="142">
        <v>2</v>
      </c>
      <c r="E28" s="141">
        <v>2</v>
      </c>
      <c r="F28" s="143">
        <v>16.100000000000001</v>
      </c>
      <c r="G28" s="143">
        <v>10.8</v>
      </c>
      <c r="H28" s="143"/>
      <c r="I28" s="144">
        <f>SUM(Д402[[#This Row],[Комната 1]:[Комната 3]])</f>
        <v>26.900000000000002</v>
      </c>
      <c r="J28" s="145">
        <v>17.7</v>
      </c>
      <c r="K28" s="145">
        <v>4.25</v>
      </c>
      <c r="L28" s="145"/>
      <c r="M28" s="145">
        <v>9.68</v>
      </c>
      <c r="N28" s="145"/>
      <c r="O28" s="145">
        <v>3.15</v>
      </c>
      <c r="P28" s="145"/>
      <c r="Q28" s="146"/>
      <c r="R28" s="146">
        <f>SUM(Д402[[#This Row],[Лоджия 1]:[Лоджия 3]])</f>
        <v>3.15</v>
      </c>
      <c r="S28" s="149">
        <f>ROUND(SUM(Д402[[#This Row],[Площадь по проекту жилая]:[Лоджия 3]]),2)</f>
        <v>61.68</v>
      </c>
      <c r="T28" s="149">
        <f>ROUND(Д402[[#This Row],[Площадь по проекту(общая)]]-Д402[[#This Row],[Летние]],2)</f>
        <v>58.53</v>
      </c>
      <c r="U28" s="149">
        <f>ROUND(Д402[[#This Row],[Площадь по проекту(общая)]]-(SUM(Д402[[#This Row],[Лоджия 1]:[Лоджия 3]])/2),2)</f>
        <v>60.11</v>
      </c>
      <c r="V28" s="149">
        <f>VLOOKUP(Д402[[#This Row],[№]],наценка7[],COLUMN(наценка7[[#This Row],[Цена м2 с учетом всех K]]),0)</f>
        <v>119811.8</v>
      </c>
      <c r="W28" s="159"/>
      <c r="X28" s="149">
        <f>Д402[[#This Row],[м2 после К]]+Д402[[#This Row],[02.12.2024]]</f>
        <v>119811.8</v>
      </c>
      <c r="Y28" s="149">
        <v>1000</v>
      </c>
      <c r="Z28" s="149">
        <f>Д402[[#This Row],[Фикс 20.12.24]]+Д402[[#This Row],[23.12.24 СП +1000]]</f>
        <v>120811.8</v>
      </c>
      <c r="AA28" s="149">
        <v>215</v>
      </c>
      <c r="AB28" s="149">
        <f>Д402[[#This Row],[Фикс 23.12.24]]+Д402[[#This Row],[Повышение 20.02.25]]</f>
        <v>121026.8</v>
      </c>
      <c r="AC28" s="149">
        <v>17.5</v>
      </c>
      <c r="AD28" s="149">
        <f>Д402[[#This Row],[Фикс 20.02.25]]+Д402[[#This Row],[Повышение 24.02.2025]]</f>
        <v>121044.3</v>
      </c>
      <c r="AE28" s="149">
        <f>Д402[[#This Row],[Фикс 24.02.25]]*0.5%</f>
        <v>605.22149999999999</v>
      </c>
      <c r="AF28" s="149">
        <f>Д402[[#This Row],[Фикс 24.02.25]]+Д402[[#This Row],[Повышение 05.03.2025
1К: до 40м - 1,5%, 40+ 0,5%
2К - 0,5% ]]</f>
        <v>121649.5215</v>
      </c>
      <c r="AG28" s="149"/>
      <c r="AH28" s="149">
        <f>Д402[[#This Row],[Фикс 05.03.25]]+Д402[[#This Row],[повышение 14.03.25 1К-1%]]</f>
        <v>121649.5215</v>
      </c>
      <c r="AI28" s="149"/>
      <c r="AJ28" s="149">
        <f>Д402[[#This Row],[Фикс 14.03.25]]+Д402[[#This Row],[повышение 28.03.25 1К-1%]]</f>
        <v>121649.5215</v>
      </c>
      <c r="AK28" s="10">
        <f>Д402[[#This Row],[Фикс 28.03.25]]*3%</f>
        <v>3649.4856449999997</v>
      </c>
      <c r="AL28" s="149">
        <f>Д402[[#This Row],[Фикс 28.03.25]]+Д402[[#This Row],[Повышение 23.07.25
1К 43-46м2 - 2%
2К 55-58 - 2%; 58-64 - 3%
3К 76-79 - 2%
]]</f>
        <v>125299.007145</v>
      </c>
      <c r="AM28" s="149">
        <f>ROUND(Д402[[#This Row],[Фикс 23.07.25]],2)</f>
        <v>125299.01</v>
      </c>
      <c r="AN28" s="149">
        <f>ROUNDUP(Д402[[#This Row],[утв цена м2]]*Д402[[#This Row],[Расчетная проектная площадь]],-2)</f>
        <v>7531800</v>
      </c>
      <c r="AO28" s="151"/>
      <c r="AP28" s="152"/>
      <c r="AQ28" s="151">
        <f>Д402[[#This Row],[Стоимость до скидки]]*Д402[[#This Row],[Скидка %]]+Д402[[#This Row],[Скидка фиксированная]]</f>
        <v>0</v>
      </c>
      <c r="AR28" s="3">
        <f>Д402[[#This Row],[Стоимость ОН без отделки со скидкой]]/Д402[[#This Row],[Расчетная проектная площадь]]</f>
        <v>125300.28281483946</v>
      </c>
      <c r="AS28" s="3">
        <f>Д402[[#This Row],[Стоимость до скидки]]-Д402[[#This Row],[Итоговая сумма скидки]]</f>
        <v>7531800</v>
      </c>
      <c r="AT2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" s="153"/>
      <c r="AV28" s="153"/>
      <c r="AW28" s="3">
        <f>Д402[[#This Row],[Цена м2 без отделки со скидкой]]+Д402[[#This Row],[Стоимость отделки]]</f>
        <v>125300.28281483946</v>
      </c>
      <c r="AX28" s="3">
        <f>Д402[[#This Row],[Стоимость квартиры с отделкой]]-Д402[[#This Row],[Стоимость ОН без отделки со скидкой]]</f>
        <v>0</v>
      </c>
      <c r="AY28" s="3">
        <f>Д402[[#This Row],[Цена м2 с отделкой]]*Д402[[#This Row],[Расчетная проектная площадь]]</f>
        <v>7531800</v>
      </c>
      <c r="AZ28" s="161"/>
      <c r="BA28" s="155" t="s">
        <v>12</v>
      </c>
      <c r="BB28" s="156" t="str" cm="1">
        <f t="array" ref="BB2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8" s="161" t="s">
        <v>738</v>
      </c>
      <c r="BD28" s="161" t="s">
        <v>739</v>
      </c>
      <c r="BE28" s="161" t="s">
        <v>737</v>
      </c>
      <c r="BF28" s="161" t="s">
        <v>744</v>
      </c>
      <c r="BG28" s="161" t="b">
        <f>EXACT(Д402[[#This Row],[Статусы CRM]],Д402[[#This Row],[Статус]])</f>
        <v>1</v>
      </c>
      <c r="BH28" s="3">
        <f>IF(Д402[[#This Row],[ПС]]=0,IF(Д402[[#This Row],[ДС]]=0,Д402[[#This Row],[ТС]],Д402[[#This Row],[ДС]]),Д402[[#This Row],[ПС]])</f>
        <v>7531800</v>
      </c>
      <c r="BI28" s="3">
        <v>7531800</v>
      </c>
      <c r="BJ28" s="3">
        <v>0</v>
      </c>
      <c r="BK28" s="3">
        <v>0</v>
      </c>
      <c r="BL28" s="273">
        <f>Д402[[#This Row],[Стоимость CRM]]-Д402[[#This Row],[Стоимость до скидки]]</f>
        <v>0</v>
      </c>
      <c r="BM28" s="161" t="s">
        <v>9</v>
      </c>
      <c r="BN28" s="161" t="b">
        <f>Д402[[#This Row],[Отделка CRM]]=Д402[[#This Row],[Отделка]]</f>
        <v>1</v>
      </c>
      <c r="BO28" s="275" t="s">
        <v>160</v>
      </c>
      <c r="BP28" s="69"/>
    </row>
    <row r="29" spans="1:68" ht="12" customHeight="1" x14ac:dyDescent="0.25">
      <c r="A29" s="140">
        <v>27</v>
      </c>
      <c r="B29" s="15">
        <v>1</v>
      </c>
      <c r="C29" s="141">
        <f t="shared" si="0"/>
        <v>6</v>
      </c>
      <c r="D29" s="142">
        <v>3</v>
      </c>
      <c r="E29" s="141">
        <v>2</v>
      </c>
      <c r="F29" s="143">
        <v>16.41</v>
      </c>
      <c r="G29" s="143">
        <v>12.19</v>
      </c>
      <c r="H29" s="143"/>
      <c r="I29" s="144">
        <f>SUM(Д402[[#This Row],[Комната 1]:[Комната 3]])</f>
        <v>28.6</v>
      </c>
      <c r="J29" s="145">
        <v>14.62</v>
      </c>
      <c r="K29" s="145">
        <v>3.86</v>
      </c>
      <c r="L29" s="145"/>
      <c r="M29" s="145">
        <v>6.1</v>
      </c>
      <c r="N29" s="145"/>
      <c r="O29" s="145">
        <v>3.33</v>
      </c>
      <c r="P29" s="145"/>
      <c r="Q29" s="146"/>
      <c r="R29" s="146">
        <f>SUM(Д402[[#This Row],[Лоджия 1]:[Лоджия 3]])</f>
        <v>3.33</v>
      </c>
      <c r="S29" s="10">
        <f>ROUND(SUM(Д402[[#This Row],[Площадь по проекту жилая]:[Лоджия 3]]),2)</f>
        <v>56.51</v>
      </c>
      <c r="T29" s="10">
        <f>ROUND(Д402[[#This Row],[Площадь по проекту(общая)]]-Д402[[#This Row],[Летние]],2)</f>
        <v>53.18</v>
      </c>
      <c r="U29" s="10">
        <f>ROUND(Д402[[#This Row],[Площадь по проекту(общая)]]-(SUM(Д402[[#This Row],[Лоджия 1]:[Лоджия 3]])/2),2)</f>
        <v>54.85</v>
      </c>
      <c r="V29" s="10">
        <f>VLOOKUP(Д402[[#This Row],[№]],наценка7[],COLUMN(наценка7[[#This Row],[Цена м2 с учетом всех K]]),0)</f>
        <v>118681.5</v>
      </c>
      <c r="W29" s="162"/>
      <c r="X29" s="10">
        <f>Д402[[#This Row],[м2 после К]]+Д402[[#This Row],[02.12.2024]]</f>
        <v>118681.5</v>
      </c>
      <c r="Y29" s="149">
        <v>1000</v>
      </c>
      <c r="Z29" s="10">
        <f>Д402[[#This Row],[Фикс 20.12.24]]+Д402[[#This Row],[23.12.24 СП +1000]]</f>
        <v>119681.5</v>
      </c>
      <c r="AA29" s="149">
        <v>215</v>
      </c>
      <c r="AB29" s="10">
        <f>Д402[[#This Row],[Фикс 23.12.24]]+Д402[[#This Row],[Повышение 20.02.25]]</f>
        <v>119896.5</v>
      </c>
      <c r="AC29" s="149">
        <v>17.5</v>
      </c>
      <c r="AD29" s="10">
        <f>Д402[[#This Row],[Фикс 20.02.25]]+Д402[[#This Row],[Повышение 24.02.2025]]</f>
        <v>119914</v>
      </c>
      <c r="AE29" s="149">
        <f>Д402[[#This Row],[Фикс 24.02.25]]*0.5%</f>
        <v>599.57000000000005</v>
      </c>
      <c r="AF29" s="10">
        <f>Д402[[#This Row],[Фикс 24.02.25]]+Д402[[#This Row],[Повышение 05.03.2025
1К: до 40м - 1,5%, 40+ 0,5%
2К - 0,5% ]]</f>
        <v>120513.57</v>
      </c>
      <c r="AG29" s="10"/>
      <c r="AH29" s="10">
        <f>Д402[[#This Row],[Фикс 05.03.25]]+Д402[[#This Row],[повышение 14.03.25 1К-1%]]</f>
        <v>120513.57</v>
      </c>
      <c r="AI29" s="10"/>
      <c r="AJ29" s="10">
        <f>Д402[[#This Row],[Фикс 14.03.25]]+Д402[[#This Row],[повышение 28.03.25 1К-1%]]</f>
        <v>120513.57</v>
      </c>
      <c r="AK29" s="10"/>
      <c r="AL29" s="10">
        <f>Д402[[#This Row],[Фикс 28.03.25]]+Д402[[#This Row],[Повышение 23.07.25
1К 43-46м2 - 2%
2К 55-58 - 2%; 58-64 - 3%
3К 76-79 - 2%
]]</f>
        <v>120513.57</v>
      </c>
      <c r="AM29" s="149">
        <f>ROUND(Д402[[#This Row],[Фикс 23.07.25]],2)</f>
        <v>120513.57</v>
      </c>
      <c r="AN29" s="149">
        <f>ROUNDUP(Д402[[#This Row],[утв цена м2]]*Д402[[#This Row],[Расчетная проектная площадь]],-2)</f>
        <v>6610200</v>
      </c>
      <c r="AO29" s="151"/>
      <c r="AP29" s="152"/>
      <c r="AQ29" s="151">
        <f>Д402[[#This Row],[Стоимость до скидки]]*Д402[[#This Row],[Скидка %]]+Д402[[#This Row],[Скидка фиксированная]]</f>
        <v>0</v>
      </c>
      <c r="AR29" s="3">
        <f>Д402[[#This Row],[Стоимость ОН без отделки со скидкой]]/Д402[[#This Row],[Расчетная проектная площадь]]</f>
        <v>120514.12944393801</v>
      </c>
      <c r="AS29" s="3">
        <f>Д402[[#This Row],[Стоимость до скидки]]-Д402[[#This Row],[Итоговая сумма скидки]]</f>
        <v>6610200</v>
      </c>
      <c r="AT2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9" s="153"/>
      <c r="AV29" s="153"/>
      <c r="AW29" s="3">
        <f>Д402[[#This Row],[Цена м2 без отделки со скидкой]]+Д402[[#This Row],[Стоимость отделки]]</f>
        <v>120514.12944393801</v>
      </c>
      <c r="AX29" s="3">
        <f>Д402[[#This Row],[Стоимость квартиры с отделкой]]-Д402[[#This Row],[Стоимость ОН без отделки со скидкой]]</f>
        <v>0</v>
      </c>
      <c r="AY29" s="3">
        <f>Д402[[#This Row],[Цена м2 с отделкой]]*Д402[[#This Row],[Расчетная проектная площадь]]</f>
        <v>6610200</v>
      </c>
      <c r="AZ29" s="161"/>
      <c r="BA29" s="155" t="s">
        <v>12</v>
      </c>
      <c r="BB29" s="156" t="str" cm="1">
        <f t="array" ref="BB2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9" s="161" t="s">
        <v>738</v>
      </c>
      <c r="BD29" s="161" t="s">
        <v>739</v>
      </c>
      <c r="BE29" s="161" t="s">
        <v>737</v>
      </c>
      <c r="BF29" s="161" t="s">
        <v>744</v>
      </c>
      <c r="BG29" s="161" t="b">
        <f>EXACT(Д402[[#This Row],[Статусы CRM]],Д402[[#This Row],[Статус]])</f>
        <v>1</v>
      </c>
      <c r="BH29" s="3">
        <f>IF(Д402[[#This Row],[ПС]]=0,IF(Д402[[#This Row],[ДС]]=0,Д402[[#This Row],[ТС]],Д402[[#This Row],[ДС]]),Д402[[#This Row],[ПС]])</f>
        <v>6610200</v>
      </c>
      <c r="BI29" s="3">
        <v>6610200</v>
      </c>
      <c r="BJ29" s="3">
        <v>0</v>
      </c>
      <c r="BK29" s="3">
        <v>0</v>
      </c>
      <c r="BL29" s="273">
        <f>Д402[[#This Row],[Стоимость CRM]]-Д402[[#This Row],[Стоимость до скидки]]</f>
        <v>0</v>
      </c>
      <c r="BM29" s="161" t="s">
        <v>9</v>
      </c>
      <c r="BN29" s="161" t="b">
        <f>Д402[[#This Row],[Отделка CRM]]=Д402[[#This Row],[Отделка]]</f>
        <v>1</v>
      </c>
      <c r="BO29" s="275" t="s">
        <v>161</v>
      </c>
      <c r="BP29" s="69"/>
    </row>
    <row r="30" spans="1:68" ht="12" customHeight="1" x14ac:dyDescent="0.25">
      <c r="A30" s="140">
        <v>28</v>
      </c>
      <c r="B30" s="15">
        <v>1</v>
      </c>
      <c r="C30" s="141">
        <f t="shared" si="0"/>
        <v>6</v>
      </c>
      <c r="D30" s="142">
        <v>4</v>
      </c>
      <c r="E30" s="141">
        <v>2</v>
      </c>
      <c r="F30" s="143">
        <v>14.98</v>
      </c>
      <c r="G30" s="143">
        <v>12.28</v>
      </c>
      <c r="H30" s="143"/>
      <c r="I30" s="144">
        <f>SUM(Д402[[#This Row],[Комната 1]:[Комната 3]])</f>
        <v>27.259999999999998</v>
      </c>
      <c r="J30" s="145">
        <v>15.16</v>
      </c>
      <c r="K30" s="145">
        <v>4.4400000000000004</v>
      </c>
      <c r="L30" s="145"/>
      <c r="M30" s="145">
        <v>6.25</v>
      </c>
      <c r="N30" s="145"/>
      <c r="O30" s="145">
        <v>3.33</v>
      </c>
      <c r="P30" s="145"/>
      <c r="Q30" s="146"/>
      <c r="R30" s="146">
        <f>SUM(Д402[[#This Row],[Лоджия 1]:[Лоджия 3]])</f>
        <v>3.33</v>
      </c>
      <c r="S30" s="10">
        <f>ROUND(SUM(Д402[[#This Row],[Площадь по проекту жилая]:[Лоджия 3]]),2)</f>
        <v>56.44</v>
      </c>
      <c r="T30" s="10">
        <f>ROUND(Д402[[#This Row],[Площадь по проекту(общая)]]-Д402[[#This Row],[Летние]],2)</f>
        <v>53.11</v>
      </c>
      <c r="U30" s="10">
        <f>ROUND(Д402[[#This Row],[Площадь по проекту(общая)]]-(SUM(Д402[[#This Row],[Лоджия 1]:[Лоджия 3]])/2),2)</f>
        <v>54.78</v>
      </c>
      <c r="V30" s="10">
        <f>VLOOKUP(Д402[[#This Row],[№]],наценка7[],COLUMN(наценка7[[#This Row],[Цена м2 с учетом всех K]]),0)</f>
        <v>120942.1</v>
      </c>
      <c r="W30" s="162"/>
      <c r="X30" s="10">
        <f>Д402[[#This Row],[м2 после К]]+Д402[[#This Row],[02.12.2024]]</f>
        <v>120942.1</v>
      </c>
      <c r="Y30" s="149">
        <v>1000</v>
      </c>
      <c r="Z30" s="10">
        <f>Д402[[#This Row],[Фикс 20.12.24]]+Д402[[#This Row],[23.12.24 СП +1000]]</f>
        <v>121942.1</v>
      </c>
      <c r="AA30" s="149">
        <v>215</v>
      </c>
      <c r="AB30" s="10">
        <f>Д402[[#This Row],[Фикс 23.12.24]]+Д402[[#This Row],[Повышение 20.02.25]]</f>
        <v>122157.1</v>
      </c>
      <c r="AC30" s="149">
        <v>17.5</v>
      </c>
      <c r="AD30" s="10">
        <f>Д402[[#This Row],[Фикс 20.02.25]]+Д402[[#This Row],[Повышение 24.02.2025]]</f>
        <v>122174.6</v>
      </c>
      <c r="AE30" s="149">
        <f>Д402[[#This Row],[Фикс 24.02.25]]*0.5%</f>
        <v>610.87300000000005</v>
      </c>
      <c r="AF30" s="10">
        <f>Д402[[#This Row],[Фикс 24.02.25]]+Д402[[#This Row],[Повышение 05.03.2025
1К: до 40м - 1,5%, 40+ 0,5%
2К - 0,5% ]]</f>
        <v>122785.47300000001</v>
      </c>
      <c r="AG30" s="10"/>
      <c r="AH30" s="10">
        <f>Д402[[#This Row],[Фикс 05.03.25]]+Д402[[#This Row],[повышение 14.03.25 1К-1%]]</f>
        <v>122785.47300000001</v>
      </c>
      <c r="AI30" s="10"/>
      <c r="AJ30" s="10">
        <f>Д402[[#This Row],[Фикс 14.03.25]]+Д402[[#This Row],[повышение 28.03.25 1К-1%]]</f>
        <v>122785.47300000001</v>
      </c>
      <c r="AK30" s="10"/>
      <c r="AL30" s="10">
        <f>Д402[[#This Row],[Фикс 28.03.25]]+Д402[[#This Row],[Повышение 23.07.25
1К 43-46м2 - 2%
2К 55-58 - 2%; 58-64 - 3%
3К 76-79 - 2%
]]</f>
        <v>122785.47300000001</v>
      </c>
      <c r="AM30" s="149">
        <f>ROUND(Д402[[#This Row],[Фикс 23.07.25]],2)</f>
        <v>122785.47</v>
      </c>
      <c r="AN30" s="149">
        <f>ROUNDUP(Д402[[#This Row],[утв цена м2]]*Д402[[#This Row],[Расчетная проектная площадь]],-2)</f>
        <v>6726200</v>
      </c>
      <c r="AO30" s="151"/>
      <c r="AP30" s="152"/>
      <c r="AQ30" s="151">
        <f>Д402[[#This Row],[Стоимость до скидки]]*Д402[[#This Row],[Скидка %]]+Д402[[#This Row],[Скидка фиксированная]]</f>
        <v>0</v>
      </c>
      <c r="AR30" s="3">
        <f>Д402[[#This Row],[Стоимость ОН без отделки со скидкой]]/Д402[[#This Row],[Расчетная проектная площадь]]</f>
        <v>122785.68820737496</v>
      </c>
      <c r="AS30" s="3">
        <f>Д402[[#This Row],[Стоимость до скидки]]-Д402[[#This Row],[Итоговая сумма скидки]]</f>
        <v>6726200</v>
      </c>
      <c r="AT3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0" s="153"/>
      <c r="AV30" s="153"/>
      <c r="AW30" s="3">
        <f>Д402[[#This Row],[Цена м2 без отделки со скидкой]]+Д402[[#This Row],[Стоимость отделки]]</f>
        <v>122785.68820737496</v>
      </c>
      <c r="AX30" s="3">
        <f>Д402[[#This Row],[Стоимость квартиры с отделкой]]-Д402[[#This Row],[Стоимость ОН без отделки со скидкой]]</f>
        <v>0</v>
      </c>
      <c r="AY30" s="3">
        <f>Д402[[#This Row],[Цена м2 с отделкой]]*Д402[[#This Row],[Расчетная проектная площадь]]</f>
        <v>6726200</v>
      </c>
      <c r="AZ30" s="161"/>
      <c r="BA30" s="155" t="s">
        <v>12</v>
      </c>
      <c r="BB30" s="156" t="str" cm="1">
        <f t="array" ref="BB3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30" s="161" t="s">
        <v>738</v>
      </c>
      <c r="BD30" s="161" t="s">
        <v>739</v>
      </c>
      <c r="BE30" s="161" t="s">
        <v>737</v>
      </c>
      <c r="BF30" s="161" t="s">
        <v>744</v>
      </c>
      <c r="BG30" s="161" t="b">
        <f>EXACT(Д402[[#This Row],[Статусы CRM]],Д402[[#This Row],[Статус]])</f>
        <v>1</v>
      </c>
      <c r="BH30" s="3">
        <f>IF(Д402[[#This Row],[ПС]]=0,IF(Д402[[#This Row],[ДС]]=0,Д402[[#This Row],[ТС]],Д402[[#This Row],[ДС]]),Д402[[#This Row],[ПС]])</f>
        <v>6726200</v>
      </c>
      <c r="BI30" s="3">
        <v>6726200</v>
      </c>
      <c r="BJ30" s="3">
        <v>0</v>
      </c>
      <c r="BK30" s="3">
        <v>0</v>
      </c>
      <c r="BL30" s="273">
        <f>Д402[[#This Row],[Стоимость CRM]]-Д402[[#This Row],[Стоимость до скидки]]</f>
        <v>0</v>
      </c>
      <c r="BM30" s="161" t="s">
        <v>9</v>
      </c>
      <c r="BN30" s="161" t="b">
        <f>Д402[[#This Row],[Отделка CRM]]=Д402[[#This Row],[Отделка]]</f>
        <v>1</v>
      </c>
      <c r="BO30" s="275" t="s">
        <v>162</v>
      </c>
      <c r="BP30" s="69"/>
    </row>
    <row r="31" spans="1:68" ht="12" customHeight="1" x14ac:dyDescent="0.25">
      <c r="A31" s="140">
        <v>29</v>
      </c>
      <c r="B31" s="15">
        <v>1</v>
      </c>
      <c r="C31" s="141">
        <f t="shared" si="0"/>
        <v>6</v>
      </c>
      <c r="D31" s="142">
        <v>5</v>
      </c>
      <c r="E31" s="141">
        <v>1</v>
      </c>
      <c r="F31" s="143">
        <v>13.06</v>
      </c>
      <c r="G31" s="143"/>
      <c r="H31" s="143"/>
      <c r="I31" s="144">
        <f>SUM(Д402[[#This Row],[Комната 1]:[Комната 3]])</f>
        <v>13.06</v>
      </c>
      <c r="J31" s="145">
        <v>15.1</v>
      </c>
      <c r="K31" s="145">
        <v>4.4400000000000004</v>
      </c>
      <c r="L31" s="145"/>
      <c r="M31" s="145">
        <v>2.9</v>
      </c>
      <c r="N31" s="145"/>
      <c r="O31" s="145">
        <v>3.02</v>
      </c>
      <c r="P31" s="145"/>
      <c r="Q31" s="146"/>
      <c r="R31" s="146">
        <f>SUM(Д402[[#This Row],[Лоджия 1]:[Лоджия 3]])</f>
        <v>3.02</v>
      </c>
      <c r="S31" s="10">
        <f>ROUND(SUM(Д402[[#This Row],[Площадь по проекту жилая]:[Лоджия 3]]),2)</f>
        <v>38.520000000000003</v>
      </c>
      <c r="T31" s="10">
        <f>ROUND(Д402[[#This Row],[Площадь по проекту(общая)]]-Д402[[#This Row],[Летние]],2)</f>
        <v>35.5</v>
      </c>
      <c r="U31" s="10">
        <f>ROUND(Д402[[#This Row],[Площадь по проекту(общая)]]-(SUM(Д402[[#This Row],[Лоджия 1]:[Лоджия 3]])/2),2)</f>
        <v>37.01</v>
      </c>
      <c r="V31" s="10">
        <f>VLOOKUP(Д402[[#This Row],[№]],наценка7[],COLUMN(наценка7[[#This Row],[Цена м2 с учетом всех K]]),0)</f>
        <v>126415.6</v>
      </c>
      <c r="W31" s="159">
        <f>2%*Д402[[#This Row],[м2 после К]]</f>
        <v>2528.3120000000004</v>
      </c>
      <c r="X31" s="10">
        <f>Д402[[#This Row],[м2 после К]]+Д402[[#This Row],[02.12.2024]]</f>
        <v>128943.91200000001</v>
      </c>
      <c r="Y31" s="10"/>
      <c r="Z31" s="10">
        <f>Д402[[#This Row],[Фикс 20.12.24]]+Д402[[#This Row],[23.12.24 СП +1000]]</f>
        <v>128943.91200000001</v>
      </c>
      <c r="AA31" s="10"/>
      <c r="AB31" s="10">
        <f>Д402[[#This Row],[Фикс 23.12.24]]+Д402[[#This Row],[Повышение 20.02.25]]</f>
        <v>128943.91200000001</v>
      </c>
      <c r="AC31" s="10"/>
      <c r="AD31" s="10">
        <f>Д402[[#This Row],[Фикс 20.02.25]]+Д402[[#This Row],[Повышение 24.02.2025]]</f>
        <v>128943.91200000001</v>
      </c>
      <c r="AE31" s="10"/>
      <c r="AF31" s="10">
        <f>Д402[[#This Row],[Фикс 24.02.25]]+Д402[[#This Row],[Повышение 05.03.2025
1К: до 40м - 1,5%, 40+ 0,5%
2К - 0,5% ]]</f>
        <v>128943.91200000001</v>
      </c>
      <c r="AG31" s="10"/>
      <c r="AH31" s="10">
        <f>Д402[[#This Row],[Фикс 05.03.25]]+Д402[[#This Row],[повышение 14.03.25 1К-1%]]</f>
        <v>128943.91200000001</v>
      </c>
      <c r="AI31" s="10"/>
      <c r="AJ31" s="10">
        <f>Д402[[#This Row],[Фикс 14.03.25]]+Д402[[#This Row],[повышение 28.03.25 1К-1%]]</f>
        <v>128943.91200000001</v>
      </c>
      <c r="AK31" s="10"/>
      <c r="AL31" s="10">
        <f>Д402[[#This Row],[Фикс 28.03.25]]+Д402[[#This Row],[Повышение 23.07.25
1К 43-46м2 - 2%
2К 55-58 - 2%; 58-64 - 3%
3К 76-79 - 2%
]]</f>
        <v>128943.91200000001</v>
      </c>
      <c r="AM31" s="149">
        <f>ROUND(Д402[[#This Row],[Фикс 23.07.25]],2)</f>
        <v>128943.91</v>
      </c>
      <c r="AN31" s="149">
        <f>ROUNDUP(Д402[[#This Row],[утв цена м2]]*Д402[[#This Row],[Расчетная проектная площадь]],-2)</f>
        <v>4772300</v>
      </c>
      <c r="AO31" s="151"/>
      <c r="AP31" s="152">
        <v>0.02</v>
      </c>
      <c r="AQ31" s="151">
        <f>Д402[[#This Row],[Стоимость до скидки]]*Д402[[#This Row],[Скидка %]]+Д402[[#This Row],[Скидка фиксированная]]</f>
        <v>95446</v>
      </c>
      <c r="AR31" s="3">
        <f>Д402[[#This Row],[Стоимость ОН без отделки со скидкой]]/Д402[[#This Row],[Расчетная проектная площадь]]</f>
        <v>126367.30613347744</v>
      </c>
      <c r="AS31" s="3">
        <f>Д402[[#This Row],[Стоимость до скидки]]-Д402[[#This Row],[Итоговая сумма скидки]]</f>
        <v>4676854</v>
      </c>
      <c r="AT3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1" s="153"/>
      <c r="AV31" s="153"/>
      <c r="AW31" s="3">
        <f>Д402[[#This Row],[Цена м2 без отделки со скидкой]]+Д402[[#This Row],[Стоимость отделки]]</f>
        <v>126367.30613347744</v>
      </c>
      <c r="AX31" s="3">
        <f>Д402[[#This Row],[Стоимость квартиры с отделкой]]-Д402[[#This Row],[Стоимость ОН без отделки со скидкой]]</f>
        <v>0</v>
      </c>
      <c r="AY31" s="3">
        <f>Д402[[#This Row],[Цена м2 с отделкой]]*Д402[[#This Row],[Расчетная проектная площадь]]</f>
        <v>4676854</v>
      </c>
      <c r="AZ31" s="161" t="s">
        <v>424</v>
      </c>
      <c r="BA31" s="269" t="s">
        <v>426</v>
      </c>
      <c r="BB31" s="269" t="str" cm="1">
        <f t="array" ref="BB3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31" s="161" t="s">
        <v>741</v>
      </c>
      <c r="BD31" s="161" t="s">
        <v>506</v>
      </c>
      <c r="BE31" s="161" t="s">
        <v>737</v>
      </c>
      <c r="BF31" s="161" t="s">
        <v>745</v>
      </c>
      <c r="BG31" s="161" t="b">
        <f>EXACT(Д402[[#This Row],[Статусы CRM]],Д402[[#This Row],[Статус]])</f>
        <v>1</v>
      </c>
      <c r="BH31" s="3">
        <f>IF(Д402[[#This Row],[ПС]]=0,IF(Д402[[#This Row],[ДС]]=0,Д402[[#This Row],[ТС]],Д402[[#This Row],[ДС]]),Д402[[#This Row],[ПС]])</f>
        <v>4772300</v>
      </c>
      <c r="BI31" s="3" t="s">
        <v>749</v>
      </c>
      <c r="BJ31" s="3">
        <v>0</v>
      </c>
      <c r="BK31" s="3">
        <v>4772300</v>
      </c>
      <c r="BL31" s="273">
        <f>Д402[[#This Row],[Стоимость CRM]]-Д402[[#This Row],[Стоимость до скидки]]</f>
        <v>0</v>
      </c>
      <c r="BM31" s="161" t="s">
        <v>9</v>
      </c>
      <c r="BN31" s="161" t="b">
        <f>Д402[[#This Row],[Отделка CRM]]=Д402[[#This Row],[Отделка]]</f>
        <v>1</v>
      </c>
      <c r="BO31" s="275" t="s">
        <v>163</v>
      </c>
      <c r="BP31" s="69"/>
    </row>
    <row r="32" spans="1:68" ht="12" customHeight="1" x14ac:dyDescent="0.25">
      <c r="A32" s="140">
        <v>30</v>
      </c>
      <c r="B32" s="15">
        <v>1</v>
      </c>
      <c r="C32" s="141">
        <f t="shared" si="0"/>
        <v>6</v>
      </c>
      <c r="D32" s="142">
        <v>6</v>
      </c>
      <c r="E32" s="141">
        <v>1</v>
      </c>
      <c r="F32" s="143">
        <v>14.57</v>
      </c>
      <c r="G32" s="143"/>
      <c r="H32" s="143"/>
      <c r="I32" s="144">
        <f>SUM(Д402[[#This Row],[Комната 1]:[Комната 3]])</f>
        <v>14.57</v>
      </c>
      <c r="J32" s="145">
        <v>16.93</v>
      </c>
      <c r="K32" s="145">
        <v>4.46</v>
      </c>
      <c r="L32" s="145"/>
      <c r="M32" s="145">
        <v>7.75</v>
      </c>
      <c r="N32" s="145"/>
      <c r="O32" s="145">
        <v>3.1</v>
      </c>
      <c r="P32" s="145"/>
      <c r="Q32" s="146"/>
      <c r="R32" s="146">
        <f>SUM(Д402[[#This Row],[Лоджия 1]:[Лоджия 3]])</f>
        <v>3.1</v>
      </c>
      <c r="S32" s="10">
        <f>ROUND(SUM(Д402[[#This Row],[Площадь по проекту жилая]:[Лоджия 3]]),2)</f>
        <v>46.81</v>
      </c>
      <c r="T32" s="10">
        <f>ROUND(Д402[[#This Row],[Площадь по проекту(общая)]]-Д402[[#This Row],[Летние]],2)</f>
        <v>43.71</v>
      </c>
      <c r="U32" s="10">
        <f>ROUND(Д402[[#This Row],[Площадь по проекту(общая)]]-(SUM(Д402[[#This Row],[Лоджия 1]:[Лоджия 3]])/2),2)</f>
        <v>45.26</v>
      </c>
      <c r="V32" s="10">
        <f>VLOOKUP(Д402[[#This Row],[№]],наценка7[],COLUMN(наценка7[[#This Row],[Цена м2 с учетом всех K]]),0)</f>
        <v>122837.8</v>
      </c>
      <c r="W32" s="162"/>
      <c r="X32" s="10">
        <f>Д402[[#This Row],[м2 после К]]+Д402[[#This Row],[02.12.2024]]</f>
        <v>122837.8</v>
      </c>
      <c r="Y32" s="149">
        <v>1000</v>
      </c>
      <c r="Z32" s="10">
        <f>Д402[[#This Row],[Фикс 20.12.24]]+Д402[[#This Row],[23.12.24 СП +1000]]</f>
        <v>123837.8</v>
      </c>
      <c r="AA32" s="149">
        <v>215</v>
      </c>
      <c r="AB32" s="10">
        <f>Д402[[#This Row],[Фикс 23.12.24]]+Д402[[#This Row],[Повышение 20.02.25]]</f>
        <v>124052.8</v>
      </c>
      <c r="AC32" s="149">
        <v>17.5</v>
      </c>
      <c r="AD32" s="10">
        <f>Д402[[#This Row],[Фикс 20.02.25]]+Д402[[#This Row],[Повышение 24.02.2025]]</f>
        <v>124070.3</v>
      </c>
      <c r="AE32" s="149">
        <f>Д402[[#This Row],[Фикс 24.02.25]]*0.5%</f>
        <v>620.35149999999999</v>
      </c>
      <c r="AF32" s="10">
        <f>Д402[[#This Row],[Фикс 24.02.25]]+Д402[[#This Row],[Повышение 05.03.2025
1К: до 40м - 1,5%, 40+ 0,5%
2К - 0,5% ]]</f>
        <v>124690.65150000001</v>
      </c>
      <c r="AG32" s="149">
        <f>Д402[[#This Row],[Фикс 05.03.25]]*1%</f>
        <v>1246.9065150000001</v>
      </c>
      <c r="AH32" s="10">
        <f>Д402[[#This Row],[Фикс 05.03.25]]+Д402[[#This Row],[повышение 14.03.25 1К-1%]]</f>
        <v>125937.558015</v>
      </c>
      <c r="AI32" s="149">
        <f>Д402[[#This Row],[Фикс 14.03.25]]*1%</f>
        <v>1259.3755801500001</v>
      </c>
      <c r="AJ32" s="10">
        <f>Д402[[#This Row],[Фикс 14.03.25]]+Д402[[#This Row],[повышение 28.03.25 1К-1%]]</f>
        <v>127196.93359515</v>
      </c>
      <c r="AK32" s="149">
        <f>Д402[[#This Row],[Фикс 28.03.25]]*2%</f>
        <v>2543.9386719029999</v>
      </c>
      <c r="AL32" s="10">
        <f>Д402[[#This Row],[Фикс 28.03.25]]+Д402[[#This Row],[Повышение 23.07.25
1К 43-46м2 - 2%
2К 55-58 - 2%; 58-64 - 3%
3К 76-79 - 2%
]]</f>
        <v>129740.872267053</v>
      </c>
      <c r="AM32" s="149">
        <f>ROUND(Д402[[#This Row],[Фикс 23.07.25]],2)</f>
        <v>129740.87</v>
      </c>
      <c r="AN32" s="149">
        <f>ROUNDUP(Д402[[#This Row],[утв цена м2]]*Д402[[#This Row],[Расчетная проектная площадь]],-2)</f>
        <v>5872100</v>
      </c>
      <c r="AO32" s="151"/>
      <c r="AP32" s="152"/>
      <c r="AQ32" s="151">
        <f>Д402[[#This Row],[Стоимость до скидки]]*Д402[[#This Row],[Скидка %]]+Д402[[#This Row],[Скидка фиксированная]]</f>
        <v>0</v>
      </c>
      <c r="AR32" s="3">
        <f>Д402[[#This Row],[Стоимость ОН без отделки со скидкой]]/Д402[[#This Row],[Расчетная проектная площадь]]</f>
        <v>129741.49359257623</v>
      </c>
      <c r="AS32" s="3">
        <f>Д402[[#This Row],[Стоимость до скидки]]-Д402[[#This Row],[Итоговая сумма скидки]]</f>
        <v>5872100</v>
      </c>
      <c r="AT3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2" s="153"/>
      <c r="AV32" s="153"/>
      <c r="AW32" s="3">
        <f>Д402[[#This Row],[Цена м2 без отделки со скидкой]]+Д402[[#This Row],[Стоимость отделки]]</f>
        <v>129741.49359257623</v>
      </c>
      <c r="AX32" s="3">
        <f>Д402[[#This Row],[Стоимость квартиры с отделкой]]-Д402[[#This Row],[Стоимость ОН без отделки со скидкой]]</f>
        <v>0</v>
      </c>
      <c r="AY32" s="3">
        <f>Д402[[#This Row],[Цена м2 с отделкой]]*Д402[[#This Row],[Расчетная проектная площадь]]</f>
        <v>5872100</v>
      </c>
      <c r="AZ32" s="161"/>
      <c r="BA32" s="155" t="s">
        <v>12</v>
      </c>
      <c r="BB32" s="156" t="str" cm="1">
        <f t="array" ref="BB3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32" s="161" t="s">
        <v>738</v>
      </c>
      <c r="BD32" s="161" t="s">
        <v>739</v>
      </c>
      <c r="BE32" s="161" t="s">
        <v>737</v>
      </c>
      <c r="BF32" s="161" t="s">
        <v>745</v>
      </c>
      <c r="BG32" s="161" t="b">
        <f>EXACT(Д402[[#This Row],[Статусы CRM]],Д402[[#This Row],[Статус]])</f>
        <v>1</v>
      </c>
      <c r="BH32" s="3">
        <f>IF(Д402[[#This Row],[ПС]]=0,IF(Д402[[#This Row],[ДС]]=0,Д402[[#This Row],[ТС]],Д402[[#This Row],[ДС]]),Д402[[#This Row],[ПС]])</f>
        <v>5872100</v>
      </c>
      <c r="BI32" s="3">
        <v>5872100</v>
      </c>
      <c r="BJ32" s="3">
        <v>0</v>
      </c>
      <c r="BK32" s="3">
        <v>0</v>
      </c>
      <c r="BL32" s="273">
        <f>Д402[[#This Row],[Стоимость CRM]]-Д402[[#This Row],[Стоимость до скидки]]</f>
        <v>0</v>
      </c>
      <c r="BM32" s="161" t="s">
        <v>9</v>
      </c>
      <c r="BN32" s="161" t="b">
        <f>Д402[[#This Row],[Отделка CRM]]=Д402[[#This Row],[Отделка]]</f>
        <v>1</v>
      </c>
      <c r="BO32" s="275" t="s">
        <v>164</v>
      </c>
      <c r="BP32" s="69"/>
    </row>
    <row r="33" spans="1:68" ht="12" customHeight="1" x14ac:dyDescent="0.25">
      <c r="A33" s="140">
        <v>31</v>
      </c>
      <c r="B33" s="15">
        <v>1</v>
      </c>
      <c r="C33" s="141">
        <f t="shared" si="0"/>
        <v>7</v>
      </c>
      <c r="D33" s="142">
        <v>1</v>
      </c>
      <c r="E33" s="141">
        <v>0</v>
      </c>
      <c r="F33" s="143">
        <v>14.66</v>
      </c>
      <c r="G33" s="143"/>
      <c r="H33" s="143"/>
      <c r="I33" s="144">
        <f>SUM(Д402[[#This Row],[Комната 1]:[Комната 3]])</f>
        <v>14.66</v>
      </c>
      <c r="J33" s="145">
        <v>6.15</v>
      </c>
      <c r="K33" s="145">
        <v>5.0199999999999996</v>
      </c>
      <c r="L33" s="145"/>
      <c r="M33" s="145">
        <v>3.86</v>
      </c>
      <c r="N33" s="145"/>
      <c r="O33" s="145"/>
      <c r="P33" s="145"/>
      <c r="Q33" s="146"/>
      <c r="R33" s="146">
        <f>SUM(Д402[[#This Row],[Лоджия 1]:[Лоджия 3]])</f>
        <v>0</v>
      </c>
      <c r="S33" s="10">
        <f>ROUND(SUM(Д402[[#This Row],[Площадь по проекту жилая]:[Лоджия 3]]),2)</f>
        <v>29.69</v>
      </c>
      <c r="T33" s="10">
        <f>ROUND(Д402[[#This Row],[Площадь по проекту(общая)]]-Д402[[#This Row],[Летние]],2)</f>
        <v>29.69</v>
      </c>
      <c r="U33" s="10">
        <f>ROUND(Д402[[#This Row],[Площадь по проекту(общая)]]-(SUM(Д402[[#This Row],[Лоджия 1]:[Лоджия 3]])/2),2)</f>
        <v>29.69</v>
      </c>
      <c r="V33" s="10">
        <f>VLOOKUP(Д402[[#This Row],[№]],наценка7[],COLUMN(наценка7[[#This Row],[Цена м2 с учетом всех K]]),0)</f>
        <v>139730</v>
      </c>
      <c r="W33" s="159">
        <v>200</v>
      </c>
      <c r="X33" s="10">
        <f>Д402[[#This Row],[м2 после К]]+Д402[[#This Row],[02.12.2024]]</f>
        <v>139930</v>
      </c>
      <c r="Y33" s="149">
        <v>1000</v>
      </c>
      <c r="Z33" s="10">
        <f>Д402[[#This Row],[Фикс 20.12.24]]+Д402[[#This Row],[23.12.24 СП +1000]]</f>
        <v>140930</v>
      </c>
      <c r="AA33" s="149">
        <v>215</v>
      </c>
      <c r="AB33" s="10">
        <f>Д402[[#This Row],[Фикс 23.12.24]]+Д402[[#This Row],[Повышение 20.02.25]]</f>
        <v>141145</v>
      </c>
      <c r="AC33" s="149">
        <v>17.5</v>
      </c>
      <c r="AD33" s="10">
        <f>Д402[[#This Row],[Фикс 20.02.25]]+Д402[[#This Row],[Повышение 24.02.2025]]</f>
        <v>141162.5</v>
      </c>
      <c r="AE33" s="10"/>
      <c r="AF33" s="10">
        <f>Д402[[#This Row],[Фикс 24.02.25]]+Д402[[#This Row],[Повышение 05.03.2025
1К: до 40м - 1,5%, 40+ 0,5%
2К - 0,5% ]]</f>
        <v>141162.5</v>
      </c>
      <c r="AG33" s="10"/>
      <c r="AH33" s="10">
        <f>Д402[[#This Row],[Фикс 05.03.25]]+Д402[[#This Row],[повышение 14.03.25 1К-1%]]</f>
        <v>141162.5</v>
      </c>
      <c r="AI33" s="10"/>
      <c r="AJ33" s="10">
        <f>Д402[[#This Row],[Фикс 14.03.25]]+Д402[[#This Row],[повышение 28.03.25 1К-1%]]</f>
        <v>141162.5</v>
      </c>
      <c r="AK33" s="10"/>
      <c r="AL33" s="10">
        <f>Д402[[#This Row],[Фикс 28.03.25]]+Д402[[#This Row],[Повышение 23.07.25
1К 43-46м2 - 2%
2К 55-58 - 2%; 58-64 - 3%
3К 76-79 - 2%
]]</f>
        <v>141162.5</v>
      </c>
      <c r="AM33" s="149">
        <f>ROUND(Д402[[#This Row],[Фикс 23.07.25]],2)</f>
        <v>141162.5</v>
      </c>
      <c r="AN33" s="149">
        <f>ROUNDUP(Д402[[#This Row],[утв цена м2]]*Д402[[#This Row],[Расчетная проектная площадь]],-2)</f>
        <v>4191200</v>
      </c>
      <c r="AO33" s="151"/>
      <c r="AP33" s="152"/>
      <c r="AQ33" s="151">
        <f>Д402[[#This Row],[Стоимость до скидки]]*Д402[[#This Row],[Скидка %]]+Д402[[#This Row],[Скидка фиксированная]]</f>
        <v>0</v>
      </c>
      <c r="AR33" s="3">
        <f>Д402[[#This Row],[Стоимость ОН без отделки со скидкой]]/Д402[[#This Row],[Расчетная проектная площадь]]</f>
        <v>141165.37554732233</v>
      </c>
      <c r="AS33" s="3">
        <f>Д402[[#This Row],[Стоимость до скидки]]-Д402[[#This Row],[Итоговая сумма скидки]]</f>
        <v>4191200</v>
      </c>
      <c r="AT3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3" s="153"/>
      <c r="AV33" s="153"/>
      <c r="AW33" s="3">
        <f>Д402[[#This Row],[Цена м2 без отделки со скидкой]]+Д402[[#This Row],[Стоимость отделки]]</f>
        <v>141165.37554732233</v>
      </c>
      <c r="AX33" s="3">
        <f>Д402[[#This Row],[Стоимость квартиры с отделкой]]-Д402[[#This Row],[Стоимость ОН без отделки со скидкой]]</f>
        <v>0</v>
      </c>
      <c r="AY33" s="3">
        <f>Д402[[#This Row],[Цена м2 с отделкой]]*Д402[[#This Row],[Расчетная проектная площадь]]</f>
        <v>4191200</v>
      </c>
      <c r="AZ33" s="161"/>
      <c r="BA33" s="269" t="s">
        <v>128</v>
      </c>
      <c r="BB33" s="269" t="str" cm="1">
        <f t="array" ref="BB3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33" s="161" t="s">
        <v>740</v>
      </c>
      <c r="BD33" s="161" t="s">
        <v>506</v>
      </c>
      <c r="BE33" s="161" t="s">
        <v>737</v>
      </c>
      <c r="BF33" s="161" t="s">
        <v>743</v>
      </c>
      <c r="BG33" s="161" t="b">
        <f>EXACT(Д402[[#This Row],[Статусы CRM]],Д402[[#This Row],[Статус]])</f>
        <v>1</v>
      </c>
      <c r="BH33" s="3">
        <f>IF(Д402[[#This Row],[ПС]]=0,IF(Д402[[#This Row],[ДС]]=0,Д402[[#This Row],[ТС]],Д402[[#This Row],[ДС]]),Д402[[#This Row],[ПС]])</f>
        <v>4191200</v>
      </c>
      <c r="BI33" s="3">
        <v>4191200</v>
      </c>
      <c r="BJ33" s="3">
        <v>0</v>
      </c>
      <c r="BK33" s="3">
        <v>0</v>
      </c>
      <c r="BL33" s="273">
        <f>Д402[[#This Row],[Стоимость CRM]]-Д402[[#This Row],[Стоимость до скидки]]</f>
        <v>0</v>
      </c>
      <c r="BM33" s="161" t="s">
        <v>9</v>
      </c>
      <c r="BN33" s="161" t="b">
        <f>Д402[[#This Row],[Отделка CRM]]=Д402[[#This Row],[Отделка]]</f>
        <v>1</v>
      </c>
      <c r="BO33" s="275" t="s">
        <v>165</v>
      </c>
      <c r="BP33" s="69"/>
    </row>
    <row r="34" spans="1:68" ht="12" customHeight="1" x14ac:dyDescent="0.25">
      <c r="A34" s="140">
        <v>32</v>
      </c>
      <c r="B34" s="15">
        <v>1</v>
      </c>
      <c r="C34" s="141">
        <f t="shared" si="0"/>
        <v>7</v>
      </c>
      <c r="D34" s="142">
        <v>2</v>
      </c>
      <c r="E34" s="141">
        <v>2</v>
      </c>
      <c r="F34" s="143">
        <v>16.100000000000001</v>
      </c>
      <c r="G34" s="143">
        <v>10.8</v>
      </c>
      <c r="H34" s="143"/>
      <c r="I34" s="144">
        <f>SUM(Д402[[#This Row],[Комната 1]:[Комната 3]])</f>
        <v>26.900000000000002</v>
      </c>
      <c r="J34" s="145">
        <v>17.7</v>
      </c>
      <c r="K34" s="145">
        <v>4.25</v>
      </c>
      <c r="L34" s="145"/>
      <c r="M34" s="145">
        <v>9.68</v>
      </c>
      <c r="N34" s="145"/>
      <c r="O34" s="145">
        <v>3.15</v>
      </c>
      <c r="P34" s="145"/>
      <c r="Q34" s="146"/>
      <c r="R34" s="146">
        <f>SUM(Д402[[#This Row],[Лоджия 1]:[Лоджия 3]])</f>
        <v>3.15</v>
      </c>
      <c r="S34" s="149">
        <f>ROUND(SUM(Д402[[#This Row],[Площадь по проекту жилая]:[Лоджия 3]]),2)</f>
        <v>61.68</v>
      </c>
      <c r="T34" s="149">
        <f>ROUND(Д402[[#This Row],[Площадь по проекту(общая)]]-Д402[[#This Row],[Летние]],2)</f>
        <v>58.53</v>
      </c>
      <c r="U34" s="149">
        <f>ROUND(Д402[[#This Row],[Площадь по проекту(общая)]]-(SUM(Д402[[#This Row],[Лоджия 1]:[Лоджия 3]])/2),2)</f>
        <v>60.11</v>
      </c>
      <c r="V34" s="149">
        <f>VLOOKUP(Д402[[#This Row],[№]],наценка7[],COLUMN(наценка7[[#This Row],[Цена м2 с учетом всех K]]),0)</f>
        <v>119811.8</v>
      </c>
      <c r="W34" s="159"/>
      <c r="X34" s="149">
        <f>Д402[[#This Row],[м2 после К]]+Д402[[#This Row],[02.12.2024]]</f>
        <v>119811.8</v>
      </c>
      <c r="Y34" s="149">
        <v>1000</v>
      </c>
      <c r="Z34" s="149">
        <f>Д402[[#This Row],[Фикс 20.12.24]]+Д402[[#This Row],[23.12.24 СП +1000]]</f>
        <v>120811.8</v>
      </c>
      <c r="AA34" s="149">
        <v>215</v>
      </c>
      <c r="AB34" s="149">
        <f>Д402[[#This Row],[Фикс 23.12.24]]+Д402[[#This Row],[Повышение 20.02.25]]</f>
        <v>121026.8</v>
      </c>
      <c r="AC34" s="149">
        <v>17.5</v>
      </c>
      <c r="AD34" s="149">
        <f>Д402[[#This Row],[Фикс 20.02.25]]+Д402[[#This Row],[Повышение 24.02.2025]]</f>
        <v>121044.3</v>
      </c>
      <c r="AE34" s="149">
        <f>Д402[[#This Row],[Фикс 24.02.25]]*0.5%</f>
        <v>605.22149999999999</v>
      </c>
      <c r="AF34" s="149">
        <f>Д402[[#This Row],[Фикс 24.02.25]]+Д402[[#This Row],[Повышение 05.03.2025
1К: до 40м - 1,5%, 40+ 0,5%
2К - 0,5% ]]</f>
        <v>121649.5215</v>
      </c>
      <c r="AG34" s="149"/>
      <c r="AH34" s="149">
        <f>Д402[[#This Row],[Фикс 05.03.25]]+Д402[[#This Row],[повышение 14.03.25 1К-1%]]</f>
        <v>121649.5215</v>
      </c>
      <c r="AI34" s="149"/>
      <c r="AJ34" s="149">
        <f>Д402[[#This Row],[Фикс 14.03.25]]+Д402[[#This Row],[повышение 28.03.25 1К-1%]]</f>
        <v>121649.5215</v>
      </c>
      <c r="AK34" s="10">
        <f>Д402[[#This Row],[Фикс 28.03.25]]*3%</f>
        <v>3649.4856449999997</v>
      </c>
      <c r="AL34" s="149">
        <f>Д402[[#This Row],[Фикс 28.03.25]]+Д402[[#This Row],[Повышение 23.07.25
1К 43-46м2 - 2%
2К 55-58 - 2%; 58-64 - 3%
3К 76-79 - 2%
]]</f>
        <v>125299.007145</v>
      </c>
      <c r="AM34" s="149">
        <f>ROUND(Д402[[#This Row],[Фикс 23.07.25]],2)</f>
        <v>125299.01</v>
      </c>
      <c r="AN34" s="149">
        <f>ROUNDUP(Д402[[#This Row],[утв цена м2]]*Д402[[#This Row],[Расчетная проектная площадь]],-2)</f>
        <v>7531800</v>
      </c>
      <c r="AO34" s="151"/>
      <c r="AP34" s="152"/>
      <c r="AQ34" s="151">
        <f>Д402[[#This Row],[Стоимость до скидки]]*Д402[[#This Row],[Скидка %]]+Д402[[#This Row],[Скидка фиксированная]]</f>
        <v>0</v>
      </c>
      <c r="AR34" s="3">
        <f>Д402[[#This Row],[Стоимость ОН без отделки со скидкой]]/Д402[[#This Row],[Расчетная проектная площадь]]</f>
        <v>125300.28281483946</v>
      </c>
      <c r="AS34" s="3">
        <f>Д402[[#This Row],[Стоимость до скидки]]-Д402[[#This Row],[Итоговая сумма скидки]]</f>
        <v>7531800</v>
      </c>
      <c r="AT3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4" s="153"/>
      <c r="AV34" s="153"/>
      <c r="AW34" s="3">
        <f>Д402[[#This Row],[Цена м2 без отделки со скидкой]]+Д402[[#This Row],[Стоимость отделки]]</f>
        <v>125300.28281483946</v>
      </c>
      <c r="AX34" s="3">
        <f>Д402[[#This Row],[Стоимость квартиры с отделкой]]-Д402[[#This Row],[Стоимость ОН без отделки со скидкой]]</f>
        <v>0</v>
      </c>
      <c r="AY34" s="3">
        <f>Д402[[#This Row],[Цена м2 с отделкой]]*Д402[[#This Row],[Расчетная проектная площадь]]</f>
        <v>7531800</v>
      </c>
      <c r="AZ34" s="161"/>
      <c r="BA34" s="155" t="s">
        <v>12</v>
      </c>
      <c r="BB34" s="156" t="str" cm="1">
        <f t="array" ref="BB3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34" s="161" t="s">
        <v>738</v>
      </c>
      <c r="BD34" s="161" t="s">
        <v>739</v>
      </c>
      <c r="BE34" s="161" t="s">
        <v>737</v>
      </c>
      <c r="BF34" s="161" t="s">
        <v>744</v>
      </c>
      <c r="BG34" s="161" t="b">
        <f>EXACT(Д402[[#This Row],[Статусы CRM]],Д402[[#This Row],[Статус]])</f>
        <v>1</v>
      </c>
      <c r="BH34" s="3">
        <f>IF(Д402[[#This Row],[ПС]]=0,IF(Д402[[#This Row],[ДС]]=0,Д402[[#This Row],[ТС]],Д402[[#This Row],[ДС]]),Д402[[#This Row],[ПС]])</f>
        <v>7531800</v>
      </c>
      <c r="BI34" s="3">
        <v>7531800</v>
      </c>
      <c r="BJ34" s="3">
        <v>0</v>
      </c>
      <c r="BK34" s="3">
        <v>0</v>
      </c>
      <c r="BL34" s="273">
        <f>Д402[[#This Row],[Стоимость CRM]]-Д402[[#This Row],[Стоимость до скидки]]</f>
        <v>0</v>
      </c>
      <c r="BM34" s="161" t="s">
        <v>9</v>
      </c>
      <c r="BN34" s="161" t="b">
        <f>Д402[[#This Row],[Отделка CRM]]=Д402[[#This Row],[Отделка]]</f>
        <v>1</v>
      </c>
      <c r="BO34" s="275" t="s">
        <v>166</v>
      </c>
      <c r="BP34" s="69"/>
    </row>
    <row r="35" spans="1:68" ht="12" customHeight="1" x14ac:dyDescent="0.25">
      <c r="A35" s="140">
        <v>33</v>
      </c>
      <c r="B35" s="15">
        <v>1</v>
      </c>
      <c r="C35" s="141">
        <f t="shared" si="0"/>
        <v>7</v>
      </c>
      <c r="D35" s="142">
        <v>3</v>
      </c>
      <c r="E35" s="141">
        <v>2</v>
      </c>
      <c r="F35" s="143">
        <v>16.41</v>
      </c>
      <c r="G35" s="143">
        <v>12.19</v>
      </c>
      <c r="H35" s="143"/>
      <c r="I35" s="144">
        <f>SUM(Д402[[#This Row],[Комната 1]:[Комната 3]])</f>
        <v>28.6</v>
      </c>
      <c r="J35" s="145">
        <v>14.62</v>
      </c>
      <c r="K35" s="145">
        <v>3.86</v>
      </c>
      <c r="L35" s="145"/>
      <c r="M35" s="145">
        <v>6.1</v>
      </c>
      <c r="N35" s="145"/>
      <c r="O35" s="145">
        <v>3.33</v>
      </c>
      <c r="P35" s="145"/>
      <c r="Q35" s="146"/>
      <c r="R35" s="146">
        <f>SUM(Д402[[#This Row],[Лоджия 1]:[Лоджия 3]])</f>
        <v>3.33</v>
      </c>
      <c r="S35" s="149">
        <f>ROUND(SUM(Д402[[#This Row],[Площадь по проекту жилая]:[Лоджия 3]]),2)</f>
        <v>56.51</v>
      </c>
      <c r="T35" s="149">
        <f>ROUND(Д402[[#This Row],[Площадь по проекту(общая)]]-Д402[[#This Row],[Летние]],2)</f>
        <v>53.18</v>
      </c>
      <c r="U35" s="149">
        <f>ROUND(Д402[[#This Row],[Площадь по проекту(общая)]]-(SUM(Д402[[#This Row],[Лоджия 1]:[Лоджия 3]])/2),2)</f>
        <v>54.85</v>
      </c>
      <c r="V35" s="149">
        <f>VLOOKUP(Д402[[#This Row],[№]],наценка7[],COLUMN(наценка7[[#This Row],[Цена м2 с учетом всех K]]),0)</f>
        <v>117551.2</v>
      </c>
      <c r="W35" s="159"/>
      <c r="X35" s="149">
        <f>Д402[[#This Row],[м2 после К]]+Д402[[#This Row],[02.12.2024]]</f>
        <v>117551.2</v>
      </c>
      <c r="Y35" s="149">
        <v>1000</v>
      </c>
      <c r="Z35" s="149">
        <f>Д402[[#This Row],[Фикс 20.12.24]]+Д402[[#This Row],[23.12.24 СП +1000]]</f>
        <v>118551.2</v>
      </c>
      <c r="AA35" s="149">
        <v>215</v>
      </c>
      <c r="AB35" s="149">
        <f>Д402[[#This Row],[Фикс 23.12.24]]+Д402[[#This Row],[Повышение 20.02.25]]</f>
        <v>118766.2</v>
      </c>
      <c r="AC35" s="149">
        <v>17.5</v>
      </c>
      <c r="AD35" s="149">
        <f>Д402[[#This Row],[Фикс 20.02.25]]+Д402[[#This Row],[Повышение 24.02.2025]]</f>
        <v>118783.7</v>
      </c>
      <c r="AE35" s="149">
        <f>Д402[[#This Row],[Фикс 24.02.25]]*0.5%</f>
        <v>593.91849999999999</v>
      </c>
      <c r="AF35" s="149">
        <f>Д402[[#This Row],[Фикс 24.02.25]]+Д402[[#This Row],[Повышение 05.03.2025
1К: до 40м - 1,5%, 40+ 0,5%
2К - 0,5% ]]</f>
        <v>119377.6185</v>
      </c>
      <c r="AG35" s="149"/>
      <c r="AH35" s="149">
        <f>Д402[[#This Row],[Фикс 05.03.25]]+Д402[[#This Row],[повышение 14.03.25 1К-1%]]</f>
        <v>119377.6185</v>
      </c>
      <c r="AI35" s="149"/>
      <c r="AJ35" s="149">
        <f>Д402[[#This Row],[Фикс 14.03.25]]+Д402[[#This Row],[повышение 28.03.25 1К-1%]]</f>
        <v>119377.6185</v>
      </c>
      <c r="AK35" s="149"/>
      <c r="AL35" s="149">
        <f>Д402[[#This Row],[Фикс 28.03.25]]+Д402[[#This Row],[Повышение 23.07.25
1К 43-46м2 - 2%
2К 55-58 - 2%; 58-64 - 3%
3К 76-79 - 2%
]]</f>
        <v>119377.6185</v>
      </c>
      <c r="AM35" s="149">
        <f>ROUND(Д402[[#This Row],[Фикс 23.07.25]],2)</f>
        <v>119377.62</v>
      </c>
      <c r="AN35" s="149">
        <f>ROUNDUP(Д402[[#This Row],[утв цена м2]]*Д402[[#This Row],[Расчетная проектная площадь]],-2)</f>
        <v>6547900</v>
      </c>
      <c r="AO35" s="151"/>
      <c r="AP35" s="152"/>
      <c r="AQ35" s="151">
        <f>Д402[[#This Row],[Стоимость до скидки]]*Д402[[#This Row],[Скидка %]]+Д402[[#This Row],[Скидка фиксированная]]</f>
        <v>0</v>
      </c>
      <c r="AR35" s="3">
        <f>Д402[[#This Row],[Стоимость ОН без отделки со скидкой]]/Д402[[#This Row],[Расчетная проектная площадь]]</f>
        <v>119378.30446672744</v>
      </c>
      <c r="AS35" s="3">
        <f>Д402[[#This Row],[Стоимость до скидки]]-Д402[[#This Row],[Итоговая сумма скидки]]</f>
        <v>6547900</v>
      </c>
      <c r="AT3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35" s="153">
        <v>30000</v>
      </c>
      <c r="AV35" s="153" t="s">
        <v>722</v>
      </c>
      <c r="AW35" s="3">
        <f>Д402[[#This Row],[Цена м2 без отделки со скидкой]]+Д402[[#This Row],[Стоимость отделки]]</f>
        <v>149378.30446672742</v>
      </c>
      <c r="AX35" s="3">
        <f>Д402[[#This Row],[Стоимость квартиры с отделкой]]-Д402[[#This Row],[Стоимость ОН без отделки со скидкой]]</f>
        <v>1645499.9999999991</v>
      </c>
      <c r="AY35" s="3">
        <f>Д402[[#This Row],[Цена м2 с отделкой]]*Д402[[#This Row],[Расчетная проектная площадь]]</f>
        <v>8193399.9999999991</v>
      </c>
      <c r="AZ35" s="161"/>
      <c r="BA35" s="269" t="s">
        <v>128</v>
      </c>
      <c r="BB35" s="156" t="str" cm="1">
        <f t="array" ref="BB3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35" s="161" t="s">
        <v>740</v>
      </c>
      <c r="BD35" s="161" t="s">
        <v>506</v>
      </c>
      <c r="BE35" s="161" t="s">
        <v>737</v>
      </c>
      <c r="BF35" s="161" t="s">
        <v>744</v>
      </c>
      <c r="BG35" s="161" t="b">
        <f>EXACT(Д402[[#This Row],[Статусы CRM]],Д402[[#This Row],[Статус]])</f>
        <v>1</v>
      </c>
      <c r="BH35" s="3">
        <f>IF(Д402[[#This Row],[ПС]]=0,IF(Д402[[#This Row],[ДС]]=0,Д402[[#This Row],[ТС]],Д402[[#This Row],[ДС]]),Д402[[#This Row],[ПС]])</f>
        <v>6547900</v>
      </c>
      <c r="BI35" s="3">
        <v>6547900</v>
      </c>
      <c r="BJ35" s="3">
        <v>0</v>
      </c>
      <c r="BK35" s="3">
        <v>0</v>
      </c>
      <c r="BL35" s="273">
        <f>Д402[[#This Row],[Стоимость CRM]]-Д402[[#This Row],[Стоимость до скидки]]</f>
        <v>0</v>
      </c>
      <c r="BM35" s="161" t="s">
        <v>11</v>
      </c>
      <c r="BN35" s="161" t="b">
        <f>Д402[[#This Row],[Отделка CRM]]=Д402[[#This Row],[Отделка]]</f>
        <v>1</v>
      </c>
      <c r="BO35" s="275" t="s">
        <v>167</v>
      </c>
      <c r="BP35" s="69"/>
    </row>
    <row r="36" spans="1:68" ht="12" customHeight="1" x14ac:dyDescent="0.25">
      <c r="A36" s="140">
        <v>34</v>
      </c>
      <c r="B36" s="15">
        <v>1</v>
      </c>
      <c r="C36" s="141">
        <f t="shared" si="0"/>
        <v>7</v>
      </c>
      <c r="D36" s="142">
        <v>4</v>
      </c>
      <c r="E36" s="141">
        <v>2</v>
      </c>
      <c r="F36" s="143">
        <v>14.98</v>
      </c>
      <c r="G36" s="143">
        <v>12.28</v>
      </c>
      <c r="H36" s="143"/>
      <c r="I36" s="144">
        <f>SUM(Д402[[#This Row],[Комната 1]:[Комната 3]])</f>
        <v>27.259999999999998</v>
      </c>
      <c r="J36" s="145">
        <v>15.16</v>
      </c>
      <c r="K36" s="145">
        <v>4.4400000000000004</v>
      </c>
      <c r="L36" s="145"/>
      <c r="M36" s="145">
        <v>6.25</v>
      </c>
      <c r="N36" s="145"/>
      <c r="O36" s="145">
        <v>3.33</v>
      </c>
      <c r="P36" s="145"/>
      <c r="Q36" s="146"/>
      <c r="R36" s="146">
        <f>SUM(Д402[[#This Row],[Лоджия 1]:[Лоджия 3]])</f>
        <v>3.33</v>
      </c>
      <c r="S36" s="10">
        <f>ROUND(SUM(Д402[[#This Row],[Площадь по проекту жилая]:[Лоджия 3]]),2)</f>
        <v>56.44</v>
      </c>
      <c r="T36" s="10">
        <f>ROUND(Д402[[#This Row],[Площадь по проекту(общая)]]-Д402[[#This Row],[Летние]],2)</f>
        <v>53.11</v>
      </c>
      <c r="U36" s="10">
        <f>ROUND(Д402[[#This Row],[Площадь по проекту(общая)]]-(SUM(Д402[[#This Row],[Лоджия 1]:[Лоджия 3]])/2),2)</f>
        <v>54.78</v>
      </c>
      <c r="V36" s="10">
        <f>VLOOKUP(Д402[[#This Row],[№]],наценка7[],COLUMN(наценка7[[#This Row],[Цена м2 с учетом всех K]]),0)</f>
        <v>119811.8</v>
      </c>
      <c r="W36" s="162"/>
      <c r="X36" s="10">
        <f>Д402[[#This Row],[м2 после К]]+Д402[[#This Row],[02.12.2024]]</f>
        <v>119811.8</v>
      </c>
      <c r="Y36" s="149">
        <v>1000</v>
      </c>
      <c r="Z36" s="10">
        <f>Д402[[#This Row],[Фикс 20.12.24]]+Д402[[#This Row],[23.12.24 СП +1000]]</f>
        <v>120811.8</v>
      </c>
      <c r="AA36" s="149">
        <v>215</v>
      </c>
      <c r="AB36" s="10">
        <f>Д402[[#This Row],[Фикс 23.12.24]]+Д402[[#This Row],[Повышение 20.02.25]]</f>
        <v>121026.8</v>
      </c>
      <c r="AC36" s="149">
        <v>17.5</v>
      </c>
      <c r="AD36" s="10">
        <f>Д402[[#This Row],[Фикс 20.02.25]]+Д402[[#This Row],[Повышение 24.02.2025]]</f>
        <v>121044.3</v>
      </c>
      <c r="AE36" s="149">
        <f>Д402[[#This Row],[Фикс 24.02.25]]*0.5%</f>
        <v>605.22149999999999</v>
      </c>
      <c r="AF36" s="10">
        <f>Д402[[#This Row],[Фикс 24.02.25]]+Д402[[#This Row],[Повышение 05.03.2025
1К: до 40м - 1,5%, 40+ 0,5%
2К - 0,5% ]]</f>
        <v>121649.5215</v>
      </c>
      <c r="AG36" s="10"/>
      <c r="AH36" s="10">
        <f>Д402[[#This Row],[Фикс 05.03.25]]+Д402[[#This Row],[повышение 14.03.25 1К-1%]]</f>
        <v>121649.5215</v>
      </c>
      <c r="AI36" s="10"/>
      <c r="AJ36" s="10">
        <f>Д402[[#This Row],[Фикс 14.03.25]]+Д402[[#This Row],[повышение 28.03.25 1К-1%]]</f>
        <v>121649.5215</v>
      </c>
      <c r="AK36" s="10"/>
      <c r="AL36" s="10">
        <f>Д402[[#This Row],[Фикс 28.03.25]]+Д402[[#This Row],[Повышение 23.07.25
1К 43-46м2 - 2%
2К 55-58 - 2%; 58-64 - 3%
3К 76-79 - 2%
]]</f>
        <v>121649.5215</v>
      </c>
      <c r="AM36" s="149">
        <f>ROUND(Д402[[#This Row],[Фикс 23.07.25]],2)</f>
        <v>121649.52</v>
      </c>
      <c r="AN36" s="149">
        <f>ROUNDUP(Д402[[#This Row],[утв цена м2]]*Д402[[#This Row],[Расчетная проектная площадь]],-2)</f>
        <v>6664000</v>
      </c>
      <c r="AO36" s="151"/>
      <c r="AP36" s="152"/>
      <c r="AQ36" s="151">
        <f>Д402[[#This Row],[Стоимость до скидки]]*Д402[[#This Row],[Скидка %]]+Д402[[#This Row],[Скидка фиксированная]]</f>
        <v>0</v>
      </c>
      <c r="AR36" s="3">
        <f>Д402[[#This Row],[Стоимость ОН без отделки со скидкой]]/Д402[[#This Row],[Расчетная проектная площадь]]</f>
        <v>121650.23731288791</v>
      </c>
      <c r="AS36" s="3">
        <f>Д402[[#This Row],[Стоимость до скидки]]-Д402[[#This Row],[Итоговая сумма скидки]]</f>
        <v>6664000</v>
      </c>
      <c r="AT3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6" s="153"/>
      <c r="AV36" s="153"/>
      <c r="AW36" s="3">
        <f>Д402[[#This Row],[Цена м2 без отделки со скидкой]]+Д402[[#This Row],[Стоимость отделки]]</f>
        <v>121650.23731288791</v>
      </c>
      <c r="AX36" s="3">
        <f>Д402[[#This Row],[Стоимость квартиры с отделкой]]-Д402[[#This Row],[Стоимость ОН без отделки со скидкой]]</f>
        <v>0</v>
      </c>
      <c r="AY36" s="3">
        <f>Д402[[#This Row],[Цена м2 с отделкой]]*Д402[[#This Row],[Расчетная проектная площадь]]</f>
        <v>6664000</v>
      </c>
      <c r="AZ36" s="161"/>
      <c r="BA36" s="155" t="s">
        <v>12</v>
      </c>
      <c r="BB36" s="156" t="str" cm="1">
        <f t="array" ref="BB3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36" s="161" t="s">
        <v>738</v>
      </c>
      <c r="BD36" s="161" t="s">
        <v>739</v>
      </c>
      <c r="BE36" s="161" t="s">
        <v>737</v>
      </c>
      <c r="BF36" s="161" t="s">
        <v>744</v>
      </c>
      <c r="BG36" s="161" t="b">
        <f>EXACT(Д402[[#This Row],[Статусы CRM]],Д402[[#This Row],[Статус]])</f>
        <v>1</v>
      </c>
      <c r="BH36" s="3">
        <f>IF(Д402[[#This Row],[ПС]]=0,IF(Д402[[#This Row],[ДС]]=0,Д402[[#This Row],[ТС]],Д402[[#This Row],[ДС]]),Д402[[#This Row],[ПС]])</f>
        <v>6664000</v>
      </c>
      <c r="BI36" s="3">
        <v>6664000</v>
      </c>
      <c r="BJ36" s="3">
        <v>0</v>
      </c>
      <c r="BK36" s="3">
        <v>0</v>
      </c>
      <c r="BL36" s="273">
        <f>Д402[[#This Row],[Стоимость CRM]]-Д402[[#This Row],[Стоимость до скидки]]</f>
        <v>0</v>
      </c>
      <c r="BM36" s="161" t="s">
        <v>9</v>
      </c>
      <c r="BN36" s="161" t="b">
        <f>Д402[[#This Row],[Отделка CRM]]=Д402[[#This Row],[Отделка]]</f>
        <v>1</v>
      </c>
      <c r="BO36" s="275" t="s">
        <v>168</v>
      </c>
      <c r="BP36" s="69"/>
    </row>
    <row r="37" spans="1:68" ht="12" customHeight="1" x14ac:dyDescent="0.25">
      <c r="A37" s="140">
        <v>35</v>
      </c>
      <c r="B37" s="15">
        <v>1</v>
      </c>
      <c r="C37" s="141">
        <f t="shared" si="0"/>
        <v>7</v>
      </c>
      <c r="D37" s="142">
        <v>5</v>
      </c>
      <c r="E37" s="141">
        <v>1</v>
      </c>
      <c r="F37" s="143">
        <v>13.06</v>
      </c>
      <c r="G37" s="143"/>
      <c r="H37" s="143"/>
      <c r="I37" s="144">
        <f>SUM(Д402[[#This Row],[Комната 1]:[Комната 3]])</f>
        <v>13.06</v>
      </c>
      <c r="J37" s="145">
        <v>15.1</v>
      </c>
      <c r="K37" s="145">
        <v>4.4400000000000004</v>
      </c>
      <c r="L37" s="145"/>
      <c r="M37" s="145">
        <v>2.9</v>
      </c>
      <c r="N37" s="145"/>
      <c r="O37" s="145">
        <v>3.02</v>
      </c>
      <c r="P37" s="145"/>
      <c r="Q37" s="146"/>
      <c r="R37" s="146">
        <f>SUM(Д402[[#This Row],[Лоджия 1]:[Лоджия 3]])</f>
        <v>3.02</v>
      </c>
      <c r="S37" s="10">
        <f>ROUND(SUM(Д402[[#This Row],[Площадь по проекту жилая]:[Лоджия 3]]),2)</f>
        <v>38.520000000000003</v>
      </c>
      <c r="T37" s="10">
        <f>ROUND(Д402[[#This Row],[Площадь по проекту(общая)]]-Д402[[#This Row],[Летние]],2)</f>
        <v>35.5</v>
      </c>
      <c r="U37" s="10">
        <f>ROUND(Д402[[#This Row],[Площадь по проекту(общая)]]-(SUM(Д402[[#This Row],[Лоджия 1]:[Лоджия 3]])/2),2)</f>
        <v>37.01</v>
      </c>
      <c r="V37" s="10">
        <f>VLOOKUP(Д402[[#This Row],[№]],наценка7[],COLUMN(наценка7[[#This Row],[Цена м2 с учетом всех K]]),0)</f>
        <v>124030.39999999999</v>
      </c>
      <c r="W37" s="159">
        <f>2%*Д402[[#This Row],[м2 после К]]</f>
        <v>2480.6079999999997</v>
      </c>
      <c r="X37" s="10">
        <f>Д402[[#This Row],[м2 после К]]+Д402[[#This Row],[02.12.2024]]</f>
        <v>126511.00799999999</v>
      </c>
      <c r="Y37" s="10"/>
      <c r="Z37" s="10">
        <f>Д402[[#This Row],[Фикс 20.12.24]]+Д402[[#This Row],[23.12.24 СП +1000]]</f>
        <v>126511.00799999999</v>
      </c>
      <c r="AA37" s="10"/>
      <c r="AB37" s="10">
        <f>Д402[[#This Row],[Фикс 23.12.24]]+Д402[[#This Row],[Повышение 20.02.25]]</f>
        <v>126511.00799999999</v>
      </c>
      <c r="AC37" s="10"/>
      <c r="AD37" s="10">
        <f>Д402[[#This Row],[Фикс 20.02.25]]+Д402[[#This Row],[Повышение 24.02.2025]]</f>
        <v>126511.00799999999</v>
      </c>
      <c r="AE37" s="10"/>
      <c r="AF37" s="10">
        <f>Д402[[#This Row],[Фикс 24.02.25]]+Д402[[#This Row],[Повышение 05.03.2025
1К: до 40м - 1,5%, 40+ 0,5%
2К - 0,5% ]]</f>
        <v>126511.00799999999</v>
      </c>
      <c r="AG37" s="10"/>
      <c r="AH37" s="10">
        <f>Д402[[#This Row],[Фикс 05.03.25]]+Д402[[#This Row],[повышение 14.03.25 1К-1%]]</f>
        <v>126511.00799999999</v>
      </c>
      <c r="AI37" s="10"/>
      <c r="AJ37" s="10">
        <f>Д402[[#This Row],[Фикс 14.03.25]]+Д402[[#This Row],[повышение 28.03.25 1К-1%]]</f>
        <v>126511.00799999999</v>
      </c>
      <c r="AK37" s="10"/>
      <c r="AL37" s="10">
        <f>Д402[[#This Row],[Фикс 28.03.25]]+Д402[[#This Row],[Повышение 23.07.25
1К 43-46м2 - 2%
2К 55-58 - 2%; 58-64 - 3%
3К 76-79 - 2%
]]</f>
        <v>126511.00799999999</v>
      </c>
      <c r="AM37" s="149">
        <f>ROUND(Д402[[#This Row],[Фикс 23.07.25]],2)</f>
        <v>126511.01</v>
      </c>
      <c r="AN37" s="149">
        <f>ROUNDUP(Д402[[#This Row],[утв цена м2]]*Д402[[#This Row],[Расчетная проектная площадь]],-2)</f>
        <v>4682200</v>
      </c>
      <c r="AO37" s="151"/>
      <c r="AP37" s="152">
        <v>0.02</v>
      </c>
      <c r="AQ37" s="151">
        <f>Д402[[#This Row],[Стоимость до скидки]]*Д402[[#This Row],[Скидка %]]+Д402[[#This Row],[Скидка фиксированная]]</f>
        <v>93644</v>
      </c>
      <c r="AR37" s="3">
        <f>Д402[[#This Row],[Стоимость ОН без отделки со скидкой]]/Д402[[#This Row],[Расчетная проектная площадь]]</f>
        <v>123981.51850851122</v>
      </c>
      <c r="AS37" s="3">
        <f>Д402[[#This Row],[Стоимость до скидки]]-Д402[[#This Row],[Итоговая сумма скидки]]</f>
        <v>4588556</v>
      </c>
      <c r="AT3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7" s="153"/>
      <c r="AV37" s="153"/>
      <c r="AW37" s="3">
        <f>Д402[[#This Row],[Цена м2 без отделки со скидкой]]+Д402[[#This Row],[Стоимость отделки]]</f>
        <v>123981.51850851122</v>
      </c>
      <c r="AX37" s="3">
        <f>Д402[[#This Row],[Стоимость квартиры с отделкой]]-Д402[[#This Row],[Стоимость ОН без отделки со скидкой]]</f>
        <v>0</v>
      </c>
      <c r="AY37" s="3">
        <f>Д402[[#This Row],[Цена м2 с отделкой]]*Д402[[#This Row],[Расчетная проектная площадь]]</f>
        <v>4588556</v>
      </c>
      <c r="AZ37" s="161" t="s">
        <v>424</v>
      </c>
      <c r="BA37" s="277" t="s">
        <v>426</v>
      </c>
      <c r="BB37" s="269" t="str" cm="1">
        <f t="array" ref="BB3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37" s="161" t="s">
        <v>741</v>
      </c>
      <c r="BD37" s="161" t="s">
        <v>506</v>
      </c>
      <c r="BE37" s="161" t="s">
        <v>737</v>
      </c>
      <c r="BF37" s="161" t="s">
        <v>745</v>
      </c>
      <c r="BG37" s="161" t="b">
        <f>EXACT(Д402[[#This Row],[Статусы CRM]],Д402[[#This Row],[Статус]])</f>
        <v>1</v>
      </c>
      <c r="BH37" s="3">
        <f>IF(Д402[[#This Row],[ПС]]=0,IF(Д402[[#This Row],[ДС]]=0,Д402[[#This Row],[ТС]],Д402[[#This Row],[ДС]]),Д402[[#This Row],[ПС]])</f>
        <v>4682200</v>
      </c>
      <c r="BI37" s="3" t="s">
        <v>749</v>
      </c>
      <c r="BJ37" s="3">
        <v>4682200</v>
      </c>
      <c r="BK37" s="3">
        <v>4682200</v>
      </c>
      <c r="BL37" s="273">
        <f>Д402[[#This Row],[Стоимость CRM]]-Д402[[#This Row],[Стоимость до скидки]]</f>
        <v>0</v>
      </c>
      <c r="BM37" s="161" t="s">
        <v>9</v>
      </c>
      <c r="BN37" s="161" t="b">
        <f>Д402[[#This Row],[Отделка CRM]]=Д402[[#This Row],[Отделка]]</f>
        <v>1</v>
      </c>
      <c r="BO37" s="275" t="s">
        <v>169</v>
      </c>
      <c r="BP37" s="69"/>
    </row>
    <row r="38" spans="1:68" ht="12" customHeight="1" x14ac:dyDescent="0.25">
      <c r="A38" s="140">
        <v>36</v>
      </c>
      <c r="B38" s="15">
        <v>1</v>
      </c>
      <c r="C38" s="141">
        <f t="shared" si="0"/>
        <v>7</v>
      </c>
      <c r="D38" s="142">
        <v>6</v>
      </c>
      <c r="E38" s="141">
        <v>1</v>
      </c>
      <c r="F38" s="143">
        <v>14.57</v>
      </c>
      <c r="G38" s="143"/>
      <c r="H38" s="143"/>
      <c r="I38" s="144">
        <f>SUM(Д402[[#This Row],[Комната 1]:[Комната 3]])</f>
        <v>14.57</v>
      </c>
      <c r="J38" s="145">
        <v>16.93</v>
      </c>
      <c r="K38" s="145">
        <v>4.46</v>
      </c>
      <c r="L38" s="145"/>
      <c r="M38" s="145">
        <v>7.75</v>
      </c>
      <c r="N38" s="145"/>
      <c r="O38" s="145">
        <v>3.1</v>
      </c>
      <c r="P38" s="145"/>
      <c r="Q38" s="146"/>
      <c r="R38" s="146">
        <f>SUM(Д402[[#This Row],[Лоджия 1]:[Лоджия 3]])</f>
        <v>3.1</v>
      </c>
      <c r="S38" s="10">
        <f>ROUND(SUM(Д402[[#This Row],[Площадь по проекту жилая]:[Лоджия 3]]),2)</f>
        <v>46.81</v>
      </c>
      <c r="T38" s="10">
        <f>ROUND(Д402[[#This Row],[Площадь по проекту(общая)]]-Д402[[#This Row],[Летние]],2)</f>
        <v>43.71</v>
      </c>
      <c r="U38" s="10">
        <f>ROUND(Д402[[#This Row],[Площадь по проекту(общая)]]-(SUM(Д402[[#This Row],[Лоджия 1]:[Лоджия 3]])/2),2)</f>
        <v>45.26</v>
      </c>
      <c r="V38" s="10">
        <f>VLOOKUP(Д402[[#This Row],[№]],наценка7[],COLUMN(наценка7[[#This Row],[Цена м2 с учетом всех K]]),0)</f>
        <v>122837.8</v>
      </c>
      <c r="W38" s="162"/>
      <c r="X38" s="10">
        <f>Д402[[#This Row],[м2 после К]]+Д402[[#This Row],[02.12.2024]]</f>
        <v>122837.8</v>
      </c>
      <c r="Y38" s="149">
        <v>1000</v>
      </c>
      <c r="Z38" s="10">
        <f>Д402[[#This Row],[Фикс 20.12.24]]+Д402[[#This Row],[23.12.24 СП +1000]]</f>
        <v>123837.8</v>
      </c>
      <c r="AA38" s="149">
        <v>215</v>
      </c>
      <c r="AB38" s="10">
        <f>Д402[[#This Row],[Фикс 23.12.24]]+Д402[[#This Row],[Повышение 20.02.25]]</f>
        <v>124052.8</v>
      </c>
      <c r="AC38" s="149">
        <v>17.5</v>
      </c>
      <c r="AD38" s="10">
        <f>Д402[[#This Row],[Фикс 20.02.25]]+Д402[[#This Row],[Повышение 24.02.2025]]</f>
        <v>124070.3</v>
      </c>
      <c r="AE38" s="149">
        <f>Д402[[#This Row],[Фикс 24.02.25]]*0.5%</f>
        <v>620.35149999999999</v>
      </c>
      <c r="AF38" s="10">
        <f>Д402[[#This Row],[Фикс 24.02.25]]+Д402[[#This Row],[Повышение 05.03.2025
1К: до 40м - 1,5%, 40+ 0,5%
2К - 0,5% ]]</f>
        <v>124690.65150000001</v>
      </c>
      <c r="AG38" s="149">
        <f>Д402[[#This Row],[Фикс 05.03.25]]*1%</f>
        <v>1246.9065150000001</v>
      </c>
      <c r="AH38" s="10">
        <f>Д402[[#This Row],[Фикс 05.03.25]]+Д402[[#This Row],[повышение 14.03.25 1К-1%]]</f>
        <v>125937.558015</v>
      </c>
      <c r="AI38" s="149">
        <f>Д402[[#This Row],[Фикс 14.03.25]]*1%</f>
        <v>1259.3755801500001</v>
      </c>
      <c r="AJ38" s="10">
        <f>Д402[[#This Row],[Фикс 14.03.25]]+Д402[[#This Row],[повышение 28.03.25 1К-1%]]</f>
        <v>127196.93359515</v>
      </c>
      <c r="AK38" s="10"/>
      <c r="AL38" s="10">
        <f>Д402[[#This Row],[Фикс 28.03.25]]+Д402[[#This Row],[Повышение 23.07.25
1К 43-46м2 - 2%
2К 55-58 - 2%; 58-64 - 3%
3К 76-79 - 2%
]]</f>
        <v>127196.93359515</v>
      </c>
      <c r="AM38" s="149">
        <f>ROUND(Д402[[#This Row],[Фикс 23.07.25]],2)</f>
        <v>127196.93</v>
      </c>
      <c r="AN38" s="149">
        <f>ROUNDUP(Д402[[#This Row],[утв цена м2]]*Д402[[#This Row],[Расчетная проектная площадь]],-2)</f>
        <v>5757000</v>
      </c>
      <c r="AO38" s="151"/>
      <c r="AP38" s="152">
        <v>0.02</v>
      </c>
      <c r="AQ38" s="151">
        <f>Д402[[#This Row],[Стоимость до скидки]]*Д402[[#This Row],[Скидка %]]+Д402[[#This Row],[Скидка фиксированная]]</f>
        <v>115140</v>
      </c>
      <c r="AR38" s="3">
        <f>Д402[[#This Row],[Стоимость ОН без отделки со скидкой]]/Д402[[#This Row],[Расчетная проектная площадь]]</f>
        <v>124654.44100751216</v>
      </c>
      <c r="AS38" s="3">
        <f>Д402[[#This Row],[Стоимость до скидки]]-Д402[[#This Row],[Итоговая сумма скидки]]</f>
        <v>5641860</v>
      </c>
      <c r="AT3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38" s="153">
        <v>25000</v>
      </c>
      <c r="AV38" s="153" t="s">
        <v>720</v>
      </c>
      <c r="AW38" s="3">
        <f>Д402[[#This Row],[Цена м2 без отделки со скидкой]]+Д402[[#This Row],[Стоимость отделки]]</f>
        <v>149654.44100751216</v>
      </c>
      <c r="AX38" s="3">
        <f>Д402[[#This Row],[Стоимость квартиры с отделкой]]-Д402[[#This Row],[Стоимость ОН без отделки со скидкой]]</f>
        <v>1131500</v>
      </c>
      <c r="AY38" s="3">
        <f>Д402[[#This Row],[Цена м2 с отделкой]]*Д402[[#This Row],[Расчетная проектная площадь]]</f>
        <v>6773360</v>
      </c>
      <c r="AZ38" s="161" t="s">
        <v>436</v>
      </c>
      <c r="BA38" s="156" t="s">
        <v>426</v>
      </c>
      <c r="BB38" s="156" t="str" cm="1">
        <f t="array" ref="BB3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38" s="161" t="s">
        <v>741</v>
      </c>
      <c r="BD38" s="161" t="s">
        <v>506</v>
      </c>
      <c r="BE38" s="161" t="s">
        <v>737</v>
      </c>
      <c r="BF38" s="161" t="s">
        <v>745</v>
      </c>
      <c r="BG38" s="161" t="b">
        <f>EXACT(Д402[[#This Row],[Статусы CRM]],Д402[[#This Row],[Статус]])</f>
        <v>1</v>
      </c>
      <c r="BH38" s="3">
        <f>IF(Д402[[#This Row],[ПС]]=0,IF(Д402[[#This Row],[ДС]]=0,Д402[[#This Row],[ТС]],Д402[[#This Row],[ДС]]),Д402[[#This Row],[ПС]])</f>
        <v>5757000</v>
      </c>
      <c r="BI38" s="3" t="s">
        <v>749</v>
      </c>
      <c r="BJ38" s="3">
        <v>0</v>
      </c>
      <c r="BK38" s="3">
        <v>5757000</v>
      </c>
      <c r="BL38" s="273">
        <f>Д402[[#This Row],[Стоимость CRM]]-Д402[[#This Row],[Стоимость до скидки]]</f>
        <v>0</v>
      </c>
      <c r="BM38" s="161" t="s">
        <v>11</v>
      </c>
      <c r="BN38" s="161" t="b">
        <f>Д402[[#This Row],[Отделка CRM]]=Д402[[#This Row],[Отделка]]</f>
        <v>1</v>
      </c>
      <c r="BO38" s="275" t="s">
        <v>170</v>
      </c>
      <c r="BP38" s="69"/>
    </row>
    <row r="39" spans="1:68" ht="12" customHeight="1" x14ac:dyDescent="0.25">
      <c r="A39" s="140">
        <v>37</v>
      </c>
      <c r="B39" s="15">
        <v>1</v>
      </c>
      <c r="C39" s="141">
        <f t="shared" si="0"/>
        <v>8</v>
      </c>
      <c r="D39" s="142">
        <v>1</v>
      </c>
      <c r="E39" s="141">
        <v>0</v>
      </c>
      <c r="F39" s="143">
        <v>14.66</v>
      </c>
      <c r="G39" s="143"/>
      <c r="H39" s="143"/>
      <c r="I39" s="144">
        <f>SUM(Д402[[#This Row],[Комната 1]:[Комната 3]])</f>
        <v>14.66</v>
      </c>
      <c r="J39" s="145">
        <v>6.15</v>
      </c>
      <c r="K39" s="145">
        <v>5.0199999999999996</v>
      </c>
      <c r="L39" s="145"/>
      <c r="M39" s="145">
        <v>3.86</v>
      </c>
      <c r="N39" s="145"/>
      <c r="O39" s="145"/>
      <c r="P39" s="145"/>
      <c r="Q39" s="146"/>
      <c r="R39" s="146">
        <f>SUM(Д402[[#This Row],[Лоджия 1]:[Лоджия 3]])</f>
        <v>0</v>
      </c>
      <c r="S39" s="10">
        <f>ROUND(SUM(Д402[[#This Row],[Площадь по проекту жилая]:[Лоджия 3]]),2)</f>
        <v>29.69</v>
      </c>
      <c r="T39" s="10">
        <f>ROUND(Д402[[#This Row],[Площадь по проекту(общая)]]-Д402[[#This Row],[Летние]],2)</f>
        <v>29.69</v>
      </c>
      <c r="U39" s="10">
        <f>ROUND(Д402[[#This Row],[Площадь по проекту(общая)]]-(SUM(Д402[[#This Row],[Лоджия 1]:[Лоджия 3]])/2),2)</f>
        <v>29.69</v>
      </c>
      <c r="V39" s="10">
        <f>VLOOKUP(Д402[[#This Row],[№]],наценка7[],COLUMN(наценка7[[#This Row],[Цена м2 с учетом всех K]]),0)</f>
        <v>139730</v>
      </c>
      <c r="W39" s="159">
        <v>200</v>
      </c>
      <c r="X39" s="10">
        <f>Д402[[#This Row],[м2 после К]]+Д402[[#This Row],[02.12.2024]]</f>
        <v>139930</v>
      </c>
      <c r="Y39" s="149">
        <v>1000</v>
      </c>
      <c r="Z39" s="10">
        <f>Д402[[#This Row],[Фикс 20.12.24]]+Д402[[#This Row],[23.12.24 СП +1000]]</f>
        <v>140930</v>
      </c>
      <c r="AA39" s="149">
        <v>215</v>
      </c>
      <c r="AB39" s="10">
        <f>Д402[[#This Row],[Фикс 23.12.24]]+Д402[[#This Row],[Повышение 20.02.25]]</f>
        <v>141145</v>
      </c>
      <c r="AC39" s="149">
        <v>17.5</v>
      </c>
      <c r="AD39" s="10">
        <f>Д402[[#This Row],[Фикс 20.02.25]]+Д402[[#This Row],[Повышение 24.02.2025]]</f>
        <v>141162.5</v>
      </c>
      <c r="AE39" s="10"/>
      <c r="AF39" s="10">
        <f>Д402[[#This Row],[Фикс 24.02.25]]+Д402[[#This Row],[Повышение 05.03.2025
1К: до 40м - 1,5%, 40+ 0,5%
2К - 0,5% ]]</f>
        <v>141162.5</v>
      </c>
      <c r="AG39" s="10"/>
      <c r="AH39" s="10">
        <f>Д402[[#This Row],[Фикс 05.03.25]]+Д402[[#This Row],[повышение 14.03.25 1К-1%]]</f>
        <v>141162.5</v>
      </c>
      <c r="AI39" s="10"/>
      <c r="AJ39" s="10">
        <f>Д402[[#This Row],[Фикс 14.03.25]]+Д402[[#This Row],[повышение 28.03.25 1К-1%]]</f>
        <v>141162.5</v>
      </c>
      <c r="AK39" s="10"/>
      <c r="AL39" s="10">
        <f>Д402[[#This Row],[Фикс 28.03.25]]+Д402[[#This Row],[Повышение 23.07.25
1К 43-46м2 - 2%
2К 55-58 - 2%; 58-64 - 3%
3К 76-79 - 2%
]]</f>
        <v>141162.5</v>
      </c>
      <c r="AM39" s="149">
        <f>ROUND(Д402[[#This Row],[Фикс 23.07.25]],2)</f>
        <v>141162.5</v>
      </c>
      <c r="AN39" s="149">
        <f>ROUNDUP(Д402[[#This Row],[утв цена м2]]*Д402[[#This Row],[Расчетная проектная площадь]],-2)</f>
        <v>4191200</v>
      </c>
      <c r="AO39" s="151"/>
      <c r="AP39" s="152"/>
      <c r="AQ39" s="151">
        <f>Д402[[#This Row],[Стоимость до скидки]]*Д402[[#This Row],[Скидка %]]+Д402[[#This Row],[Скидка фиксированная]]</f>
        <v>0</v>
      </c>
      <c r="AR39" s="3">
        <f>Д402[[#This Row],[Стоимость ОН без отделки со скидкой]]/Д402[[#This Row],[Расчетная проектная площадь]]</f>
        <v>141165.37554732233</v>
      </c>
      <c r="AS39" s="3">
        <f>Д402[[#This Row],[Стоимость до скидки]]-Д402[[#This Row],[Итоговая сумма скидки]]</f>
        <v>4191200</v>
      </c>
      <c r="AT3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39" s="153"/>
      <c r="AV39" s="153"/>
      <c r="AW39" s="3">
        <f>Д402[[#This Row],[Цена м2 без отделки со скидкой]]+Д402[[#This Row],[Стоимость отделки]]</f>
        <v>141165.37554732233</v>
      </c>
      <c r="AX39" s="3">
        <f>Д402[[#This Row],[Стоимость квартиры с отделкой]]-Д402[[#This Row],[Стоимость ОН без отделки со скидкой]]</f>
        <v>0</v>
      </c>
      <c r="AY39" s="3">
        <f>Д402[[#This Row],[Цена м2 с отделкой]]*Д402[[#This Row],[Расчетная проектная площадь]]</f>
        <v>4191200</v>
      </c>
      <c r="AZ39" s="161"/>
      <c r="BA39" s="269" t="s">
        <v>12</v>
      </c>
      <c r="BB39" s="269" t="str" cm="1">
        <f t="array" ref="BB3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39" s="161" t="s">
        <v>738</v>
      </c>
      <c r="BD39" s="161" t="s">
        <v>739</v>
      </c>
      <c r="BE39" s="161" t="s">
        <v>737</v>
      </c>
      <c r="BF39" s="161" t="s">
        <v>743</v>
      </c>
      <c r="BG39" s="161" t="b">
        <f>EXACT(Д402[[#This Row],[Статусы CRM]],Д402[[#This Row],[Статус]])</f>
        <v>1</v>
      </c>
      <c r="BH39" s="3">
        <f>IF(Д402[[#This Row],[ПС]]=0,IF(Д402[[#This Row],[ДС]]=0,Д402[[#This Row],[ТС]],Д402[[#This Row],[ДС]]),Д402[[#This Row],[ПС]])</f>
        <v>4191200</v>
      </c>
      <c r="BI39" s="3">
        <v>4191200</v>
      </c>
      <c r="BJ39" s="3">
        <v>0</v>
      </c>
      <c r="BK39" s="3">
        <v>0</v>
      </c>
      <c r="BL39" s="273">
        <f>Д402[[#This Row],[Стоимость CRM]]-Д402[[#This Row],[Стоимость до скидки]]</f>
        <v>0</v>
      </c>
      <c r="BM39" s="161" t="s">
        <v>9</v>
      </c>
      <c r="BN39" s="161" t="b">
        <f>Д402[[#This Row],[Отделка CRM]]=Д402[[#This Row],[Отделка]]</f>
        <v>1</v>
      </c>
      <c r="BO39" s="275" t="s">
        <v>171</v>
      </c>
      <c r="BP39" s="69"/>
    </row>
    <row r="40" spans="1:68" ht="12" customHeight="1" x14ac:dyDescent="0.25">
      <c r="A40" s="140">
        <v>38</v>
      </c>
      <c r="B40" s="15">
        <v>1</v>
      </c>
      <c r="C40" s="141">
        <f t="shared" si="0"/>
        <v>8</v>
      </c>
      <c r="D40" s="142">
        <v>2</v>
      </c>
      <c r="E40" s="141">
        <v>2</v>
      </c>
      <c r="F40" s="143">
        <v>16.100000000000001</v>
      </c>
      <c r="G40" s="143">
        <v>10.8</v>
      </c>
      <c r="H40" s="143"/>
      <c r="I40" s="144">
        <f>SUM(Д402[[#This Row],[Комната 1]:[Комната 3]])</f>
        <v>26.900000000000002</v>
      </c>
      <c r="J40" s="145">
        <v>17.7</v>
      </c>
      <c r="K40" s="145">
        <v>4.25</v>
      </c>
      <c r="L40" s="145"/>
      <c r="M40" s="145">
        <v>9.68</v>
      </c>
      <c r="N40" s="145"/>
      <c r="O40" s="145">
        <v>3.15</v>
      </c>
      <c r="P40" s="145"/>
      <c r="Q40" s="146"/>
      <c r="R40" s="146">
        <f>SUM(Д402[[#This Row],[Лоджия 1]:[Лоджия 3]])</f>
        <v>3.15</v>
      </c>
      <c r="S40" s="10">
        <f>ROUND(SUM(Д402[[#This Row],[Площадь по проекту жилая]:[Лоджия 3]]),2)</f>
        <v>61.68</v>
      </c>
      <c r="T40" s="10">
        <f>ROUND(Д402[[#This Row],[Площадь по проекту(общая)]]-Д402[[#This Row],[Летние]],2)</f>
        <v>58.53</v>
      </c>
      <c r="U40" s="10">
        <f>ROUND(Д402[[#This Row],[Площадь по проекту(общая)]]-(SUM(Д402[[#This Row],[Лоджия 1]:[Лоджия 3]])/2),2)</f>
        <v>60.11</v>
      </c>
      <c r="V40" s="10">
        <f>VLOOKUP(Д402[[#This Row],[№]],наценка7[],COLUMN(наценка7[[#This Row],[Цена м2 с учетом всех K]]),0)</f>
        <v>119811.8</v>
      </c>
      <c r="W40" s="162"/>
      <c r="X40" s="10">
        <f>Д402[[#This Row],[м2 после К]]+Д402[[#This Row],[02.12.2024]]</f>
        <v>119811.8</v>
      </c>
      <c r="Y40" s="149">
        <v>1000</v>
      </c>
      <c r="Z40" s="10">
        <f>Д402[[#This Row],[Фикс 20.12.24]]+Д402[[#This Row],[23.12.24 СП +1000]]</f>
        <v>120811.8</v>
      </c>
      <c r="AA40" s="149">
        <v>215</v>
      </c>
      <c r="AB40" s="10">
        <f>Д402[[#This Row],[Фикс 23.12.24]]+Д402[[#This Row],[Повышение 20.02.25]]</f>
        <v>121026.8</v>
      </c>
      <c r="AC40" s="149">
        <v>17.5</v>
      </c>
      <c r="AD40" s="10">
        <f>Д402[[#This Row],[Фикс 20.02.25]]+Д402[[#This Row],[Повышение 24.02.2025]]</f>
        <v>121044.3</v>
      </c>
      <c r="AE40" s="149">
        <f>Д402[[#This Row],[Фикс 24.02.25]]*0.5%</f>
        <v>605.22149999999999</v>
      </c>
      <c r="AF40" s="10">
        <f>Д402[[#This Row],[Фикс 24.02.25]]+Д402[[#This Row],[Повышение 05.03.2025
1К: до 40м - 1,5%, 40+ 0,5%
2К - 0,5% ]]</f>
        <v>121649.5215</v>
      </c>
      <c r="AG40" s="10"/>
      <c r="AH40" s="10">
        <f>Д402[[#This Row],[Фикс 05.03.25]]+Д402[[#This Row],[повышение 14.03.25 1К-1%]]</f>
        <v>121649.5215</v>
      </c>
      <c r="AI40" s="10"/>
      <c r="AJ40" s="10">
        <f>Д402[[#This Row],[Фикс 14.03.25]]+Д402[[#This Row],[повышение 28.03.25 1К-1%]]</f>
        <v>121649.5215</v>
      </c>
      <c r="AK40" s="10">
        <f>Д402[[#This Row],[Фикс 28.03.25]]*3%</f>
        <v>3649.4856449999997</v>
      </c>
      <c r="AL40" s="10">
        <f>Д402[[#This Row],[Фикс 28.03.25]]+Д402[[#This Row],[Повышение 23.07.25
1К 43-46м2 - 2%
2К 55-58 - 2%; 58-64 - 3%
3К 76-79 - 2%
]]</f>
        <v>125299.007145</v>
      </c>
      <c r="AM40" s="149">
        <f>ROUND(Д402[[#This Row],[Фикс 23.07.25]],2)</f>
        <v>125299.01</v>
      </c>
      <c r="AN40" s="149">
        <f>ROUNDUP(Д402[[#This Row],[утв цена м2]]*Д402[[#This Row],[Расчетная проектная площадь]],-2)</f>
        <v>7531800</v>
      </c>
      <c r="AO40" s="151"/>
      <c r="AP40" s="152"/>
      <c r="AQ40" s="151">
        <f>Д402[[#This Row],[Стоимость до скидки]]*Д402[[#This Row],[Скидка %]]+Д402[[#This Row],[Скидка фиксированная]]</f>
        <v>0</v>
      </c>
      <c r="AR40" s="3">
        <f>Д402[[#This Row],[Стоимость ОН без отделки со скидкой]]/Д402[[#This Row],[Расчетная проектная площадь]]</f>
        <v>125300.28281483946</v>
      </c>
      <c r="AS40" s="3">
        <f>Д402[[#This Row],[Стоимость до скидки]]-Д402[[#This Row],[Итоговая сумма скидки]]</f>
        <v>7531800</v>
      </c>
      <c r="AT4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0" s="153"/>
      <c r="AV40" s="153"/>
      <c r="AW40" s="3">
        <f>Д402[[#This Row],[Цена м2 без отделки со скидкой]]+Д402[[#This Row],[Стоимость отделки]]</f>
        <v>125300.28281483946</v>
      </c>
      <c r="AX40" s="3">
        <f>Д402[[#This Row],[Стоимость квартиры с отделкой]]-Д402[[#This Row],[Стоимость ОН без отделки со скидкой]]</f>
        <v>0</v>
      </c>
      <c r="AY40" s="3">
        <f>Д402[[#This Row],[Цена м2 с отделкой]]*Д402[[#This Row],[Расчетная проектная площадь]]</f>
        <v>7531800</v>
      </c>
      <c r="AZ40" s="161"/>
      <c r="BA40" s="269" t="s">
        <v>128</v>
      </c>
      <c r="BB40" s="298" t="str" cm="1">
        <f t="array" ref="BB4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40" s="161" t="s">
        <v>740</v>
      </c>
      <c r="BD40" s="161" t="s">
        <v>506</v>
      </c>
      <c r="BE40" s="161" t="s">
        <v>737</v>
      </c>
      <c r="BF40" s="161" t="s">
        <v>744</v>
      </c>
      <c r="BG40" s="161" t="b">
        <f>EXACT(Д402[[#This Row],[Статусы CRM]],Д402[[#This Row],[Статус]])</f>
        <v>1</v>
      </c>
      <c r="BH40" s="3">
        <f>IF(Д402[[#This Row],[ПС]]=0,IF(Д402[[#This Row],[ДС]]=0,Д402[[#This Row],[ТС]],Д402[[#This Row],[ДС]]),Д402[[#This Row],[ПС]])</f>
        <v>7531800</v>
      </c>
      <c r="BI40" s="3">
        <v>7531800</v>
      </c>
      <c r="BJ40" s="3">
        <v>0</v>
      </c>
      <c r="BK40" s="3">
        <v>0</v>
      </c>
      <c r="BL40" s="273">
        <f>Д402[[#This Row],[Стоимость CRM]]-Д402[[#This Row],[Стоимость до скидки]]</f>
        <v>0</v>
      </c>
      <c r="BM40" s="161" t="s">
        <v>9</v>
      </c>
      <c r="BN40" s="161" t="b">
        <f>Д402[[#This Row],[Отделка CRM]]=Д402[[#This Row],[Отделка]]</f>
        <v>1</v>
      </c>
      <c r="BO40" s="275" t="s">
        <v>172</v>
      </c>
      <c r="BP40" s="69"/>
    </row>
    <row r="41" spans="1:68" ht="12" customHeight="1" x14ac:dyDescent="0.25">
      <c r="A41" s="140">
        <v>39</v>
      </c>
      <c r="B41" s="15">
        <v>1</v>
      </c>
      <c r="C41" s="141">
        <f t="shared" ref="C41:C72" si="1">C35+1</f>
        <v>8</v>
      </c>
      <c r="D41" s="142">
        <v>3</v>
      </c>
      <c r="E41" s="141">
        <v>2</v>
      </c>
      <c r="F41" s="143">
        <v>16.41</v>
      </c>
      <c r="G41" s="143">
        <v>12.19</v>
      </c>
      <c r="H41" s="143"/>
      <c r="I41" s="144">
        <f>SUM(Д402[[#This Row],[Комната 1]:[Комната 3]])</f>
        <v>28.6</v>
      </c>
      <c r="J41" s="145">
        <v>14.62</v>
      </c>
      <c r="K41" s="145">
        <v>3.86</v>
      </c>
      <c r="L41" s="145"/>
      <c r="M41" s="145">
        <v>6.1</v>
      </c>
      <c r="N41" s="145"/>
      <c r="O41" s="145">
        <v>3.33</v>
      </c>
      <c r="P41" s="145"/>
      <c r="Q41" s="146"/>
      <c r="R41" s="146">
        <f>SUM(Д402[[#This Row],[Лоджия 1]:[Лоджия 3]])</f>
        <v>3.33</v>
      </c>
      <c r="S41" s="149">
        <f>ROUND(SUM(Д402[[#This Row],[Площадь по проекту жилая]:[Лоджия 3]]),2)</f>
        <v>56.51</v>
      </c>
      <c r="T41" s="149">
        <f>ROUND(Д402[[#This Row],[Площадь по проекту(общая)]]-Д402[[#This Row],[Летние]],2)</f>
        <v>53.18</v>
      </c>
      <c r="U41" s="149">
        <f>ROUND(Д402[[#This Row],[Площадь по проекту(общая)]]-(SUM(Д402[[#This Row],[Лоджия 1]:[Лоджия 3]])/2),2)</f>
        <v>54.85</v>
      </c>
      <c r="V41" s="149">
        <f>VLOOKUP(Д402[[#This Row],[№]],наценка7[],COLUMN(наценка7[[#This Row],[Цена м2 с учетом всех K]]),0)</f>
        <v>118681.5</v>
      </c>
      <c r="W41" s="159"/>
      <c r="X41" s="149">
        <f>Д402[[#This Row],[м2 после К]]+Д402[[#This Row],[02.12.2024]]</f>
        <v>118681.5</v>
      </c>
      <c r="Y41" s="149">
        <v>1000</v>
      </c>
      <c r="Z41" s="149">
        <f>Д402[[#This Row],[Фикс 20.12.24]]+Д402[[#This Row],[23.12.24 СП +1000]]</f>
        <v>119681.5</v>
      </c>
      <c r="AA41" s="149">
        <v>215</v>
      </c>
      <c r="AB41" s="149">
        <f>Д402[[#This Row],[Фикс 23.12.24]]+Д402[[#This Row],[Повышение 20.02.25]]</f>
        <v>119896.5</v>
      </c>
      <c r="AC41" s="149">
        <v>17.5</v>
      </c>
      <c r="AD41" s="149">
        <f>Д402[[#This Row],[Фикс 20.02.25]]+Д402[[#This Row],[Повышение 24.02.2025]]</f>
        <v>119914</v>
      </c>
      <c r="AE41" s="149">
        <f>Д402[[#This Row],[Фикс 24.02.25]]*0.5%</f>
        <v>599.57000000000005</v>
      </c>
      <c r="AF41" s="149">
        <f>Д402[[#This Row],[Фикс 24.02.25]]+Д402[[#This Row],[Повышение 05.03.2025
1К: до 40м - 1,5%, 40+ 0,5%
2К - 0,5% ]]</f>
        <v>120513.57</v>
      </c>
      <c r="AG41" s="149"/>
      <c r="AH41" s="149">
        <f>Д402[[#This Row],[Фикс 05.03.25]]+Д402[[#This Row],[повышение 14.03.25 1К-1%]]</f>
        <v>120513.57</v>
      </c>
      <c r="AI41" s="149"/>
      <c r="AJ41" s="149">
        <f>Д402[[#This Row],[Фикс 14.03.25]]+Д402[[#This Row],[повышение 28.03.25 1К-1%]]</f>
        <v>120513.57</v>
      </c>
      <c r="AK41" s="149"/>
      <c r="AL41" s="149">
        <f>Д402[[#This Row],[Фикс 28.03.25]]+Д402[[#This Row],[Повышение 23.07.25
1К 43-46м2 - 2%
2К 55-58 - 2%; 58-64 - 3%
3К 76-79 - 2%
]]</f>
        <v>120513.57</v>
      </c>
      <c r="AM41" s="149">
        <f>ROUND(Д402[[#This Row],[Фикс 23.07.25]],2)</f>
        <v>120513.57</v>
      </c>
      <c r="AN41" s="149">
        <f>ROUNDUP(Д402[[#This Row],[утв цена м2]]*Д402[[#This Row],[Расчетная проектная площадь]],-2)</f>
        <v>6610200</v>
      </c>
      <c r="AO41" s="151"/>
      <c r="AP41" s="152"/>
      <c r="AQ41" s="151">
        <f>Д402[[#This Row],[Стоимость до скидки]]*Д402[[#This Row],[Скидка %]]+Д402[[#This Row],[Скидка фиксированная]]</f>
        <v>0</v>
      </c>
      <c r="AR41" s="3">
        <f>Д402[[#This Row],[Стоимость ОН без отделки со скидкой]]/Д402[[#This Row],[Расчетная проектная площадь]]</f>
        <v>120514.12944393801</v>
      </c>
      <c r="AS41" s="3">
        <f>Д402[[#This Row],[Стоимость до скидки]]-Д402[[#This Row],[Итоговая сумма скидки]]</f>
        <v>6610200</v>
      </c>
      <c r="AT4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1" s="153"/>
      <c r="AV41" s="153"/>
      <c r="AW41" s="3">
        <f>Д402[[#This Row],[Цена м2 без отделки со скидкой]]+Д402[[#This Row],[Стоимость отделки]]</f>
        <v>120514.12944393801</v>
      </c>
      <c r="AX41" s="3">
        <f>Д402[[#This Row],[Стоимость квартиры с отделкой]]-Д402[[#This Row],[Стоимость ОН без отделки со скидкой]]</f>
        <v>0</v>
      </c>
      <c r="AY41" s="3">
        <f>Д402[[#This Row],[Цена м2 с отделкой]]*Д402[[#This Row],[Расчетная проектная площадь]]</f>
        <v>6610200</v>
      </c>
      <c r="AZ41" s="161"/>
      <c r="BA41" s="155" t="s">
        <v>12</v>
      </c>
      <c r="BB41" s="156" t="str" cm="1">
        <f t="array" ref="BB4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41" s="161" t="s">
        <v>738</v>
      </c>
      <c r="BD41" s="161" t="s">
        <v>739</v>
      </c>
      <c r="BE41" s="161" t="s">
        <v>737</v>
      </c>
      <c r="BF41" s="161" t="s">
        <v>744</v>
      </c>
      <c r="BG41" s="161" t="b">
        <f>EXACT(Д402[[#This Row],[Статусы CRM]],Д402[[#This Row],[Статус]])</f>
        <v>1</v>
      </c>
      <c r="BH41" s="3">
        <f>IF(Д402[[#This Row],[ПС]]=0,IF(Д402[[#This Row],[ДС]]=0,Д402[[#This Row],[ТС]],Д402[[#This Row],[ДС]]),Д402[[#This Row],[ПС]])</f>
        <v>6610200</v>
      </c>
      <c r="BI41" s="3">
        <v>6610200</v>
      </c>
      <c r="BJ41" s="3">
        <v>0</v>
      </c>
      <c r="BK41" s="3">
        <v>0</v>
      </c>
      <c r="BL41" s="273">
        <f>Д402[[#This Row],[Стоимость CRM]]-Д402[[#This Row],[Стоимость до скидки]]</f>
        <v>0</v>
      </c>
      <c r="BM41" s="161" t="s">
        <v>9</v>
      </c>
      <c r="BN41" s="161" t="b">
        <f>Д402[[#This Row],[Отделка CRM]]=Д402[[#This Row],[Отделка]]</f>
        <v>1</v>
      </c>
      <c r="BO41" s="275" t="s">
        <v>173</v>
      </c>
      <c r="BP41" s="69"/>
    </row>
    <row r="42" spans="1:68" ht="12" customHeight="1" x14ac:dyDescent="0.25">
      <c r="A42" s="140">
        <v>40</v>
      </c>
      <c r="B42" s="15">
        <v>1</v>
      </c>
      <c r="C42" s="141">
        <f t="shared" si="1"/>
        <v>8</v>
      </c>
      <c r="D42" s="142">
        <v>4</v>
      </c>
      <c r="E42" s="141">
        <v>2</v>
      </c>
      <c r="F42" s="143">
        <v>14.98</v>
      </c>
      <c r="G42" s="143">
        <v>12.28</v>
      </c>
      <c r="H42" s="143"/>
      <c r="I42" s="144">
        <f>SUM(Д402[[#This Row],[Комната 1]:[Комната 3]])</f>
        <v>27.259999999999998</v>
      </c>
      <c r="J42" s="145">
        <v>15.16</v>
      </c>
      <c r="K42" s="145">
        <v>4.4400000000000004</v>
      </c>
      <c r="L42" s="145"/>
      <c r="M42" s="145">
        <v>6.25</v>
      </c>
      <c r="N42" s="145"/>
      <c r="O42" s="145">
        <v>3.33</v>
      </c>
      <c r="P42" s="145"/>
      <c r="Q42" s="146"/>
      <c r="R42" s="146">
        <f>SUM(Д402[[#This Row],[Лоджия 1]:[Лоджия 3]])</f>
        <v>3.33</v>
      </c>
      <c r="S42" s="149">
        <f>ROUND(SUM(Д402[[#This Row],[Площадь по проекту жилая]:[Лоджия 3]]),2)</f>
        <v>56.44</v>
      </c>
      <c r="T42" s="149">
        <f>ROUND(Д402[[#This Row],[Площадь по проекту(общая)]]-Д402[[#This Row],[Летние]],2)</f>
        <v>53.11</v>
      </c>
      <c r="U42" s="149">
        <f>ROUND(Д402[[#This Row],[Площадь по проекту(общая)]]-(SUM(Д402[[#This Row],[Лоджия 1]:[Лоджия 3]])/2),2)</f>
        <v>54.78</v>
      </c>
      <c r="V42" s="149">
        <f>VLOOKUP(Д402[[#This Row],[№]],наценка7[],COLUMN(наценка7[[#This Row],[Цена м2 с учетом всех K]]),0)</f>
        <v>120942.1</v>
      </c>
      <c r="W42" s="159"/>
      <c r="X42" s="149">
        <f>Д402[[#This Row],[м2 после К]]+Д402[[#This Row],[02.12.2024]]</f>
        <v>120942.1</v>
      </c>
      <c r="Y42" s="149">
        <v>1000</v>
      </c>
      <c r="Z42" s="149">
        <f>Д402[[#This Row],[Фикс 20.12.24]]+Д402[[#This Row],[23.12.24 СП +1000]]</f>
        <v>121942.1</v>
      </c>
      <c r="AA42" s="149">
        <v>215</v>
      </c>
      <c r="AB42" s="149">
        <f>Д402[[#This Row],[Фикс 23.12.24]]+Д402[[#This Row],[Повышение 20.02.25]]</f>
        <v>122157.1</v>
      </c>
      <c r="AC42" s="149">
        <v>17.5</v>
      </c>
      <c r="AD42" s="149">
        <f>Д402[[#This Row],[Фикс 20.02.25]]+Д402[[#This Row],[Повышение 24.02.2025]]</f>
        <v>122174.6</v>
      </c>
      <c r="AE42" s="149">
        <f>Д402[[#This Row],[Фикс 24.02.25]]*0.5%</f>
        <v>610.87300000000005</v>
      </c>
      <c r="AF42" s="149">
        <f>Д402[[#This Row],[Фикс 24.02.25]]+Д402[[#This Row],[Повышение 05.03.2025
1К: до 40м - 1,5%, 40+ 0,5%
2К - 0,5% ]]</f>
        <v>122785.47300000001</v>
      </c>
      <c r="AG42" s="149"/>
      <c r="AH42" s="149">
        <f>Д402[[#This Row],[Фикс 05.03.25]]+Д402[[#This Row],[повышение 14.03.25 1К-1%]]</f>
        <v>122785.47300000001</v>
      </c>
      <c r="AI42" s="149"/>
      <c r="AJ42" s="149">
        <f>Д402[[#This Row],[Фикс 14.03.25]]+Д402[[#This Row],[повышение 28.03.25 1К-1%]]</f>
        <v>122785.47300000001</v>
      </c>
      <c r="AK42" s="149"/>
      <c r="AL42" s="149">
        <f>Д402[[#This Row],[Фикс 28.03.25]]+Д402[[#This Row],[Повышение 23.07.25
1К 43-46м2 - 2%
2К 55-58 - 2%; 58-64 - 3%
3К 76-79 - 2%
]]</f>
        <v>122785.47300000001</v>
      </c>
      <c r="AM42" s="149">
        <f>ROUND(Д402[[#This Row],[Фикс 23.07.25]],2)</f>
        <v>122785.47</v>
      </c>
      <c r="AN42" s="149">
        <f>ROUNDUP(Д402[[#This Row],[утв цена м2]]*Д402[[#This Row],[Расчетная проектная площадь]],-2)</f>
        <v>6726200</v>
      </c>
      <c r="AO42" s="151"/>
      <c r="AP42" s="152"/>
      <c r="AQ42" s="151">
        <f>Д402[[#This Row],[Стоимость до скидки]]*Д402[[#This Row],[Скидка %]]+Д402[[#This Row],[Скидка фиксированная]]</f>
        <v>0</v>
      </c>
      <c r="AR42" s="3">
        <f>Д402[[#This Row],[Стоимость ОН без отделки со скидкой]]/Д402[[#This Row],[Расчетная проектная площадь]]</f>
        <v>122785.68820737496</v>
      </c>
      <c r="AS42" s="3">
        <f>Д402[[#This Row],[Стоимость до скидки]]-Д402[[#This Row],[Итоговая сумма скидки]]</f>
        <v>6726200</v>
      </c>
      <c r="AT4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2" s="153"/>
      <c r="AV42" s="153"/>
      <c r="AW42" s="3">
        <f>Д402[[#This Row],[Цена м2 без отделки со скидкой]]+Д402[[#This Row],[Стоимость отделки]]</f>
        <v>122785.68820737496</v>
      </c>
      <c r="AX42" s="3">
        <f>Д402[[#This Row],[Стоимость квартиры с отделкой]]-Д402[[#This Row],[Стоимость ОН без отделки со скидкой]]</f>
        <v>0</v>
      </c>
      <c r="AY42" s="3">
        <f>Д402[[#This Row],[Цена м2 с отделкой]]*Д402[[#This Row],[Расчетная проектная площадь]]</f>
        <v>6726200</v>
      </c>
      <c r="AZ42" s="161"/>
      <c r="BA42" s="155" t="s">
        <v>12</v>
      </c>
      <c r="BB42" s="156" t="str" cm="1">
        <f t="array" ref="BB4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42" s="161" t="s">
        <v>738</v>
      </c>
      <c r="BD42" s="161" t="s">
        <v>739</v>
      </c>
      <c r="BE42" s="161" t="s">
        <v>737</v>
      </c>
      <c r="BF42" s="161" t="s">
        <v>744</v>
      </c>
      <c r="BG42" s="161" t="b">
        <f>EXACT(Д402[[#This Row],[Статусы CRM]],Д402[[#This Row],[Статус]])</f>
        <v>1</v>
      </c>
      <c r="BH42" s="3">
        <f>IF(Д402[[#This Row],[ПС]]=0,IF(Д402[[#This Row],[ДС]]=0,Д402[[#This Row],[ТС]],Д402[[#This Row],[ДС]]),Д402[[#This Row],[ПС]])</f>
        <v>6726200</v>
      </c>
      <c r="BI42" s="3">
        <v>6726200</v>
      </c>
      <c r="BJ42" s="3">
        <v>0</v>
      </c>
      <c r="BK42" s="3">
        <v>0</v>
      </c>
      <c r="BL42" s="273">
        <f>Д402[[#This Row],[Стоимость CRM]]-Д402[[#This Row],[Стоимость до скидки]]</f>
        <v>0</v>
      </c>
      <c r="BM42" s="161" t="s">
        <v>9</v>
      </c>
      <c r="BN42" s="161" t="b">
        <f>Д402[[#This Row],[Отделка CRM]]=Д402[[#This Row],[Отделка]]</f>
        <v>1</v>
      </c>
      <c r="BO42" s="275" t="s">
        <v>174</v>
      </c>
      <c r="BP42" s="69"/>
    </row>
    <row r="43" spans="1:68" ht="12" customHeight="1" x14ac:dyDescent="0.25">
      <c r="A43" s="140">
        <v>41</v>
      </c>
      <c r="B43" s="15">
        <v>1</v>
      </c>
      <c r="C43" s="141">
        <f t="shared" si="1"/>
        <v>8</v>
      </c>
      <c r="D43" s="142">
        <v>5</v>
      </c>
      <c r="E43" s="141">
        <v>1</v>
      </c>
      <c r="F43" s="143">
        <v>13.06</v>
      </c>
      <c r="G43" s="143"/>
      <c r="H43" s="143"/>
      <c r="I43" s="144">
        <f>SUM(Д402[[#This Row],[Комната 1]:[Комната 3]])</f>
        <v>13.06</v>
      </c>
      <c r="J43" s="145">
        <v>15.1</v>
      </c>
      <c r="K43" s="145">
        <v>4.4400000000000004</v>
      </c>
      <c r="L43" s="145"/>
      <c r="M43" s="145">
        <v>2.9</v>
      </c>
      <c r="N43" s="145"/>
      <c r="O43" s="145">
        <v>3.02</v>
      </c>
      <c r="P43" s="145"/>
      <c r="Q43" s="146"/>
      <c r="R43" s="146">
        <f>SUM(Д402[[#This Row],[Лоджия 1]:[Лоджия 3]])</f>
        <v>3.02</v>
      </c>
      <c r="S43" s="10">
        <f>ROUND(SUM(Д402[[#This Row],[Площадь по проекту жилая]:[Лоджия 3]]),2)</f>
        <v>38.520000000000003</v>
      </c>
      <c r="T43" s="10">
        <f>ROUND(Д402[[#This Row],[Площадь по проекту(общая)]]-Д402[[#This Row],[Летние]],2)</f>
        <v>35.5</v>
      </c>
      <c r="U43" s="10">
        <f>ROUND(Д402[[#This Row],[Площадь по проекту(общая)]]-(SUM(Д402[[#This Row],[Лоджия 1]:[Лоджия 3]])/2),2)</f>
        <v>37.01</v>
      </c>
      <c r="V43" s="10">
        <f>VLOOKUP(Д402[[#This Row],[№]],наценка7[],COLUMN(наценка7[[#This Row],[Цена м2 с учетом всех K]]),0)</f>
        <v>126415.6</v>
      </c>
      <c r="W43" s="159">
        <f>2%*Д402[[#This Row],[м2 после К]]</f>
        <v>2528.3120000000004</v>
      </c>
      <c r="X43" s="10">
        <f>Д402[[#This Row],[м2 после К]]+Д402[[#This Row],[02.12.2024]]</f>
        <v>128943.91200000001</v>
      </c>
      <c r="Y43" s="149">
        <v>1000</v>
      </c>
      <c r="Z43" s="10">
        <f>Д402[[#This Row],[Фикс 20.12.24]]+Д402[[#This Row],[23.12.24 СП +1000]]</f>
        <v>129943.91200000001</v>
      </c>
      <c r="AA43" s="10"/>
      <c r="AB43" s="10">
        <f>Д402[[#This Row],[Фикс 23.12.24]]+Д402[[#This Row],[Повышение 20.02.25]]</f>
        <v>129943.91200000001</v>
      </c>
      <c r="AC43" s="10"/>
      <c r="AD43" s="10">
        <f>Д402[[#This Row],[Фикс 20.02.25]]+Д402[[#This Row],[Повышение 24.02.2025]]</f>
        <v>129943.91200000001</v>
      </c>
      <c r="AE43" s="10"/>
      <c r="AF43" s="10">
        <f>Д402[[#This Row],[Фикс 24.02.25]]+Д402[[#This Row],[Повышение 05.03.2025
1К: до 40м - 1,5%, 40+ 0,5%
2К - 0,5% ]]</f>
        <v>129943.91200000001</v>
      </c>
      <c r="AG43" s="10"/>
      <c r="AH43" s="10">
        <f>Д402[[#This Row],[Фикс 05.03.25]]+Д402[[#This Row],[повышение 14.03.25 1К-1%]]</f>
        <v>129943.91200000001</v>
      </c>
      <c r="AI43" s="10"/>
      <c r="AJ43" s="10">
        <f>Д402[[#This Row],[Фикс 14.03.25]]+Д402[[#This Row],[повышение 28.03.25 1К-1%]]</f>
        <v>129943.91200000001</v>
      </c>
      <c r="AK43" s="10"/>
      <c r="AL43" s="10">
        <f>Д402[[#This Row],[Фикс 28.03.25]]+Д402[[#This Row],[Повышение 23.07.25
1К 43-46м2 - 2%
2К 55-58 - 2%; 58-64 - 3%
3К 76-79 - 2%
]]</f>
        <v>129943.91200000001</v>
      </c>
      <c r="AM43" s="149">
        <f>ROUND(Д402[[#This Row],[Фикс 23.07.25]],2)</f>
        <v>129943.91</v>
      </c>
      <c r="AN43" s="149">
        <f>ROUNDUP(Д402[[#This Row],[утв цена м2]]*Д402[[#This Row],[Расчетная проектная площадь]],-2)</f>
        <v>4809300</v>
      </c>
      <c r="AO43" s="151"/>
      <c r="AP43" s="152">
        <v>0.02</v>
      </c>
      <c r="AQ43" s="151">
        <f>Д402[[#This Row],[Стоимость до скидки]]*Д402[[#This Row],[Скидка %]]+Д402[[#This Row],[Скидка фиксированная]]</f>
        <v>96186</v>
      </c>
      <c r="AR43" s="3">
        <f>Д402[[#This Row],[Стоимость ОН без отделки со скидкой]]/Д402[[#This Row],[Расчетная проектная площадь]]</f>
        <v>127347.04134017833</v>
      </c>
      <c r="AS43" s="3">
        <f>Д402[[#This Row],[Стоимость до скидки]]-Д402[[#This Row],[Итоговая сумма скидки]]</f>
        <v>4713114</v>
      </c>
      <c r="AT4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3" s="153"/>
      <c r="AV43" s="153"/>
      <c r="AW43" s="3">
        <f>Д402[[#This Row],[Цена м2 без отделки со скидкой]]+Д402[[#This Row],[Стоимость отделки]]</f>
        <v>127347.04134017833</v>
      </c>
      <c r="AX43" s="3">
        <f>Д402[[#This Row],[Стоимость квартиры с отделкой]]-Д402[[#This Row],[Стоимость ОН без отделки со скидкой]]</f>
        <v>0</v>
      </c>
      <c r="AY43" s="3">
        <f>Д402[[#This Row],[Цена м2 с отделкой]]*Д402[[#This Row],[Расчетная проектная площадь]]</f>
        <v>4713114</v>
      </c>
      <c r="AZ43" s="161" t="s">
        <v>424</v>
      </c>
      <c r="BA43" s="277" t="s">
        <v>426</v>
      </c>
      <c r="BB43" s="269" t="str" cm="1">
        <f t="array" ref="BB4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43" s="161" t="s">
        <v>741</v>
      </c>
      <c r="BD43" s="161" t="s">
        <v>506</v>
      </c>
      <c r="BE43" s="161" t="s">
        <v>737</v>
      </c>
      <c r="BF43" s="161" t="s">
        <v>745</v>
      </c>
      <c r="BG43" s="161" t="b">
        <f>EXACT(Д402[[#This Row],[Статусы CRM]],Д402[[#This Row],[Статус]])</f>
        <v>1</v>
      </c>
      <c r="BH43" s="3">
        <f>IF(Д402[[#This Row],[ПС]]=0,IF(Д402[[#This Row],[ДС]]=0,Д402[[#This Row],[ТС]],Д402[[#This Row],[ДС]]),Д402[[#This Row],[ПС]])</f>
        <v>4809300</v>
      </c>
      <c r="BI43" s="3" t="s">
        <v>749</v>
      </c>
      <c r="BJ43" s="3">
        <v>4809300</v>
      </c>
      <c r="BK43" s="3">
        <v>4809300</v>
      </c>
      <c r="BL43" s="273">
        <f>Д402[[#This Row],[Стоимость CRM]]-Д402[[#This Row],[Стоимость до скидки]]</f>
        <v>0</v>
      </c>
      <c r="BM43" s="161" t="s">
        <v>9</v>
      </c>
      <c r="BN43" s="161" t="b">
        <f>Д402[[#This Row],[Отделка CRM]]=Д402[[#This Row],[Отделка]]</f>
        <v>1</v>
      </c>
      <c r="BO43" s="275" t="s">
        <v>175</v>
      </c>
      <c r="BP43" s="69"/>
    </row>
    <row r="44" spans="1:68" ht="12" customHeight="1" x14ac:dyDescent="0.25">
      <c r="A44" s="140">
        <v>42</v>
      </c>
      <c r="B44" s="15">
        <v>1</v>
      </c>
      <c r="C44" s="141">
        <f t="shared" si="1"/>
        <v>8</v>
      </c>
      <c r="D44" s="142">
        <v>6</v>
      </c>
      <c r="E44" s="141">
        <v>1</v>
      </c>
      <c r="F44" s="143">
        <v>14.57</v>
      </c>
      <c r="G44" s="143"/>
      <c r="H44" s="143"/>
      <c r="I44" s="144">
        <f>SUM(Д402[[#This Row],[Комната 1]:[Комната 3]])</f>
        <v>14.57</v>
      </c>
      <c r="J44" s="145">
        <v>16.93</v>
      </c>
      <c r="K44" s="145">
        <v>4.46</v>
      </c>
      <c r="L44" s="145"/>
      <c r="M44" s="145">
        <v>7.75</v>
      </c>
      <c r="N44" s="145"/>
      <c r="O44" s="145">
        <v>3.1</v>
      </c>
      <c r="P44" s="145"/>
      <c r="Q44" s="146"/>
      <c r="R44" s="146">
        <f>SUM(Д402[[#This Row],[Лоджия 1]:[Лоджия 3]])</f>
        <v>3.1</v>
      </c>
      <c r="S44" s="10">
        <f>ROUND(SUM(Д402[[#This Row],[Площадь по проекту жилая]:[Лоджия 3]]),2)</f>
        <v>46.81</v>
      </c>
      <c r="T44" s="10">
        <f>ROUND(Д402[[#This Row],[Площадь по проекту(общая)]]-Д402[[#This Row],[Летние]],2)</f>
        <v>43.71</v>
      </c>
      <c r="U44" s="10">
        <f>ROUND(Д402[[#This Row],[Площадь по проекту(общая)]]-(SUM(Д402[[#This Row],[Лоджия 1]:[Лоджия 3]])/2),2)</f>
        <v>45.26</v>
      </c>
      <c r="V44" s="10">
        <f>VLOOKUP(Д402[[#This Row],[№]],наценка7[],COLUMN(наценка7[[#This Row],[Цена м2 с учетом всех K]]),0)</f>
        <v>120452.6</v>
      </c>
      <c r="W44" s="162"/>
      <c r="X44" s="10">
        <f>Д402[[#This Row],[м2 после К]]+Д402[[#This Row],[02.12.2024]]</f>
        <v>120452.6</v>
      </c>
      <c r="Y44" s="149">
        <v>1000</v>
      </c>
      <c r="Z44" s="10">
        <f>Д402[[#This Row],[Фикс 20.12.24]]+Д402[[#This Row],[23.12.24 СП +1000]]</f>
        <v>121452.6</v>
      </c>
      <c r="AA44" s="149">
        <v>215</v>
      </c>
      <c r="AB44" s="10">
        <f>Д402[[#This Row],[Фикс 23.12.24]]+Д402[[#This Row],[Повышение 20.02.25]]</f>
        <v>121667.6</v>
      </c>
      <c r="AC44" s="149">
        <v>17.5</v>
      </c>
      <c r="AD44" s="10">
        <f>Д402[[#This Row],[Фикс 20.02.25]]+Д402[[#This Row],[Повышение 24.02.2025]]</f>
        <v>121685.1</v>
      </c>
      <c r="AE44" s="149">
        <f>Д402[[#This Row],[Фикс 24.02.25]]*0.5%</f>
        <v>608.42550000000006</v>
      </c>
      <c r="AF44" s="10">
        <f>Д402[[#This Row],[Фикс 24.02.25]]+Д402[[#This Row],[Повышение 05.03.2025
1К: до 40м - 1,5%, 40+ 0,5%
2К - 0,5% ]]</f>
        <v>122293.5255</v>
      </c>
      <c r="AG44" s="149">
        <f>Д402[[#This Row],[Фикс 05.03.25]]*1%</f>
        <v>1222.9352550000001</v>
      </c>
      <c r="AH44" s="10">
        <f>Д402[[#This Row],[Фикс 05.03.25]]+Д402[[#This Row],[повышение 14.03.25 1К-1%]]</f>
        <v>123516.46075500001</v>
      </c>
      <c r="AI44" s="149">
        <f>Д402[[#This Row],[Фикс 14.03.25]]*1%</f>
        <v>1235.16460755</v>
      </c>
      <c r="AJ44" s="10">
        <f>Д402[[#This Row],[Фикс 14.03.25]]+Д402[[#This Row],[повышение 28.03.25 1К-1%]]</f>
        <v>124751.62536255001</v>
      </c>
      <c r="AK44" s="149">
        <f>Д402[[#This Row],[Фикс 28.03.25]]*2%</f>
        <v>2495.0325072510004</v>
      </c>
      <c r="AL44" s="10">
        <f>Д402[[#This Row],[Фикс 28.03.25]]+Д402[[#This Row],[Повышение 23.07.25
1К 43-46м2 - 2%
2К 55-58 - 2%; 58-64 - 3%
3К 76-79 - 2%
]]</f>
        <v>127246.65786980101</v>
      </c>
      <c r="AM44" s="149">
        <f>ROUND(Д402[[#This Row],[Фикс 23.07.25]],2)</f>
        <v>127246.66</v>
      </c>
      <c r="AN44" s="149">
        <f>ROUNDUP(Д402[[#This Row],[утв цена м2]]*Д402[[#This Row],[Расчетная проектная площадь]],-2)</f>
        <v>5759200</v>
      </c>
      <c r="AO44" s="151"/>
      <c r="AP44" s="152"/>
      <c r="AQ44" s="151">
        <f>Д402[[#This Row],[Стоимость до скидки]]*Д402[[#This Row],[Скидка %]]+Д402[[#This Row],[Скидка фиксированная]]</f>
        <v>0</v>
      </c>
      <c r="AR44" s="3">
        <f>Д402[[#This Row],[Стоимость ОН без отделки со скидкой]]/Д402[[#This Row],[Расчетная проектная площадь]]</f>
        <v>127247.0172337605</v>
      </c>
      <c r="AS44" s="3">
        <f>Д402[[#This Row],[Стоимость до скидки]]-Д402[[#This Row],[Итоговая сумма скидки]]</f>
        <v>5759200</v>
      </c>
      <c r="AT4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44" s="153">
        <v>30000</v>
      </c>
      <c r="AV44" s="153" t="s">
        <v>722</v>
      </c>
      <c r="AW44" s="3">
        <f>Д402[[#This Row],[Цена м2 без отделки со скидкой]]+Д402[[#This Row],[Стоимость отделки]]</f>
        <v>157247.0172337605</v>
      </c>
      <c r="AX44" s="3">
        <f>Д402[[#This Row],[Стоимость квартиры с отделкой]]-Д402[[#This Row],[Стоимость ОН без отделки со скидкой]]</f>
        <v>1357800</v>
      </c>
      <c r="AY44" s="3">
        <f>Д402[[#This Row],[Цена м2 с отделкой]]*Д402[[#This Row],[Расчетная проектная площадь]]</f>
        <v>7117000</v>
      </c>
      <c r="AZ44" s="161"/>
      <c r="BA44" s="269" t="s">
        <v>128</v>
      </c>
      <c r="BB44" s="156" t="str" cm="1">
        <f t="array" ref="BB4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44" s="161" t="s">
        <v>740</v>
      </c>
      <c r="BD44" s="161" t="s">
        <v>506</v>
      </c>
      <c r="BE44" s="161" t="s">
        <v>737</v>
      </c>
      <c r="BF44" s="161" t="s">
        <v>745</v>
      </c>
      <c r="BG44" s="161" t="b">
        <f>EXACT(Д402[[#This Row],[Статусы CRM]],Д402[[#This Row],[Статус]])</f>
        <v>1</v>
      </c>
      <c r="BH44" s="3">
        <f>IF(Д402[[#This Row],[ПС]]=0,IF(Д402[[#This Row],[ДС]]=0,Д402[[#This Row],[ТС]],Д402[[#This Row],[ДС]]),Д402[[#This Row],[ПС]])</f>
        <v>5759200</v>
      </c>
      <c r="BI44" s="3">
        <v>5759200</v>
      </c>
      <c r="BJ44" s="3">
        <v>0</v>
      </c>
      <c r="BK44" s="3">
        <v>0</v>
      </c>
      <c r="BL44" s="273">
        <f>Д402[[#This Row],[Стоимость CRM]]-Д402[[#This Row],[Стоимость до скидки]]</f>
        <v>0</v>
      </c>
      <c r="BM44" s="161" t="s">
        <v>11</v>
      </c>
      <c r="BN44" s="161" t="b">
        <f>Д402[[#This Row],[Отделка CRM]]=Д402[[#This Row],[Отделка]]</f>
        <v>1</v>
      </c>
      <c r="BO44" s="275" t="s">
        <v>176</v>
      </c>
      <c r="BP44" s="69"/>
    </row>
    <row r="45" spans="1:68" ht="12" customHeight="1" x14ac:dyDescent="0.25">
      <c r="A45" s="140">
        <v>43</v>
      </c>
      <c r="B45" s="15">
        <v>1</v>
      </c>
      <c r="C45" s="141">
        <f t="shared" si="1"/>
        <v>9</v>
      </c>
      <c r="D45" s="142">
        <v>1</v>
      </c>
      <c r="E45" s="141">
        <v>0</v>
      </c>
      <c r="F45" s="143">
        <v>14.66</v>
      </c>
      <c r="G45" s="143"/>
      <c r="H45" s="143"/>
      <c r="I45" s="144">
        <f>SUM(Д402[[#This Row],[Комната 1]:[Комната 3]])</f>
        <v>14.66</v>
      </c>
      <c r="J45" s="145">
        <v>6.15</v>
      </c>
      <c r="K45" s="145">
        <v>5.0199999999999996</v>
      </c>
      <c r="L45" s="145"/>
      <c r="M45" s="145">
        <v>3.86</v>
      </c>
      <c r="N45" s="145"/>
      <c r="O45" s="145"/>
      <c r="P45" s="145"/>
      <c r="Q45" s="146"/>
      <c r="R45" s="146">
        <f>SUM(Д402[[#This Row],[Лоджия 1]:[Лоджия 3]])</f>
        <v>0</v>
      </c>
      <c r="S45" s="10">
        <f>ROUND(SUM(Д402[[#This Row],[Площадь по проекту жилая]:[Лоджия 3]]),2)</f>
        <v>29.69</v>
      </c>
      <c r="T45" s="10">
        <f>ROUND(Д402[[#This Row],[Площадь по проекту(общая)]]-Д402[[#This Row],[Летние]],2)</f>
        <v>29.69</v>
      </c>
      <c r="U45" s="10">
        <f>ROUND(Д402[[#This Row],[Площадь по проекту(общая)]]-(SUM(Д402[[#This Row],[Лоджия 1]:[Лоджия 3]])/2),2)</f>
        <v>29.69</v>
      </c>
      <c r="V45" s="10">
        <f>VLOOKUP(Д402[[#This Row],[№]],наценка7[],COLUMN(наценка7[[#This Row],[Цена м2 с учетом всех K]]),0)</f>
        <v>139730</v>
      </c>
      <c r="W45" s="159">
        <v>200</v>
      </c>
      <c r="X45" s="10">
        <f>Д402[[#This Row],[м2 после К]]+Д402[[#This Row],[02.12.2024]]</f>
        <v>139930</v>
      </c>
      <c r="Y45" s="149">
        <v>1000</v>
      </c>
      <c r="Z45" s="10">
        <f>Д402[[#This Row],[Фикс 20.12.24]]+Д402[[#This Row],[23.12.24 СП +1000]]</f>
        <v>140930</v>
      </c>
      <c r="AA45" s="149">
        <v>215</v>
      </c>
      <c r="AB45" s="10">
        <f>Д402[[#This Row],[Фикс 23.12.24]]+Д402[[#This Row],[Повышение 20.02.25]]</f>
        <v>141145</v>
      </c>
      <c r="AC45" s="149">
        <v>17.5</v>
      </c>
      <c r="AD45" s="10">
        <f>Д402[[#This Row],[Фикс 20.02.25]]+Д402[[#This Row],[Повышение 24.02.2025]]</f>
        <v>141162.5</v>
      </c>
      <c r="AE45" s="10"/>
      <c r="AF45" s="10">
        <f>Д402[[#This Row],[Фикс 24.02.25]]+Д402[[#This Row],[Повышение 05.03.2025
1К: до 40м - 1,5%, 40+ 0,5%
2К - 0,5% ]]</f>
        <v>141162.5</v>
      </c>
      <c r="AG45" s="10"/>
      <c r="AH45" s="10">
        <f>Д402[[#This Row],[Фикс 05.03.25]]+Д402[[#This Row],[повышение 14.03.25 1К-1%]]</f>
        <v>141162.5</v>
      </c>
      <c r="AI45" s="10"/>
      <c r="AJ45" s="10">
        <f>Д402[[#This Row],[Фикс 14.03.25]]+Д402[[#This Row],[повышение 28.03.25 1К-1%]]</f>
        <v>141162.5</v>
      </c>
      <c r="AK45" s="10"/>
      <c r="AL45" s="10">
        <f>Д402[[#This Row],[Фикс 28.03.25]]+Д402[[#This Row],[Повышение 23.07.25
1К 43-46м2 - 2%
2К 55-58 - 2%; 58-64 - 3%
3К 76-79 - 2%
]]</f>
        <v>141162.5</v>
      </c>
      <c r="AM45" s="149">
        <f>ROUND(Д402[[#This Row],[Фикс 23.07.25]],2)</f>
        <v>141162.5</v>
      </c>
      <c r="AN45" s="149">
        <f>ROUNDUP(Д402[[#This Row],[утв цена м2]]*Д402[[#This Row],[Расчетная проектная площадь]],-2)</f>
        <v>4191200</v>
      </c>
      <c r="AO45" s="151"/>
      <c r="AP45" s="152"/>
      <c r="AQ45" s="151">
        <f>Д402[[#This Row],[Стоимость до скидки]]*Д402[[#This Row],[Скидка %]]+Д402[[#This Row],[Скидка фиксированная]]</f>
        <v>0</v>
      </c>
      <c r="AR45" s="3">
        <f>Д402[[#This Row],[Стоимость ОН без отделки со скидкой]]/Д402[[#This Row],[Расчетная проектная площадь]]</f>
        <v>141165.37554732233</v>
      </c>
      <c r="AS45" s="3">
        <f>Д402[[#This Row],[Стоимость до скидки]]-Д402[[#This Row],[Итоговая сумма скидки]]</f>
        <v>4191200</v>
      </c>
      <c r="AT4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5" s="153"/>
      <c r="AV45" s="153"/>
      <c r="AW45" s="3">
        <f>Д402[[#This Row],[Цена м2 без отделки со скидкой]]+Д402[[#This Row],[Стоимость отделки]]</f>
        <v>141165.37554732233</v>
      </c>
      <c r="AX45" s="3">
        <f>Д402[[#This Row],[Стоимость квартиры с отделкой]]-Д402[[#This Row],[Стоимость ОН без отделки со скидкой]]</f>
        <v>0</v>
      </c>
      <c r="AY45" s="3">
        <f>Д402[[#This Row],[Цена м2 с отделкой]]*Д402[[#This Row],[Расчетная проектная площадь]]</f>
        <v>4191200</v>
      </c>
      <c r="AZ45" s="161"/>
      <c r="BA45" s="269" t="s">
        <v>128</v>
      </c>
      <c r="BB45" s="269" t="str" cm="1">
        <f t="array" ref="BB4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45" s="161" t="s">
        <v>740</v>
      </c>
      <c r="BD45" s="161" t="s">
        <v>506</v>
      </c>
      <c r="BE45" s="161" t="s">
        <v>737</v>
      </c>
      <c r="BF45" s="161" t="s">
        <v>743</v>
      </c>
      <c r="BG45" s="161" t="b">
        <f>EXACT(Д402[[#This Row],[Статусы CRM]],Д402[[#This Row],[Статус]])</f>
        <v>1</v>
      </c>
      <c r="BH45" s="3">
        <f>IF(Д402[[#This Row],[ПС]]=0,IF(Д402[[#This Row],[ДС]]=0,Д402[[#This Row],[ТС]],Д402[[#This Row],[ДС]]),Д402[[#This Row],[ПС]])</f>
        <v>4191200</v>
      </c>
      <c r="BI45" s="3">
        <v>4191200</v>
      </c>
      <c r="BJ45" s="3">
        <v>0</v>
      </c>
      <c r="BK45" s="3">
        <v>0</v>
      </c>
      <c r="BL45" s="273">
        <f>Д402[[#This Row],[Стоимость CRM]]-Д402[[#This Row],[Стоимость до скидки]]</f>
        <v>0</v>
      </c>
      <c r="BM45" s="161" t="s">
        <v>9</v>
      </c>
      <c r="BN45" s="161" t="b">
        <f>Д402[[#This Row],[Отделка CRM]]=Д402[[#This Row],[Отделка]]</f>
        <v>1</v>
      </c>
      <c r="BO45" s="275" t="s">
        <v>177</v>
      </c>
      <c r="BP45" s="69"/>
    </row>
    <row r="46" spans="1:68" ht="12" customHeight="1" x14ac:dyDescent="0.25">
      <c r="A46" s="140">
        <v>44</v>
      </c>
      <c r="B46" s="15">
        <v>1</v>
      </c>
      <c r="C46" s="141">
        <f t="shared" si="1"/>
        <v>9</v>
      </c>
      <c r="D46" s="142">
        <v>2</v>
      </c>
      <c r="E46" s="141">
        <v>2</v>
      </c>
      <c r="F46" s="143">
        <v>16.100000000000001</v>
      </c>
      <c r="G46" s="143">
        <v>10.8</v>
      </c>
      <c r="H46" s="143"/>
      <c r="I46" s="144">
        <f>SUM(Д402[[#This Row],[Комната 1]:[Комната 3]])</f>
        <v>26.900000000000002</v>
      </c>
      <c r="J46" s="145">
        <v>17.7</v>
      </c>
      <c r="K46" s="145">
        <v>4.25</v>
      </c>
      <c r="L46" s="145"/>
      <c r="M46" s="145">
        <v>9.68</v>
      </c>
      <c r="N46" s="145"/>
      <c r="O46" s="145">
        <v>3.15</v>
      </c>
      <c r="P46" s="145"/>
      <c r="Q46" s="146"/>
      <c r="R46" s="146">
        <f>SUM(Д402[[#This Row],[Лоджия 1]:[Лоджия 3]])</f>
        <v>3.15</v>
      </c>
      <c r="S46" s="10">
        <f>ROUND(SUM(Д402[[#This Row],[Площадь по проекту жилая]:[Лоджия 3]]),2)</f>
        <v>61.68</v>
      </c>
      <c r="T46" s="10">
        <f>ROUND(Д402[[#This Row],[Площадь по проекту(общая)]]-Д402[[#This Row],[Летние]],2)</f>
        <v>58.53</v>
      </c>
      <c r="U46" s="10">
        <f>ROUND(Д402[[#This Row],[Площадь по проекту(общая)]]-(SUM(Д402[[#This Row],[Лоджия 1]:[Лоджия 3]])/2),2)</f>
        <v>60.11</v>
      </c>
      <c r="V46" s="10">
        <f>VLOOKUP(Д402[[#This Row],[№]],наценка7[],COLUMN(наценка7[[#This Row],[Цена м2 с учетом всех K]]),0)</f>
        <v>119811.8</v>
      </c>
      <c r="W46" s="162"/>
      <c r="X46" s="10">
        <f>Д402[[#This Row],[м2 после К]]+Д402[[#This Row],[02.12.2024]]</f>
        <v>119811.8</v>
      </c>
      <c r="Y46" s="149">
        <v>1000</v>
      </c>
      <c r="Z46" s="10">
        <f>Д402[[#This Row],[Фикс 20.12.24]]+Д402[[#This Row],[23.12.24 СП +1000]]</f>
        <v>120811.8</v>
      </c>
      <c r="AA46" s="149">
        <v>215</v>
      </c>
      <c r="AB46" s="10">
        <f>Д402[[#This Row],[Фикс 23.12.24]]+Д402[[#This Row],[Повышение 20.02.25]]</f>
        <v>121026.8</v>
      </c>
      <c r="AC46" s="149">
        <v>17.5</v>
      </c>
      <c r="AD46" s="10">
        <f>Д402[[#This Row],[Фикс 20.02.25]]+Д402[[#This Row],[Повышение 24.02.2025]]</f>
        <v>121044.3</v>
      </c>
      <c r="AE46" s="149">
        <f>Д402[[#This Row],[Фикс 24.02.25]]*0.5%</f>
        <v>605.22149999999999</v>
      </c>
      <c r="AF46" s="10">
        <f>Д402[[#This Row],[Фикс 24.02.25]]+Д402[[#This Row],[Повышение 05.03.2025
1К: до 40м - 1,5%, 40+ 0,5%
2К - 0,5% ]]</f>
        <v>121649.5215</v>
      </c>
      <c r="AG46" s="10"/>
      <c r="AH46" s="10">
        <f>Д402[[#This Row],[Фикс 05.03.25]]+Д402[[#This Row],[повышение 14.03.25 1К-1%]]</f>
        <v>121649.5215</v>
      </c>
      <c r="AI46" s="10"/>
      <c r="AJ46" s="10">
        <f>Д402[[#This Row],[Фикс 14.03.25]]+Д402[[#This Row],[повышение 28.03.25 1К-1%]]</f>
        <v>121649.5215</v>
      </c>
      <c r="AK46" s="10">
        <f>Д402[[#This Row],[Фикс 28.03.25]]*3%</f>
        <v>3649.4856449999997</v>
      </c>
      <c r="AL46" s="10">
        <f>Д402[[#This Row],[Фикс 28.03.25]]+Д402[[#This Row],[Повышение 23.07.25
1К 43-46м2 - 2%
2К 55-58 - 2%; 58-64 - 3%
3К 76-79 - 2%
]]</f>
        <v>125299.007145</v>
      </c>
      <c r="AM46" s="149">
        <f>ROUND(Д402[[#This Row],[Фикс 23.07.25]],2)</f>
        <v>125299.01</v>
      </c>
      <c r="AN46" s="149">
        <f>ROUNDUP(Д402[[#This Row],[утв цена м2]]*Д402[[#This Row],[Расчетная проектная площадь]],-2)</f>
        <v>7531800</v>
      </c>
      <c r="AO46" s="151"/>
      <c r="AP46" s="152"/>
      <c r="AQ46" s="151">
        <f>Д402[[#This Row],[Стоимость до скидки]]*Д402[[#This Row],[Скидка %]]+Д402[[#This Row],[Скидка фиксированная]]</f>
        <v>0</v>
      </c>
      <c r="AR46" s="3">
        <f>Д402[[#This Row],[Стоимость ОН без отделки со скидкой]]/Д402[[#This Row],[Расчетная проектная площадь]]</f>
        <v>125300.28281483946</v>
      </c>
      <c r="AS46" s="3">
        <f>Д402[[#This Row],[Стоимость до скидки]]-Д402[[#This Row],[Итоговая сумма скидки]]</f>
        <v>7531800</v>
      </c>
      <c r="AT4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6" s="153"/>
      <c r="AV46" s="153"/>
      <c r="AW46" s="3">
        <f>Д402[[#This Row],[Цена м2 без отделки со скидкой]]+Д402[[#This Row],[Стоимость отделки]]</f>
        <v>125300.28281483946</v>
      </c>
      <c r="AX46" s="3">
        <f>Д402[[#This Row],[Стоимость квартиры с отделкой]]-Д402[[#This Row],[Стоимость ОН без отделки со скидкой]]</f>
        <v>0</v>
      </c>
      <c r="AY46" s="3">
        <f>Д402[[#This Row],[Цена м2 с отделкой]]*Д402[[#This Row],[Расчетная проектная площадь]]</f>
        <v>7531800</v>
      </c>
      <c r="AZ46" s="161"/>
      <c r="BA46" s="155" t="s">
        <v>12</v>
      </c>
      <c r="BB46" s="156" t="str" cm="1">
        <f t="array" ref="BB4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46" s="161" t="s">
        <v>738</v>
      </c>
      <c r="BD46" s="161" t="s">
        <v>739</v>
      </c>
      <c r="BE46" s="161" t="s">
        <v>737</v>
      </c>
      <c r="BF46" s="161" t="s">
        <v>744</v>
      </c>
      <c r="BG46" s="161" t="b">
        <f>EXACT(Д402[[#This Row],[Статусы CRM]],Д402[[#This Row],[Статус]])</f>
        <v>1</v>
      </c>
      <c r="BH46" s="3">
        <f>IF(Д402[[#This Row],[ПС]]=0,IF(Д402[[#This Row],[ДС]]=0,Д402[[#This Row],[ТС]],Д402[[#This Row],[ДС]]),Д402[[#This Row],[ПС]])</f>
        <v>7531800</v>
      </c>
      <c r="BI46" s="3">
        <v>7531800</v>
      </c>
      <c r="BJ46" s="3">
        <v>0</v>
      </c>
      <c r="BK46" s="3">
        <v>0</v>
      </c>
      <c r="BL46" s="273">
        <f>Д402[[#This Row],[Стоимость CRM]]-Д402[[#This Row],[Стоимость до скидки]]</f>
        <v>0</v>
      </c>
      <c r="BM46" s="161" t="s">
        <v>9</v>
      </c>
      <c r="BN46" s="161" t="b">
        <f>Д402[[#This Row],[Отделка CRM]]=Д402[[#This Row],[Отделка]]</f>
        <v>1</v>
      </c>
      <c r="BO46" s="275" t="s">
        <v>178</v>
      </c>
      <c r="BP46" s="69"/>
    </row>
    <row r="47" spans="1:68" ht="12" customHeight="1" x14ac:dyDescent="0.25">
      <c r="A47" s="140">
        <v>45</v>
      </c>
      <c r="B47" s="15">
        <v>1</v>
      </c>
      <c r="C47" s="141">
        <f t="shared" si="1"/>
        <v>9</v>
      </c>
      <c r="D47" s="142">
        <v>3</v>
      </c>
      <c r="E47" s="141">
        <v>2</v>
      </c>
      <c r="F47" s="143">
        <v>16.41</v>
      </c>
      <c r="G47" s="143">
        <v>12.19</v>
      </c>
      <c r="H47" s="143"/>
      <c r="I47" s="144">
        <f>SUM(Д402[[#This Row],[Комната 1]:[Комната 3]])</f>
        <v>28.6</v>
      </c>
      <c r="J47" s="145">
        <v>14.62</v>
      </c>
      <c r="K47" s="145">
        <v>3.86</v>
      </c>
      <c r="L47" s="145"/>
      <c r="M47" s="145">
        <v>6.1</v>
      </c>
      <c r="N47" s="145"/>
      <c r="O47" s="145">
        <v>3.33</v>
      </c>
      <c r="P47" s="145"/>
      <c r="Q47" s="146"/>
      <c r="R47" s="146">
        <f>SUM(Д402[[#This Row],[Лоджия 1]:[Лоджия 3]])</f>
        <v>3.33</v>
      </c>
      <c r="S47" s="10">
        <f>ROUND(SUM(Д402[[#This Row],[Площадь по проекту жилая]:[Лоджия 3]]),2)</f>
        <v>56.51</v>
      </c>
      <c r="T47" s="10">
        <f>ROUND(Д402[[#This Row],[Площадь по проекту(общая)]]-Д402[[#This Row],[Летние]],2)</f>
        <v>53.18</v>
      </c>
      <c r="U47" s="10">
        <f>ROUND(Д402[[#This Row],[Площадь по проекту(общая)]]-(SUM(Д402[[#This Row],[Лоджия 1]:[Лоджия 3]])/2),2)</f>
        <v>54.85</v>
      </c>
      <c r="V47" s="10">
        <f>VLOOKUP(Д402[[#This Row],[№]],наценка7[],COLUMN(наценка7[[#This Row],[Цена м2 с учетом всех K]]),0)</f>
        <v>116420.9</v>
      </c>
      <c r="W47" s="162"/>
      <c r="X47" s="10">
        <f>Д402[[#This Row],[м2 после К]]+Д402[[#This Row],[02.12.2024]]</f>
        <v>116420.9</v>
      </c>
      <c r="Y47" s="149">
        <v>1000</v>
      </c>
      <c r="Z47" s="10">
        <f>Д402[[#This Row],[Фикс 20.12.24]]+Д402[[#This Row],[23.12.24 СП +1000]]</f>
        <v>117420.9</v>
      </c>
      <c r="AA47" s="149">
        <v>215</v>
      </c>
      <c r="AB47" s="10">
        <f>Д402[[#This Row],[Фикс 23.12.24]]+Д402[[#This Row],[Повышение 20.02.25]]</f>
        <v>117635.9</v>
      </c>
      <c r="AC47" s="149">
        <v>17.5</v>
      </c>
      <c r="AD47" s="10">
        <f>Д402[[#This Row],[Фикс 20.02.25]]+Д402[[#This Row],[Повышение 24.02.2025]]</f>
        <v>117653.4</v>
      </c>
      <c r="AE47" s="149">
        <f>Д402[[#This Row],[Фикс 24.02.25]]*0.5%</f>
        <v>588.26699999999994</v>
      </c>
      <c r="AF47" s="10">
        <f>Д402[[#This Row],[Фикс 24.02.25]]+Д402[[#This Row],[Повышение 05.03.2025
1К: до 40м - 1,5%, 40+ 0,5%
2К - 0,5% ]]</f>
        <v>118241.667</v>
      </c>
      <c r="AG47" s="10"/>
      <c r="AH47" s="10">
        <f>Д402[[#This Row],[Фикс 05.03.25]]+Д402[[#This Row],[повышение 14.03.25 1К-1%]]</f>
        <v>118241.667</v>
      </c>
      <c r="AI47" s="10"/>
      <c r="AJ47" s="10">
        <f>Д402[[#This Row],[Фикс 14.03.25]]+Д402[[#This Row],[повышение 28.03.25 1К-1%]]</f>
        <v>118241.667</v>
      </c>
      <c r="AK47" s="10"/>
      <c r="AL47" s="10">
        <f>Д402[[#This Row],[Фикс 28.03.25]]+Д402[[#This Row],[Повышение 23.07.25
1К 43-46м2 - 2%
2К 55-58 - 2%; 58-64 - 3%
3К 76-79 - 2%
]]</f>
        <v>118241.667</v>
      </c>
      <c r="AM47" s="149">
        <f>ROUND(Д402[[#This Row],[Фикс 23.07.25]],2)</f>
        <v>118241.67</v>
      </c>
      <c r="AN47" s="149">
        <f>ROUNDUP(Д402[[#This Row],[утв цена м2]]*Д402[[#This Row],[Расчетная проектная площадь]],-2)</f>
        <v>6485600</v>
      </c>
      <c r="AO47" s="151"/>
      <c r="AP47" s="152"/>
      <c r="AQ47" s="151">
        <f>Д402[[#This Row],[Стоимость до скидки]]*Д402[[#This Row],[Скидка %]]+Д402[[#This Row],[Скидка фиксированная]]</f>
        <v>0</v>
      </c>
      <c r="AR47" s="3">
        <f>Д402[[#This Row],[Стоимость ОН без отделки со скидкой]]/Д402[[#This Row],[Расчетная проектная площадь]]</f>
        <v>118242.47948951686</v>
      </c>
      <c r="AS47" s="3">
        <f>Д402[[#This Row],[Стоимость до скидки]]-Д402[[#This Row],[Итоговая сумма скидки]]</f>
        <v>6485600</v>
      </c>
      <c r="AT4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7" s="153"/>
      <c r="AV47" s="153"/>
      <c r="AW47" s="3">
        <f>Д402[[#This Row],[Цена м2 без отделки со скидкой]]+Д402[[#This Row],[Стоимость отделки]]</f>
        <v>118242.47948951686</v>
      </c>
      <c r="AX47" s="3">
        <f>Д402[[#This Row],[Стоимость квартиры с отделкой]]-Д402[[#This Row],[Стоимость ОН без отделки со скидкой]]</f>
        <v>0</v>
      </c>
      <c r="AY47" s="3">
        <f>Д402[[#This Row],[Цена м2 с отделкой]]*Д402[[#This Row],[Расчетная проектная площадь]]</f>
        <v>6485600</v>
      </c>
      <c r="AZ47" s="161"/>
      <c r="BA47" s="155" t="s">
        <v>12</v>
      </c>
      <c r="BB47" s="156" t="str" cm="1">
        <f t="array" ref="BB4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47" s="161" t="s">
        <v>738</v>
      </c>
      <c r="BD47" s="161" t="s">
        <v>739</v>
      </c>
      <c r="BE47" s="161" t="s">
        <v>737</v>
      </c>
      <c r="BF47" s="161" t="s">
        <v>744</v>
      </c>
      <c r="BG47" s="161" t="b">
        <f>EXACT(Д402[[#This Row],[Статусы CRM]],Д402[[#This Row],[Статус]])</f>
        <v>1</v>
      </c>
      <c r="BH47" s="3">
        <f>IF(Д402[[#This Row],[ПС]]=0,IF(Д402[[#This Row],[ДС]]=0,Д402[[#This Row],[ТС]],Д402[[#This Row],[ДС]]),Д402[[#This Row],[ПС]])</f>
        <v>6485600</v>
      </c>
      <c r="BI47" s="3">
        <v>6485600</v>
      </c>
      <c r="BJ47" s="3">
        <v>0</v>
      </c>
      <c r="BK47" s="3">
        <v>0</v>
      </c>
      <c r="BL47" s="273">
        <f>Д402[[#This Row],[Стоимость CRM]]-Д402[[#This Row],[Стоимость до скидки]]</f>
        <v>0</v>
      </c>
      <c r="BM47" s="161" t="s">
        <v>9</v>
      </c>
      <c r="BN47" s="161" t="b">
        <f>Д402[[#This Row],[Отделка CRM]]=Д402[[#This Row],[Отделка]]</f>
        <v>1</v>
      </c>
      <c r="BO47" s="275" t="s">
        <v>179</v>
      </c>
      <c r="BP47" s="69"/>
    </row>
    <row r="48" spans="1:68" ht="12" customHeight="1" x14ac:dyDescent="0.25">
      <c r="A48" s="140">
        <v>46</v>
      </c>
      <c r="B48" s="15">
        <v>1</v>
      </c>
      <c r="C48" s="141">
        <f t="shared" si="1"/>
        <v>9</v>
      </c>
      <c r="D48" s="142">
        <v>4</v>
      </c>
      <c r="E48" s="141">
        <v>2</v>
      </c>
      <c r="F48" s="143">
        <v>14.98</v>
      </c>
      <c r="G48" s="143">
        <v>12.28</v>
      </c>
      <c r="H48" s="143"/>
      <c r="I48" s="144">
        <f>SUM(Д402[[#This Row],[Комната 1]:[Комната 3]])</f>
        <v>27.259999999999998</v>
      </c>
      <c r="J48" s="145">
        <v>15.16</v>
      </c>
      <c r="K48" s="145">
        <v>4.4400000000000004</v>
      </c>
      <c r="L48" s="145"/>
      <c r="M48" s="145">
        <v>6.25</v>
      </c>
      <c r="N48" s="145"/>
      <c r="O48" s="145">
        <v>3.33</v>
      </c>
      <c r="P48" s="145"/>
      <c r="Q48" s="146"/>
      <c r="R48" s="146">
        <f>SUM(Д402[[#This Row],[Лоджия 1]:[Лоджия 3]])</f>
        <v>3.33</v>
      </c>
      <c r="S48" s="149">
        <f>ROUND(SUM(Д402[[#This Row],[Площадь по проекту жилая]:[Лоджия 3]]),2)</f>
        <v>56.44</v>
      </c>
      <c r="T48" s="149">
        <f>ROUND(Д402[[#This Row],[Площадь по проекту(общая)]]-Д402[[#This Row],[Летние]],2)</f>
        <v>53.11</v>
      </c>
      <c r="U48" s="149">
        <f>ROUND(Д402[[#This Row],[Площадь по проекту(общая)]]-(SUM(Д402[[#This Row],[Лоджия 1]:[Лоджия 3]])/2),2)</f>
        <v>54.78</v>
      </c>
      <c r="V48" s="149">
        <f>VLOOKUP(Д402[[#This Row],[№]],наценка7[],COLUMN(наценка7[[#This Row],[Цена м2 с учетом всех K]]),0)</f>
        <v>118681.5</v>
      </c>
      <c r="W48" s="159"/>
      <c r="X48" s="149">
        <f>Д402[[#This Row],[м2 после К]]+Д402[[#This Row],[02.12.2024]]</f>
        <v>118681.5</v>
      </c>
      <c r="Y48" s="149">
        <v>1000</v>
      </c>
      <c r="Z48" s="149">
        <f>Д402[[#This Row],[Фикс 20.12.24]]+Д402[[#This Row],[23.12.24 СП +1000]]</f>
        <v>119681.5</v>
      </c>
      <c r="AA48" s="149">
        <v>215</v>
      </c>
      <c r="AB48" s="149">
        <f>Д402[[#This Row],[Фикс 23.12.24]]+Д402[[#This Row],[Повышение 20.02.25]]</f>
        <v>119896.5</v>
      </c>
      <c r="AC48" s="149">
        <v>17.5</v>
      </c>
      <c r="AD48" s="149">
        <f>Д402[[#This Row],[Фикс 20.02.25]]+Д402[[#This Row],[Повышение 24.02.2025]]</f>
        <v>119914</v>
      </c>
      <c r="AE48" s="149">
        <f>Д402[[#This Row],[Фикс 24.02.25]]*0.5%</f>
        <v>599.57000000000005</v>
      </c>
      <c r="AF48" s="149">
        <f>Д402[[#This Row],[Фикс 24.02.25]]+Д402[[#This Row],[Повышение 05.03.2025
1К: до 40м - 1,5%, 40+ 0,5%
2К - 0,5% ]]</f>
        <v>120513.57</v>
      </c>
      <c r="AG48" s="149"/>
      <c r="AH48" s="149">
        <f>Д402[[#This Row],[Фикс 05.03.25]]+Д402[[#This Row],[повышение 14.03.25 1К-1%]]</f>
        <v>120513.57</v>
      </c>
      <c r="AI48" s="149"/>
      <c r="AJ48" s="149">
        <f>Д402[[#This Row],[Фикс 14.03.25]]+Д402[[#This Row],[повышение 28.03.25 1К-1%]]</f>
        <v>120513.57</v>
      </c>
      <c r="AK48" s="149"/>
      <c r="AL48" s="149">
        <f>Д402[[#This Row],[Фикс 28.03.25]]+Д402[[#This Row],[Повышение 23.07.25
1К 43-46м2 - 2%
2К 55-58 - 2%; 58-64 - 3%
3К 76-79 - 2%
]]</f>
        <v>120513.57</v>
      </c>
      <c r="AM48" s="149">
        <f>ROUND(Д402[[#This Row],[Фикс 23.07.25]],2)</f>
        <v>120513.57</v>
      </c>
      <c r="AN48" s="149">
        <f>ROUNDUP(Д402[[#This Row],[утв цена м2]]*Д402[[#This Row],[Расчетная проектная площадь]],-2)</f>
        <v>6601800</v>
      </c>
      <c r="AO48" s="151"/>
      <c r="AP48" s="152"/>
      <c r="AQ48" s="151">
        <f>Д402[[#This Row],[Стоимость до скидки]]*Д402[[#This Row],[Скидка %]]+Д402[[#This Row],[Скидка фиксированная]]</f>
        <v>0</v>
      </c>
      <c r="AR48" s="3">
        <f>Д402[[#This Row],[Стоимость ОН без отделки со скидкой]]/Д402[[#This Row],[Расчетная проектная площадь]]</f>
        <v>120514.78641840088</v>
      </c>
      <c r="AS48" s="3">
        <f>Д402[[#This Row],[Стоимость до скидки]]-Д402[[#This Row],[Итоговая сумма скидки]]</f>
        <v>6601800</v>
      </c>
      <c r="AT4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8" s="153"/>
      <c r="AV48" s="153"/>
      <c r="AW48" s="3">
        <f>Д402[[#This Row],[Цена м2 без отделки со скидкой]]+Д402[[#This Row],[Стоимость отделки]]</f>
        <v>120514.78641840088</v>
      </c>
      <c r="AX48" s="3">
        <f>Д402[[#This Row],[Стоимость квартиры с отделкой]]-Д402[[#This Row],[Стоимость ОН без отделки со скидкой]]</f>
        <v>0</v>
      </c>
      <c r="AY48" s="3">
        <f>Д402[[#This Row],[Цена м2 с отделкой]]*Д402[[#This Row],[Расчетная проектная площадь]]</f>
        <v>6601800</v>
      </c>
      <c r="AZ48" s="161"/>
      <c r="BA48" s="155" t="s">
        <v>12</v>
      </c>
      <c r="BB48" s="156" t="str" cm="1">
        <f t="array" ref="BB4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48" s="161" t="s">
        <v>738</v>
      </c>
      <c r="BD48" s="161" t="s">
        <v>739</v>
      </c>
      <c r="BE48" s="161" t="s">
        <v>737</v>
      </c>
      <c r="BF48" s="161" t="s">
        <v>744</v>
      </c>
      <c r="BG48" s="161" t="b">
        <f>EXACT(Д402[[#This Row],[Статусы CRM]],Д402[[#This Row],[Статус]])</f>
        <v>1</v>
      </c>
      <c r="BH48" s="3">
        <f>IF(Д402[[#This Row],[ПС]]=0,IF(Д402[[#This Row],[ДС]]=0,Д402[[#This Row],[ТС]],Д402[[#This Row],[ДС]]),Д402[[#This Row],[ПС]])</f>
        <v>6601800</v>
      </c>
      <c r="BI48" s="3">
        <v>6601800</v>
      </c>
      <c r="BJ48" s="3">
        <v>0</v>
      </c>
      <c r="BK48" s="3">
        <v>0</v>
      </c>
      <c r="BL48" s="273">
        <f>Д402[[#This Row],[Стоимость CRM]]-Д402[[#This Row],[Стоимость до скидки]]</f>
        <v>0</v>
      </c>
      <c r="BM48" s="161" t="s">
        <v>9</v>
      </c>
      <c r="BN48" s="161" t="b">
        <f>Д402[[#This Row],[Отделка CRM]]=Д402[[#This Row],[Отделка]]</f>
        <v>1</v>
      </c>
      <c r="BO48" s="275" t="s">
        <v>180</v>
      </c>
      <c r="BP48" s="69"/>
    </row>
    <row r="49" spans="1:68" ht="12" customHeight="1" x14ac:dyDescent="0.25">
      <c r="A49" s="140">
        <v>47</v>
      </c>
      <c r="B49" s="15">
        <v>1</v>
      </c>
      <c r="C49" s="141">
        <f t="shared" si="1"/>
        <v>9</v>
      </c>
      <c r="D49" s="142">
        <v>5</v>
      </c>
      <c r="E49" s="141">
        <v>1</v>
      </c>
      <c r="F49" s="143">
        <v>13.06</v>
      </c>
      <c r="G49" s="143"/>
      <c r="H49" s="143"/>
      <c r="I49" s="144">
        <f>SUM(Д402[[#This Row],[Комната 1]:[Комната 3]])</f>
        <v>13.06</v>
      </c>
      <c r="J49" s="145">
        <v>15.1</v>
      </c>
      <c r="K49" s="145">
        <v>4.4400000000000004</v>
      </c>
      <c r="L49" s="145"/>
      <c r="M49" s="145">
        <v>2.9</v>
      </c>
      <c r="N49" s="145"/>
      <c r="O49" s="145">
        <v>3.02</v>
      </c>
      <c r="P49" s="145"/>
      <c r="Q49" s="146"/>
      <c r="R49" s="146">
        <f>SUM(Д402[[#This Row],[Лоджия 1]:[Лоджия 3]])</f>
        <v>3.02</v>
      </c>
      <c r="S49" s="149">
        <f>ROUND(SUM(Д402[[#This Row],[Площадь по проекту жилая]:[Лоджия 3]]),2)</f>
        <v>38.520000000000003</v>
      </c>
      <c r="T49" s="149">
        <f>ROUND(Д402[[#This Row],[Площадь по проекту(общая)]]-Д402[[#This Row],[Летние]],2)</f>
        <v>35.5</v>
      </c>
      <c r="U49" s="149">
        <f>ROUND(Д402[[#This Row],[Площадь по проекту(общая)]]-(SUM(Д402[[#This Row],[Лоджия 1]:[Лоджия 3]])/2),2)</f>
        <v>37.01</v>
      </c>
      <c r="V49" s="149">
        <f>VLOOKUP(Д402[[#This Row],[№]],наценка7[],COLUMN(наценка7[[#This Row],[Цена м2 с учетом всех K]]),0)</f>
        <v>124030.39999999999</v>
      </c>
      <c r="W49" s="159">
        <f>2%*Д402[[#This Row],[м2 после К]]</f>
        <v>2480.6079999999997</v>
      </c>
      <c r="X49" s="149">
        <f>Д402[[#This Row],[м2 после К]]+Д402[[#This Row],[02.12.2024]]</f>
        <v>126511.00799999999</v>
      </c>
      <c r="Y49" s="149">
        <v>1000</v>
      </c>
      <c r="Z49" s="149">
        <f>Д402[[#This Row],[Фикс 20.12.24]]+Д402[[#This Row],[23.12.24 СП +1000]]</f>
        <v>127511.00799999999</v>
      </c>
      <c r="AA49" s="149"/>
      <c r="AB49" s="149">
        <f>Д402[[#This Row],[Фикс 23.12.24]]+Д402[[#This Row],[Повышение 20.02.25]]</f>
        <v>127511.00799999999</v>
      </c>
      <c r="AC49" s="149"/>
      <c r="AD49" s="149">
        <f>Д402[[#This Row],[Фикс 20.02.25]]+Д402[[#This Row],[Повышение 24.02.2025]]</f>
        <v>127511.00799999999</v>
      </c>
      <c r="AE49" s="149"/>
      <c r="AF49" s="149">
        <f>Д402[[#This Row],[Фикс 24.02.25]]+Д402[[#This Row],[Повышение 05.03.2025
1К: до 40м - 1,5%, 40+ 0,5%
2К - 0,5% ]]</f>
        <v>127511.00799999999</v>
      </c>
      <c r="AG49" s="149"/>
      <c r="AH49" s="149">
        <f>Д402[[#This Row],[Фикс 05.03.25]]+Д402[[#This Row],[повышение 14.03.25 1К-1%]]</f>
        <v>127511.00799999999</v>
      </c>
      <c r="AI49" s="149"/>
      <c r="AJ49" s="149">
        <f>Д402[[#This Row],[Фикс 14.03.25]]+Д402[[#This Row],[повышение 28.03.25 1К-1%]]</f>
        <v>127511.00799999999</v>
      </c>
      <c r="AK49" s="149"/>
      <c r="AL49" s="149">
        <f>Д402[[#This Row],[Фикс 28.03.25]]+Д402[[#This Row],[Повышение 23.07.25
1К 43-46м2 - 2%
2К 55-58 - 2%; 58-64 - 3%
3К 76-79 - 2%
]]</f>
        <v>127511.00799999999</v>
      </c>
      <c r="AM49" s="149">
        <f>ROUND(Д402[[#This Row],[Фикс 23.07.25]],2)</f>
        <v>127511.01</v>
      </c>
      <c r="AN49" s="149">
        <f>ROUNDUP(Д402[[#This Row],[утв цена м2]]*Д402[[#This Row],[Расчетная проектная площадь]],-2)</f>
        <v>4719200</v>
      </c>
      <c r="AO49" s="151"/>
      <c r="AP49" s="152">
        <v>0.02</v>
      </c>
      <c r="AQ49" s="151">
        <f>Д402[[#This Row],[Стоимость до скидки]]*Д402[[#This Row],[Скидка %]]+Д402[[#This Row],[Скидка фиксированная]]</f>
        <v>94384</v>
      </c>
      <c r="AR49" s="3">
        <f>Д402[[#This Row],[Стоимость ОН без отделки со скидкой]]/Д402[[#This Row],[Расчетная проектная площадь]]</f>
        <v>124961.25371521211</v>
      </c>
      <c r="AS49" s="3">
        <f>Д402[[#This Row],[Стоимость до скидки]]-Д402[[#This Row],[Итоговая сумма скидки]]</f>
        <v>4624816</v>
      </c>
      <c r="AT4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49" s="153"/>
      <c r="AV49" s="153"/>
      <c r="AW49" s="3">
        <f>Д402[[#This Row],[Цена м2 без отделки со скидкой]]+Д402[[#This Row],[Стоимость отделки]]</f>
        <v>124961.25371521211</v>
      </c>
      <c r="AX49" s="3">
        <f>Д402[[#This Row],[Стоимость квартиры с отделкой]]-Д402[[#This Row],[Стоимость ОН без отделки со скидкой]]</f>
        <v>0</v>
      </c>
      <c r="AY49" s="3">
        <f>Д402[[#This Row],[Цена м2 с отделкой]]*Д402[[#This Row],[Расчетная проектная площадь]]</f>
        <v>4624816</v>
      </c>
      <c r="AZ49" s="161" t="s">
        <v>424</v>
      </c>
      <c r="BA49" s="269" t="s">
        <v>426</v>
      </c>
      <c r="BB49" s="269" t="str" cm="1">
        <f t="array" ref="BB4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49" s="161" t="s">
        <v>741</v>
      </c>
      <c r="BD49" s="161" t="s">
        <v>506</v>
      </c>
      <c r="BE49" s="161" t="s">
        <v>737</v>
      </c>
      <c r="BF49" s="161" t="s">
        <v>745</v>
      </c>
      <c r="BG49" s="161" t="b">
        <f>EXACT(Д402[[#This Row],[Статусы CRM]],Д402[[#This Row],[Статус]])</f>
        <v>1</v>
      </c>
      <c r="BH49" s="3">
        <f>IF(Д402[[#This Row],[ПС]]=0,IF(Д402[[#This Row],[ДС]]=0,Д402[[#This Row],[ТС]],Д402[[#This Row],[ДС]]),Д402[[#This Row],[ПС]])</f>
        <v>4719200</v>
      </c>
      <c r="BI49" s="3" t="s">
        <v>749</v>
      </c>
      <c r="BJ49" s="3">
        <v>0</v>
      </c>
      <c r="BK49" s="3">
        <v>4719200</v>
      </c>
      <c r="BL49" s="273">
        <f>Д402[[#This Row],[Стоимость CRM]]-Д402[[#This Row],[Стоимость до скидки]]</f>
        <v>0</v>
      </c>
      <c r="BM49" s="161" t="s">
        <v>9</v>
      </c>
      <c r="BN49" s="161" t="b">
        <f>Д402[[#This Row],[Отделка CRM]]=Д402[[#This Row],[Отделка]]</f>
        <v>1</v>
      </c>
      <c r="BO49" s="275" t="s">
        <v>181</v>
      </c>
      <c r="BP49" s="69"/>
    </row>
    <row r="50" spans="1:68" ht="12" customHeight="1" x14ac:dyDescent="0.25">
      <c r="A50" s="140">
        <v>48</v>
      </c>
      <c r="B50" s="15">
        <v>1</v>
      </c>
      <c r="C50" s="141">
        <f t="shared" si="1"/>
        <v>9</v>
      </c>
      <c r="D50" s="142">
        <v>6</v>
      </c>
      <c r="E50" s="141">
        <v>1</v>
      </c>
      <c r="F50" s="143">
        <v>14.57</v>
      </c>
      <c r="G50" s="143"/>
      <c r="H50" s="143"/>
      <c r="I50" s="144">
        <f>SUM(Д402[[#This Row],[Комната 1]:[Комната 3]])</f>
        <v>14.57</v>
      </c>
      <c r="J50" s="145">
        <v>16.93</v>
      </c>
      <c r="K50" s="145">
        <v>4.46</v>
      </c>
      <c r="L50" s="145"/>
      <c r="M50" s="145">
        <v>7.75</v>
      </c>
      <c r="N50" s="145"/>
      <c r="O50" s="145">
        <v>3.1</v>
      </c>
      <c r="P50" s="145"/>
      <c r="Q50" s="146"/>
      <c r="R50" s="146">
        <f>SUM(Д402[[#This Row],[Лоджия 1]:[Лоджия 3]])</f>
        <v>3.1</v>
      </c>
      <c r="S50" s="10">
        <f>ROUND(SUM(Д402[[#This Row],[Площадь по проекту жилая]:[Лоджия 3]]),2)</f>
        <v>46.81</v>
      </c>
      <c r="T50" s="10">
        <f>ROUND(Д402[[#This Row],[Площадь по проекту(общая)]]-Д402[[#This Row],[Летние]],2)</f>
        <v>43.71</v>
      </c>
      <c r="U50" s="10">
        <f>ROUND(Д402[[#This Row],[Площадь по проекту(общая)]]-(SUM(Д402[[#This Row],[Лоджия 1]:[Лоджия 3]])/2),2)</f>
        <v>45.26</v>
      </c>
      <c r="V50" s="10">
        <f>VLOOKUP(Д402[[#This Row],[№]],наценка7[],COLUMN(наценка7[[#This Row],[Цена м2 с учетом всех K]]),0)</f>
        <v>122837.8</v>
      </c>
      <c r="W50" s="162"/>
      <c r="X50" s="10">
        <f>Д402[[#This Row],[м2 после К]]+Д402[[#This Row],[02.12.2024]]</f>
        <v>122837.8</v>
      </c>
      <c r="Y50" s="149">
        <v>1000</v>
      </c>
      <c r="Z50" s="10">
        <f>Д402[[#This Row],[Фикс 20.12.24]]+Д402[[#This Row],[23.12.24 СП +1000]]</f>
        <v>123837.8</v>
      </c>
      <c r="AA50" s="149">
        <v>215</v>
      </c>
      <c r="AB50" s="10">
        <f>Д402[[#This Row],[Фикс 23.12.24]]+Д402[[#This Row],[Повышение 20.02.25]]</f>
        <v>124052.8</v>
      </c>
      <c r="AC50" s="149">
        <v>17.5</v>
      </c>
      <c r="AD50" s="10">
        <f>Д402[[#This Row],[Фикс 20.02.25]]+Д402[[#This Row],[Повышение 24.02.2025]]</f>
        <v>124070.3</v>
      </c>
      <c r="AE50" s="149">
        <f>Д402[[#This Row],[Фикс 24.02.25]]*0.5%</f>
        <v>620.35149999999999</v>
      </c>
      <c r="AF50" s="10">
        <f>Д402[[#This Row],[Фикс 24.02.25]]+Д402[[#This Row],[Повышение 05.03.2025
1К: до 40м - 1,5%, 40+ 0,5%
2К - 0,5% ]]</f>
        <v>124690.65150000001</v>
      </c>
      <c r="AG50" s="149">
        <f>Д402[[#This Row],[Фикс 05.03.25]]*1%</f>
        <v>1246.9065150000001</v>
      </c>
      <c r="AH50" s="10">
        <f>Д402[[#This Row],[Фикс 05.03.25]]+Д402[[#This Row],[повышение 14.03.25 1К-1%]]</f>
        <v>125937.558015</v>
      </c>
      <c r="AI50" s="149">
        <f>Д402[[#This Row],[Фикс 14.03.25]]*1%</f>
        <v>1259.3755801500001</v>
      </c>
      <c r="AJ50" s="10">
        <f>Д402[[#This Row],[Фикс 14.03.25]]+Д402[[#This Row],[повышение 28.03.25 1К-1%]]</f>
        <v>127196.93359515</v>
      </c>
      <c r="AK50" s="149">
        <f>Д402[[#This Row],[Фикс 28.03.25]]*2%</f>
        <v>2543.9386719029999</v>
      </c>
      <c r="AL50" s="10">
        <f>Д402[[#This Row],[Фикс 28.03.25]]+Д402[[#This Row],[Повышение 23.07.25
1К 43-46м2 - 2%
2К 55-58 - 2%; 58-64 - 3%
3К 76-79 - 2%
]]</f>
        <v>129740.872267053</v>
      </c>
      <c r="AM50" s="149">
        <f>ROUND(Д402[[#This Row],[Фикс 23.07.25]],2)</f>
        <v>129740.87</v>
      </c>
      <c r="AN50" s="149">
        <f>ROUNDUP(Д402[[#This Row],[утв цена м2]]*Д402[[#This Row],[Расчетная проектная площадь]],-2)</f>
        <v>5872100</v>
      </c>
      <c r="AO50" s="151"/>
      <c r="AP50" s="152"/>
      <c r="AQ50" s="151">
        <f>Д402[[#This Row],[Стоимость до скидки]]*Д402[[#This Row],[Скидка %]]+Д402[[#This Row],[Скидка фиксированная]]</f>
        <v>0</v>
      </c>
      <c r="AR50" s="3">
        <f>Д402[[#This Row],[Стоимость ОН без отделки со скидкой]]/Д402[[#This Row],[Расчетная проектная площадь]]</f>
        <v>129741.49359257623</v>
      </c>
      <c r="AS50" s="3">
        <f>Д402[[#This Row],[Стоимость до скидки]]-Д402[[#This Row],[Итоговая сумма скидки]]</f>
        <v>5872100</v>
      </c>
      <c r="AT5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0" s="153"/>
      <c r="AV50" s="153"/>
      <c r="AW50" s="3">
        <f>Д402[[#This Row],[Цена м2 без отделки со скидкой]]+Д402[[#This Row],[Стоимость отделки]]</f>
        <v>129741.49359257623</v>
      </c>
      <c r="AX50" s="3">
        <f>Д402[[#This Row],[Стоимость квартиры с отделкой]]-Д402[[#This Row],[Стоимость ОН без отделки со скидкой]]</f>
        <v>0</v>
      </c>
      <c r="AY50" s="3">
        <f>Д402[[#This Row],[Цена м2 с отделкой]]*Д402[[#This Row],[Расчетная проектная площадь]]</f>
        <v>5872100</v>
      </c>
      <c r="AZ50" s="161"/>
      <c r="BA50" s="155" t="s">
        <v>12</v>
      </c>
      <c r="BB50" s="156" t="str" cm="1">
        <f t="array" ref="BB5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50" s="161" t="s">
        <v>738</v>
      </c>
      <c r="BD50" s="161" t="s">
        <v>739</v>
      </c>
      <c r="BE50" s="161" t="s">
        <v>737</v>
      </c>
      <c r="BF50" s="161" t="s">
        <v>745</v>
      </c>
      <c r="BG50" s="161" t="b">
        <f>EXACT(Д402[[#This Row],[Статусы CRM]],Д402[[#This Row],[Статус]])</f>
        <v>1</v>
      </c>
      <c r="BH50" s="3">
        <f>IF(Д402[[#This Row],[ПС]]=0,IF(Д402[[#This Row],[ДС]]=0,Д402[[#This Row],[ТС]],Д402[[#This Row],[ДС]]),Д402[[#This Row],[ПС]])</f>
        <v>5872100</v>
      </c>
      <c r="BI50" s="3">
        <v>5872100</v>
      </c>
      <c r="BJ50" s="3">
        <v>0</v>
      </c>
      <c r="BK50" s="3">
        <v>0</v>
      </c>
      <c r="BL50" s="273">
        <f>Д402[[#This Row],[Стоимость CRM]]-Д402[[#This Row],[Стоимость до скидки]]</f>
        <v>0</v>
      </c>
      <c r="BM50" s="161" t="s">
        <v>9</v>
      </c>
      <c r="BN50" s="161" t="b">
        <f>Д402[[#This Row],[Отделка CRM]]=Д402[[#This Row],[Отделка]]</f>
        <v>1</v>
      </c>
      <c r="BO50" s="275" t="s">
        <v>182</v>
      </c>
      <c r="BP50" s="69"/>
    </row>
    <row r="51" spans="1:68" ht="12" customHeight="1" x14ac:dyDescent="0.25">
      <c r="A51" s="140">
        <v>49</v>
      </c>
      <c r="B51" s="175">
        <v>1</v>
      </c>
      <c r="C51" s="141">
        <f t="shared" si="1"/>
        <v>10</v>
      </c>
      <c r="D51" s="142">
        <v>1</v>
      </c>
      <c r="E51" s="141">
        <v>0</v>
      </c>
      <c r="F51" s="143">
        <v>14.66</v>
      </c>
      <c r="G51" s="143"/>
      <c r="H51" s="143"/>
      <c r="I51" s="144">
        <f>SUM(Д402[[#This Row],[Комната 1]:[Комната 3]])</f>
        <v>14.66</v>
      </c>
      <c r="J51" s="145">
        <v>6.15</v>
      </c>
      <c r="K51" s="145">
        <v>4.95</v>
      </c>
      <c r="L51" s="145"/>
      <c r="M51" s="145">
        <v>3.86</v>
      </c>
      <c r="N51" s="145"/>
      <c r="O51" s="145"/>
      <c r="P51" s="145"/>
      <c r="Q51" s="146"/>
      <c r="R51" s="146">
        <f>SUM(Д402[[#This Row],[Лоджия 1]:[Лоджия 3]])</f>
        <v>0</v>
      </c>
      <c r="S51" s="10">
        <f>ROUND(SUM(Д402[[#This Row],[Площадь по проекту жилая]:[Лоджия 3]]),2)</f>
        <v>29.62</v>
      </c>
      <c r="T51" s="10">
        <f>ROUND(Д402[[#This Row],[Площадь по проекту(общая)]]-Д402[[#This Row],[Летние]],2)</f>
        <v>29.62</v>
      </c>
      <c r="U51" s="10">
        <f>ROUND(Д402[[#This Row],[Площадь по проекту(общая)]]-(SUM(Д402[[#This Row],[Лоджия 1]:[Лоджия 3]])/2),2)</f>
        <v>29.62</v>
      </c>
      <c r="V51" s="10">
        <f>VLOOKUP(Д402[[#This Row],[№]],наценка7[],COLUMN(наценка7[[#This Row],[Цена м2 с учетом всех K]]),0)</f>
        <v>139730</v>
      </c>
      <c r="W51" s="159">
        <v>200</v>
      </c>
      <c r="X51" s="10">
        <f>Д402[[#This Row],[м2 после К]]+Д402[[#This Row],[02.12.2024]]</f>
        <v>139930</v>
      </c>
      <c r="Y51" s="149">
        <v>1000</v>
      </c>
      <c r="Z51" s="10">
        <f>Д402[[#This Row],[Фикс 20.12.24]]+Д402[[#This Row],[23.12.24 СП +1000]]</f>
        <v>140930</v>
      </c>
      <c r="AA51" s="149">
        <v>215</v>
      </c>
      <c r="AB51" s="10">
        <f>Д402[[#This Row],[Фикс 23.12.24]]+Д402[[#This Row],[Повышение 20.02.25]]</f>
        <v>141145</v>
      </c>
      <c r="AC51" s="149">
        <v>17.5</v>
      </c>
      <c r="AD51" s="10">
        <f>Д402[[#This Row],[Фикс 20.02.25]]+Д402[[#This Row],[Повышение 24.02.2025]]</f>
        <v>141162.5</v>
      </c>
      <c r="AE51" s="10"/>
      <c r="AF51" s="10">
        <f>Д402[[#This Row],[Фикс 24.02.25]]+Д402[[#This Row],[Повышение 05.03.2025
1К: до 40м - 1,5%, 40+ 0,5%
2К - 0,5% ]]</f>
        <v>141162.5</v>
      </c>
      <c r="AG51" s="10"/>
      <c r="AH51" s="10">
        <f>Д402[[#This Row],[Фикс 05.03.25]]+Д402[[#This Row],[повышение 14.03.25 1К-1%]]</f>
        <v>141162.5</v>
      </c>
      <c r="AI51" s="10"/>
      <c r="AJ51" s="10">
        <f>Д402[[#This Row],[Фикс 14.03.25]]+Д402[[#This Row],[повышение 28.03.25 1К-1%]]</f>
        <v>141162.5</v>
      </c>
      <c r="AK51" s="10"/>
      <c r="AL51" s="10">
        <f>Д402[[#This Row],[Фикс 28.03.25]]+Д402[[#This Row],[Повышение 23.07.25
1К 43-46м2 - 2%
2К 55-58 - 2%; 58-64 - 3%
3К 76-79 - 2%
]]</f>
        <v>141162.5</v>
      </c>
      <c r="AM51" s="149">
        <f>ROUND(Д402[[#This Row],[Фикс 23.07.25]],2)</f>
        <v>141162.5</v>
      </c>
      <c r="AN51" s="149">
        <f>ROUNDUP(Д402[[#This Row],[утв цена м2]]*Д402[[#This Row],[Расчетная проектная площадь]],-2)</f>
        <v>4181300</v>
      </c>
      <c r="AO51" s="151"/>
      <c r="AP51" s="152"/>
      <c r="AQ51" s="151">
        <f>Д402[[#This Row],[Стоимость до скидки]]*Д402[[#This Row],[Скидка %]]+Д402[[#This Row],[Скидка фиксированная]]</f>
        <v>0</v>
      </c>
      <c r="AR51" s="3">
        <f>Д402[[#This Row],[Стоимость ОН без отделки со скидкой]]/Д402[[#This Row],[Расчетная проектная площадь]]</f>
        <v>141164.75354490208</v>
      </c>
      <c r="AS51" s="3">
        <f>Д402[[#This Row],[Стоимость до скидки]]-Д402[[#This Row],[Итоговая сумма скидки]]</f>
        <v>4181300</v>
      </c>
      <c r="AT5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1" s="153"/>
      <c r="AV51" s="153"/>
      <c r="AW51" s="3">
        <f>Д402[[#This Row],[Цена м2 без отделки со скидкой]]+Д402[[#This Row],[Стоимость отделки]]</f>
        <v>141164.75354490208</v>
      </c>
      <c r="AX51" s="3">
        <f>Д402[[#This Row],[Стоимость квартиры с отделкой]]-Д402[[#This Row],[Стоимость ОН без отделки со скидкой]]</f>
        <v>0</v>
      </c>
      <c r="AY51" s="3">
        <f>Д402[[#This Row],[Цена м2 с отделкой]]*Д402[[#This Row],[Расчетная проектная площадь]]</f>
        <v>4181299.9999999995</v>
      </c>
      <c r="AZ51" s="161"/>
      <c r="BA51" s="269" t="s">
        <v>128</v>
      </c>
      <c r="BB51" s="269" t="str" cm="1">
        <f t="array" ref="BB5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51" s="161" t="s">
        <v>740</v>
      </c>
      <c r="BD51" s="161" t="s">
        <v>506</v>
      </c>
      <c r="BE51" s="161" t="s">
        <v>737</v>
      </c>
      <c r="BF51" s="161" t="s">
        <v>743</v>
      </c>
      <c r="BG51" s="161" t="b">
        <f>EXACT(Д402[[#This Row],[Статусы CRM]],Д402[[#This Row],[Статус]])</f>
        <v>1</v>
      </c>
      <c r="BH51" s="3">
        <f>IF(Д402[[#This Row],[ПС]]=0,IF(Д402[[#This Row],[ДС]]=0,Д402[[#This Row],[ТС]],Д402[[#This Row],[ДС]]),Д402[[#This Row],[ПС]])</f>
        <v>4181300</v>
      </c>
      <c r="BI51" s="3">
        <v>4181300</v>
      </c>
      <c r="BJ51" s="3">
        <v>0</v>
      </c>
      <c r="BK51" s="3">
        <v>0</v>
      </c>
      <c r="BL51" s="273">
        <f>Д402[[#This Row],[Стоимость CRM]]-Д402[[#This Row],[Стоимость до скидки]]</f>
        <v>0</v>
      </c>
      <c r="BM51" s="161" t="s">
        <v>9</v>
      </c>
      <c r="BN51" s="161" t="b">
        <f>Д402[[#This Row],[Отделка CRM]]=Д402[[#This Row],[Отделка]]</f>
        <v>1</v>
      </c>
      <c r="BO51" s="275" t="s">
        <v>183</v>
      </c>
      <c r="BP51" s="69"/>
    </row>
    <row r="52" spans="1:68" ht="12" customHeight="1" x14ac:dyDescent="0.25">
      <c r="A52" s="140">
        <v>50</v>
      </c>
      <c r="B52" s="175">
        <v>1</v>
      </c>
      <c r="C52" s="141">
        <f t="shared" si="1"/>
        <v>10</v>
      </c>
      <c r="D52" s="142">
        <v>2</v>
      </c>
      <c r="E52" s="141">
        <v>2</v>
      </c>
      <c r="F52" s="143">
        <v>16.100000000000001</v>
      </c>
      <c r="G52" s="143">
        <v>10.8</v>
      </c>
      <c r="H52" s="143"/>
      <c r="I52" s="144">
        <f>SUM(Д402[[#This Row],[Комната 1]:[Комната 3]])</f>
        <v>26.900000000000002</v>
      </c>
      <c r="J52" s="145">
        <v>17.61</v>
      </c>
      <c r="K52" s="145">
        <v>4.25</v>
      </c>
      <c r="L52" s="145"/>
      <c r="M52" s="145">
        <v>9.68</v>
      </c>
      <c r="N52" s="145"/>
      <c r="O52" s="145">
        <v>3.15</v>
      </c>
      <c r="P52" s="145"/>
      <c r="Q52" s="146"/>
      <c r="R52" s="146">
        <f>SUM(Д402[[#This Row],[Лоджия 1]:[Лоджия 3]])</f>
        <v>3.15</v>
      </c>
      <c r="S52" s="10">
        <f>ROUND(SUM(Д402[[#This Row],[Площадь по проекту жилая]:[Лоджия 3]]),2)</f>
        <v>61.59</v>
      </c>
      <c r="T52" s="10">
        <f>ROUND(Д402[[#This Row],[Площадь по проекту(общая)]]-Д402[[#This Row],[Летние]],2)</f>
        <v>58.44</v>
      </c>
      <c r="U52" s="10">
        <f>ROUND(Д402[[#This Row],[Площадь по проекту(общая)]]-(SUM(Д402[[#This Row],[Лоджия 1]:[Лоджия 3]])/2),2)</f>
        <v>60.02</v>
      </c>
      <c r="V52" s="10">
        <f>VLOOKUP(Д402[[#This Row],[№]],наценка7[],COLUMN(наценка7[[#This Row],[Цена м2 с учетом всех K]]),0)</f>
        <v>119811.8</v>
      </c>
      <c r="W52" s="162"/>
      <c r="X52" s="10">
        <f>Д402[[#This Row],[м2 после К]]+Д402[[#This Row],[02.12.2024]]</f>
        <v>119811.8</v>
      </c>
      <c r="Y52" s="149">
        <v>1000</v>
      </c>
      <c r="Z52" s="10">
        <f>Д402[[#This Row],[Фикс 20.12.24]]+Д402[[#This Row],[23.12.24 СП +1000]]</f>
        <v>120811.8</v>
      </c>
      <c r="AA52" s="149">
        <v>215</v>
      </c>
      <c r="AB52" s="10">
        <f>Д402[[#This Row],[Фикс 23.12.24]]+Д402[[#This Row],[Повышение 20.02.25]]</f>
        <v>121026.8</v>
      </c>
      <c r="AC52" s="149">
        <v>17.5</v>
      </c>
      <c r="AD52" s="10">
        <f>Д402[[#This Row],[Фикс 20.02.25]]+Д402[[#This Row],[Повышение 24.02.2025]]</f>
        <v>121044.3</v>
      </c>
      <c r="AE52" s="149">
        <f>Д402[[#This Row],[Фикс 24.02.25]]*0.5%</f>
        <v>605.22149999999999</v>
      </c>
      <c r="AF52" s="10">
        <f>Д402[[#This Row],[Фикс 24.02.25]]+Д402[[#This Row],[Повышение 05.03.2025
1К: до 40м - 1,5%, 40+ 0,5%
2К - 0,5% ]]</f>
        <v>121649.5215</v>
      </c>
      <c r="AG52" s="10"/>
      <c r="AH52" s="10">
        <f>Д402[[#This Row],[Фикс 05.03.25]]+Д402[[#This Row],[повышение 14.03.25 1К-1%]]</f>
        <v>121649.5215</v>
      </c>
      <c r="AI52" s="10"/>
      <c r="AJ52" s="10">
        <f>Д402[[#This Row],[Фикс 14.03.25]]+Д402[[#This Row],[повышение 28.03.25 1К-1%]]</f>
        <v>121649.5215</v>
      </c>
      <c r="AK52" s="10">
        <f>Д402[[#This Row],[Фикс 28.03.25]]*3%</f>
        <v>3649.4856449999997</v>
      </c>
      <c r="AL52" s="10">
        <f>Д402[[#This Row],[Фикс 28.03.25]]+Д402[[#This Row],[Повышение 23.07.25
1К 43-46м2 - 2%
2К 55-58 - 2%; 58-64 - 3%
3К 76-79 - 2%
]]</f>
        <v>125299.007145</v>
      </c>
      <c r="AM52" s="149">
        <f>ROUND(Д402[[#This Row],[Фикс 23.07.25]],2)</f>
        <v>125299.01</v>
      </c>
      <c r="AN52" s="149">
        <f>ROUNDUP(Д402[[#This Row],[утв цена м2]]*Д402[[#This Row],[Расчетная проектная площадь]],-2)</f>
        <v>7520500</v>
      </c>
      <c r="AO52" s="151"/>
      <c r="AP52" s="152"/>
      <c r="AQ52" s="151">
        <f>Д402[[#This Row],[Стоимость до скидки]]*Д402[[#This Row],[Скидка %]]+Д402[[#This Row],[Скидка фиксированная]]</f>
        <v>0</v>
      </c>
      <c r="AR52" s="3">
        <f>Д402[[#This Row],[Стоимость ОН без отделки со скидкой]]/Д402[[#This Row],[Расчетная проектная площадь]]</f>
        <v>125299.90003332222</v>
      </c>
      <c r="AS52" s="3">
        <f>Д402[[#This Row],[Стоимость до скидки]]-Д402[[#This Row],[Итоговая сумма скидки]]</f>
        <v>7520500</v>
      </c>
      <c r="AT5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52" s="153">
        <v>30000</v>
      </c>
      <c r="AV52" s="153" t="s">
        <v>722</v>
      </c>
      <c r="AW52" s="3">
        <f>Д402[[#This Row],[Цена м2 без отделки со скидкой]]+Д402[[#This Row],[Стоимость отделки]]</f>
        <v>155299.90003332222</v>
      </c>
      <c r="AX52" s="3">
        <f>Д402[[#This Row],[Стоимость квартиры с отделкой]]-Д402[[#This Row],[Стоимость ОН без отделки со скидкой]]</f>
        <v>1800600</v>
      </c>
      <c r="AY52" s="3">
        <f>Д402[[#This Row],[Цена м2 с отделкой]]*Д402[[#This Row],[Расчетная проектная площадь]]</f>
        <v>9321100</v>
      </c>
      <c r="AZ52" s="161"/>
      <c r="BA52" s="155" t="s">
        <v>12</v>
      </c>
      <c r="BB52" s="156" t="str" cm="1">
        <f t="array" ref="BB5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52" s="161" t="s">
        <v>738</v>
      </c>
      <c r="BD52" s="161" t="s">
        <v>739</v>
      </c>
      <c r="BE52" s="161" t="s">
        <v>737</v>
      </c>
      <c r="BF52" s="161" t="s">
        <v>744</v>
      </c>
      <c r="BG52" s="161" t="b">
        <f>EXACT(Д402[[#This Row],[Статусы CRM]],Д402[[#This Row],[Статус]])</f>
        <v>1</v>
      </c>
      <c r="BH52" s="3">
        <f>IF(Д402[[#This Row],[ПС]]=0,IF(Д402[[#This Row],[ДС]]=0,Д402[[#This Row],[ТС]],Д402[[#This Row],[ДС]]),Д402[[#This Row],[ПС]])</f>
        <v>7520500</v>
      </c>
      <c r="BI52" s="3">
        <v>7520500</v>
      </c>
      <c r="BJ52" s="3">
        <v>0</v>
      </c>
      <c r="BK52" s="3">
        <v>0</v>
      </c>
      <c r="BL52" s="273">
        <f>Д402[[#This Row],[Стоимость CRM]]-Д402[[#This Row],[Стоимость до скидки]]</f>
        <v>0</v>
      </c>
      <c r="BM52" s="161" t="s">
        <v>11</v>
      </c>
      <c r="BN52" s="161" t="b">
        <f>Д402[[#This Row],[Отделка CRM]]=Д402[[#This Row],[Отделка]]</f>
        <v>1</v>
      </c>
      <c r="BO52" s="275" t="s">
        <v>184</v>
      </c>
      <c r="BP52" s="69"/>
    </row>
    <row r="53" spans="1:68" ht="12" customHeight="1" x14ac:dyDescent="0.25">
      <c r="A53" s="140">
        <v>51</v>
      </c>
      <c r="B53" s="175">
        <v>1</v>
      </c>
      <c r="C53" s="141">
        <f t="shared" si="1"/>
        <v>10</v>
      </c>
      <c r="D53" s="142">
        <v>3</v>
      </c>
      <c r="E53" s="141">
        <v>2</v>
      </c>
      <c r="F53" s="143">
        <v>16.41</v>
      </c>
      <c r="G53" s="143">
        <v>12.19</v>
      </c>
      <c r="H53" s="143"/>
      <c r="I53" s="144">
        <f>SUM(Д402[[#This Row],[Комната 1]:[Комната 3]])</f>
        <v>28.6</v>
      </c>
      <c r="J53" s="145">
        <v>14.53</v>
      </c>
      <c r="K53" s="145">
        <v>3.86</v>
      </c>
      <c r="L53" s="145"/>
      <c r="M53" s="145">
        <v>6.1</v>
      </c>
      <c r="N53" s="145"/>
      <c r="O53" s="145">
        <v>3.33</v>
      </c>
      <c r="P53" s="146"/>
      <c r="Q53" s="146"/>
      <c r="R53" s="146">
        <f>SUM(Д402[[#This Row],[Лоджия 1]:[Лоджия 3]])</f>
        <v>3.33</v>
      </c>
      <c r="S53" s="10">
        <f>ROUND(SUM(Д402[[#This Row],[Площадь по проекту жилая]:[Лоджия 3]]),2)</f>
        <v>56.42</v>
      </c>
      <c r="T53" s="10">
        <f>ROUND(Д402[[#This Row],[Площадь по проекту(общая)]]-Д402[[#This Row],[Летние]],2)</f>
        <v>53.09</v>
      </c>
      <c r="U53" s="10">
        <f>ROUND(Д402[[#This Row],[Площадь по проекту(общая)]]-(SUM(Д402[[#This Row],[Лоджия 1]:[Лоджия 3]])/2),2)</f>
        <v>54.76</v>
      </c>
      <c r="V53" s="10">
        <f>VLOOKUP(Д402[[#This Row],[№]],наценка7[],COLUMN(наценка7[[#This Row],[Цена м2 с учетом всех K]]),0)</f>
        <v>117551.2</v>
      </c>
      <c r="W53" s="162"/>
      <c r="X53" s="10">
        <f>Д402[[#This Row],[м2 после К]]+Д402[[#This Row],[02.12.2024]]</f>
        <v>117551.2</v>
      </c>
      <c r="Y53" s="149">
        <v>1000</v>
      </c>
      <c r="Z53" s="10">
        <f>Д402[[#This Row],[Фикс 20.12.24]]+Д402[[#This Row],[23.12.24 СП +1000]]</f>
        <v>118551.2</v>
      </c>
      <c r="AA53" s="149">
        <v>215</v>
      </c>
      <c r="AB53" s="10">
        <f>Д402[[#This Row],[Фикс 23.12.24]]+Д402[[#This Row],[Повышение 20.02.25]]</f>
        <v>118766.2</v>
      </c>
      <c r="AC53" s="149">
        <v>17.5</v>
      </c>
      <c r="AD53" s="10">
        <f>Д402[[#This Row],[Фикс 20.02.25]]+Д402[[#This Row],[Повышение 24.02.2025]]</f>
        <v>118783.7</v>
      </c>
      <c r="AE53" s="149">
        <f>Д402[[#This Row],[Фикс 24.02.25]]*0.5%</f>
        <v>593.91849999999999</v>
      </c>
      <c r="AF53" s="10">
        <f>Д402[[#This Row],[Фикс 24.02.25]]+Д402[[#This Row],[Повышение 05.03.2025
1К: до 40м - 1,5%, 40+ 0,5%
2К - 0,5% ]]</f>
        <v>119377.6185</v>
      </c>
      <c r="AG53" s="10"/>
      <c r="AH53" s="10">
        <f>Д402[[#This Row],[Фикс 05.03.25]]+Д402[[#This Row],[повышение 14.03.25 1К-1%]]</f>
        <v>119377.6185</v>
      </c>
      <c r="AI53" s="10"/>
      <c r="AJ53" s="10">
        <f>Д402[[#This Row],[Фикс 14.03.25]]+Д402[[#This Row],[повышение 28.03.25 1К-1%]]</f>
        <v>119377.6185</v>
      </c>
      <c r="AK53" s="10"/>
      <c r="AL53" s="10">
        <f>Д402[[#This Row],[Фикс 28.03.25]]+Д402[[#This Row],[Повышение 23.07.25
1К 43-46м2 - 2%
2К 55-58 - 2%; 58-64 - 3%
3К 76-79 - 2%
]]</f>
        <v>119377.6185</v>
      </c>
      <c r="AM53" s="149">
        <f>ROUND(Д402[[#This Row],[Фикс 23.07.25]],2)</f>
        <v>119377.62</v>
      </c>
      <c r="AN53" s="149">
        <f>ROUNDUP(Д402[[#This Row],[утв цена м2]]*Д402[[#This Row],[Расчетная проектная площадь]],-2)</f>
        <v>6537200</v>
      </c>
      <c r="AO53" s="151"/>
      <c r="AP53" s="152"/>
      <c r="AQ53" s="151">
        <f>Д402[[#This Row],[Стоимость до скидки]]*Д402[[#This Row],[Скидка %]]+Д402[[#This Row],[Скидка фиксированная]]</f>
        <v>0</v>
      </c>
      <c r="AR53" s="3">
        <f>Д402[[#This Row],[Стоимость ОН без отделки со скидкой]]/Д402[[#This Row],[Расчетная проектная площадь]]</f>
        <v>119379.1088385683</v>
      </c>
      <c r="AS53" s="3">
        <f>Д402[[#This Row],[Стоимость до скидки]]-Д402[[#This Row],[Итоговая сумма скидки]]</f>
        <v>6537200</v>
      </c>
      <c r="AT5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3" s="153"/>
      <c r="AV53" s="153"/>
      <c r="AW53" s="3">
        <f>Д402[[#This Row],[Цена м2 без отделки со скидкой]]+Д402[[#This Row],[Стоимость отделки]]</f>
        <v>119379.1088385683</v>
      </c>
      <c r="AX53" s="3">
        <f>Д402[[#This Row],[Стоимость квартиры с отделкой]]-Д402[[#This Row],[Стоимость ОН без отделки со скидкой]]</f>
        <v>0</v>
      </c>
      <c r="AY53" s="3">
        <f>Д402[[#This Row],[Цена м2 с отделкой]]*Д402[[#This Row],[Расчетная проектная площадь]]</f>
        <v>6537200</v>
      </c>
      <c r="AZ53" s="161"/>
      <c r="BA53" s="155" t="s">
        <v>12</v>
      </c>
      <c r="BB53" s="156" t="str" cm="1">
        <f t="array" ref="BB5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53" s="161" t="s">
        <v>738</v>
      </c>
      <c r="BD53" s="161" t="s">
        <v>739</v>
      </c>
      <c r="BE53" s="161" t="s">
        <v>737</v>
      </c>
      <c r="BF53" s="161" t="s">
        <v>744</v>
      </c>
      <c r="BG53" s="161" t="b">
        <f>EXACT(Д402[[#This Row],[Статусы CRM]],Д402[[#This Row],[Статус]])</f>
        <v>1</v>
      </c>
      <c r="BH53" s="3">
        <f>IF(Д402[[#This Row],[ПС]]=0,IF(Д402[[#This Row],[ДС]]=0,Д402[[#This Row],[ТС]],Д402[[#This Row],[ДС]]),Д402[[#This Row],[ПС]])</f>
        <v>6537200</v>
      </c>
      <c r="BI53" s="3">
        <v>6537200</v>
      </c>
      <c r="BJ53" s="3">
        <v>0</v>
      </c>
      <c r="BK53" s="3">
        <v>0</v>
      </c>
      <c r="BL53" s="273">
        <f>Д402[[#This Row],[Стоимость CRM]]-Д402[[#This Row],[Стоимость до скидки]]</f>
        <v>0</v>
      </c>
      <c r="BM53" s="161" t="s">
        <v>9</v>
      </c>
      <c r="BN53" s="161" t="b">
        <f>Д402[[#This Row],[Отделка CRM]]=Д402[[#This Row],[Отделка]]</f>
        <v>1</v>
      </c>
      <c r="BO53" s="275" t="s">
        <v>185</v>
      </c>
      <c r="BP53" s="69"/>
    </row>
    <row r="54" spans="1:68" ht="12" customHeight="1" x14ac:dyDescent="0.25">
      <c r="A54" s="140">
        <v>52</v>
      </c>
      <c r="B54" s="175">
        <v>1</v>
      </c>
      <c r="C54" s="141">
        <f t="shared" si="1"/>
        <v>10</v>
      </c>
      <c r="D54" s="142">
        <v>4</v>
      </c>
      <c r="E54" s="141">
        <v>2</v>
      </c>
      <c r="F54" s="143">
        <v>14.98</v>
      </c>
      <c r="G54" s="143">
        <v>12.28</v>
      </c>
      <c r="H54" s="143"/>
      <c r="I54" s="144">
        <f>SUM(Д402[[#This Row],[Комната 1]:[Комната 3]])</f>
        <v>27.259999999999998</v>
      </c>
      <c r="J54" s="145">
        <v>15.07</v>
      </c>
      <c r="K54" s="145">
        <v>4.4400000000000004</v>
      </c>
      <c r="L54" s="145"/>
      <c r="M54" s="145">
        <v>6.25</v>
      </c>
      <c r="N54" s="145"/>
      <c r="O54" s="145">
        <v>3.33</v>
      </c>
      <c r="P54" s="146"/>
      <c r="Q54" s="146"/>
      <c r="R54" s="146">
        <f>SUM(Д402[[#This Row],[Лоджия 1]:[Лоджия 3]])</f>
        <v>3.33</v>
      </c>
      <c r="S54" s="10">
        <f>ROUND(SUM(Д402[[#This Row],[Площадь по проекту жилая]:[Лоджия 3]]),2)</f>
        <v>56.35</v>
      </c>
      <c r="T54" s="10">
        <f>ROUND(Д402[[#This Row],[Площадь по проекту(общая)]]-Д402[[#This Row],[Летние]],2)</f>
        <v>53.02</v>
      </c>
      <c r="U54" s="10">
        <f>ROUND(Д402[[#This Row],[Площадь по проекту(общая)]]-(SUM(Д402[[#This Row],[Лоджия 1]:[Лоджия 3]])/2),2)</f>
        <v>54.69</v>
      </c>
      <c r="V54" s="10">
        <f>VLOOKUP(Д402[[#This Row],[№]],наценка7[],COLUMN(наценка7[[#This Row],[Цена м2 с учетом всех K]]),0)</f>
        <v>119811.8</v>
      </c>
      <c r="W54" s="162"/>
      <c r="X54" s="10">
        <f>Д402[[#This Row],[м2 после К]]+Д402[[#This Row],[02.12.2024]]</f>
        <v>119811.8</v>
      </c>
      <c r="Y54" s="149">
        <v>1000</v>
      </c>
      <c r="Z54" s="10">
        <f>Д402[[#This Row],[Фикс 20.12.24]]+Д402[[#This Row],[23.12.24 СП +1000]]</f>
        <v>120811.8</v>
      </c>
      <c r="AA54" s="149">
        <v>215</v>
      </c>
      <c r="AB54" s="10">
        <f>Д402[[#This Row],[Фикс 23.12.24]]+Д402[[#This Row],[Повышение 20.02.25]]</f>
        <v>121026.8</v>
      </c>
      <c r="AC54" s="149">
        <v>17.5</v>
      </c>
      <c r="AD54" s="10">
        <f>Д402[[#This Row],[Фикс 20.02.25]]+Д402[[#This Row],[Повышение 24.02.2025]]</f>
        <v>121044.3</v>
      </c>
      <c r="AE54" s="149">
        <f>Д402[[#This Row],[Фикс 24.02.25]]*0.5%</f>
        <v>605.22149999999999</v>
      </c>
      <c r="AF54" s="10">
        <f>Д402[[#This Row],[Фикс 24.02.25]]+Д402[[#This Row],[Повышение 05.03.2025
1К: до 40м - 1,5%, 40+ 0,5%
2К - 0,5% ]]</f>
        <v>121649.5215</v>
      </c>
      <c r="AG54" s="10"/>
      <c r="AH54" s="10">
        <f>Д402[[#This Row],[Фикс 05.03.25]]+Д402[[#This Row],[повышение 14.03.25 1К-1%]]</f>
        <v>121649.5215</v>
      </c>
      <c r="AI54" s="10"/>
      <c r="AJ54" s="10">
        <f>Д402[[#This Row],[Фикс 14.03.25]]+Д402[[#This Row],[повышение 28.03.25 1К-1%]]</f>
        <v>121649.5215</v>
      </c>
      <c r="AK54" s="10"/>
      <c r="AL54" s="10">
        <f>Д402[[#This Row],[Фикс 28.03.25]]+Д402[[#This Row],[Повышение 23.07.25
1К 43-46м2 - 2%
2К 55-58 - 2%; 58-64 - 3%
3К 76-79 - 2%
]]</f>
        <v>121649.5215</v>
      </c>
      <c r="AM54" s="149">
        <f>ROUND(Д402[[#This Row],[Фикс 23.07.25]],2)</f>
        <v>121649.52</v>
      </c>
      <c r="AN54" s="149">
        <f>ROUNDUP(Д402[[#This Row],[утв цена м2]]*Д402[[#This Row],[Расчетная проектная площадь]],-2)</f>
        <v>6653100</v>
      </c>
      <c r="AO54" s="151"/>
      <c r="AP54" s="152">
        <v>0.02</v>
      </c>
      <c r="AQ54" s="151">
        <f>Д402[[#This Row],[Стоимость до скидки]]*Д402[[#This Row],[Скидка %]]+Д402[[#This Row],[Скидка фиксированная]]</f>
        <v>133062</v>
      </c>
      <c r="AR54" s="3">
        <f>Д402[[#This Row],[Стоимость ОН без отделки со скидкой]]/Д402[[#This Row],[Расчетная проектная площадь]]</f>
        <v>119218.10202962151</v>
      </c>
      <c r="AS54" s="3">
        <f>Д402[[#This Row],[Стоимость до скидки]]-Д402[[#This Row],[Итоговая сумма скидки]]</f>
        <v>6520038</v>
      </c>
      <c r="AT5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4" s="153"/>
      <c r="AV54" s="153"/>
      <c r="AW54" s="3">
        <f>Д402[[#This Row],[Цена м2 без отделки со скидкой]]+Д402[[#This Row],[Стоимость отделки]]</f>
        <v>119218.10202962151</v>
      </c>
      <c r="AX54" s="3">
        <f>Д402[[#This Row],[Стоимость квартиры с отделкой]]-Д402[[#This Row],[Стоимость ОН без отделки со скидкой]]</f>
        <v>0</v>
      </c>
      <c r="AY54" s="3">
        <f>Д402[[#This Row],[Цена м2 с отделкой]]*Д402[[#This Row],[Расчетная проектная площадь]]</f>
        <v>6520038</v>
      </c>
      <c r="AZ54" s="161" t="s">
        <v>437</v>
      </c>
      <c r="BA54" s="269" t="s">
        <v>426</v>
      </c>
      <c r="BB54" s="298" t="str" cm="1">
        <f t="array" ref="BB5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54" s="161" t="s">
        <v>741</v>
      </c>
      <c r="BD54" s="161" t="s">
        <v>506</v>
      </c>
      <c r="BE54" s="161" t="s">
        <v>737</v>
      </c>
      <c r="BF54" s="161" t="s">
        <v>744</v>
      </c>
      <c r="BG54" s="161" t="b">
        <f>EXACT(Д402[[#This Row],[Статусы CRM]],Д402[[#This Row],[Статус]])</f>
        <v>1</v>
      </c>
      <c r="BH54" s="3">
        <f>IF(Д402[[#This Row],[ПС]]=0,IF(Д402[[#This Row],[ДС]]=0,Д402[[#This Row],[ТС]],Д402[[#This Row],[ДС]]),Д402[[#This Row],[ПС]])</f>
        <v>6653100</v>
      </c>
      <c r="BI54" s="3" t="s">
        <v>749</v>
      </c>
      <c r="BJ54" s="3">
        <v>0</v>
      </c>
      <c r="BK54" s="3">
        <v>6653100</v>
      </c>
      <c r="BL54" s="273">
        <f>Д402[[#This Row],[Стоимость CRM]]-Д402[[#This Row],[Стоимость до скидки]]</f>
        <v>0</v>
      </c>
      <c r="BM54" s="161" t="s">
        <v>9</v>
      </c>
      <c r="BN54" s="161" t="b">
        <f>Д402[[#This Row],[Отделка CRM]]=Д402[[#This Row],[Отделка]]</f>
        <v>1</v>
      </c>
      <c r="BO54" s="275" t="s">
        <v>186</v>
      </c>
      <c r="BP54" s="69"/>
    </row>
    <row r="55" spans="1:68" ht="12" customHeight="1" x14ac:dyDescent="0.25">
      <c r="A55" s="140">
        <v>53</v>
      </c>
      <c r="B55" s="175">
        <v>1</v>
      </c>
      <c r="C55" s="141">
        <f t="shared" si="1"/>
        <v>10</v>
      </c>
      <c r="D55" s="142">
        <v>5</v>
      </c>
      <c r="E55" s="141">
        <v>1</v>
      </c>
      <c r="F55" s="143">
        <v>13.06</v>
      </c>
      <c r="G55" s="143"/>
      <c r="H55" s="143"/>
      <c r="I55" s="144">
        <f>SUM(Д402[[#This Row],[Комната 1]:[Комната 3]])</f>
        <v>13.06</v>
      </c>
      <c r="J55" s="145">
        <v>15.01</v>
      </c>
      <c r="K55" s="145">
        <v>4.4400000000000004</v>
      </c>
      <c r="L55" s="145"/>
      <c r="M55" s="145">
        <v>2.9</v>
      </c>
      <c r="N55" s="145"/>
      <c r="O55" s="145">
        <v>3.02</v>
      </c>
      <c r="P55" s="146"/>
      <c r="Q55" s="146"/>
      <c r="R55" s="146">
        <f>SUM(Д402[[#This Row],[Лоджия 1]:[Лоджия 3]])</f>
        <v>3.02</v>
      </c>
      <c r="S55" s="149">
        <f>ROUND(SUM(Д402[[#This Row],[Площадь по проекту жилая]:[Лоджия 3]]),2)</f>
        <v>38.43</v>
      </c>
      <c r="T55" s="149">
        <f>ROUND(Д402[[#This Row],[Площадь по проекту(общая)]]-Д402[[#This Row],[Летние]],2)</f>
        <v>35.409999999999997</v>
      </c>
      <c r="U55" s="149">
        <f>ROUND(Д402[[#This Row],[Площадь по проекту(общая)]]-(SUM(Д402[[#This Row],[Лоджия 1]:[Лоджия 3]])/2),2)</f>
        <v>36.92</v>
      </c>
      <c r="V55" s="149">
        <f>VLOOKUP(Д402[[#This Row],[№]],наценка7[],COLUMN(наценка7[[#This Row],[Цена м2 с учетом всех K]]),0)</f>
        <v>126415.6</v>
      </c>
      <c r="W55" s="159">
        <f>2%*Д402[[#This Row],[м2 после К]]</f>
        <v>2528.3120000000004</v>
      </c>
      <c r="X55" s="149">
        <f>Д402[[#This Row],[м2 после К]]+Д402[[#This Row],[02.12.2024]]</f>
        <v>128943.91200000001</v>
      </c>
      <c r="Y55" s="149">
        <v>1000</v>
      </c>
      <c r="Z55" s="149">
        <f>Д402[[#This Row],[Фикс 20.12.24]]+Д402[[#This Row],[23.12.24 СП +1000]]</f>
        <v>129943.91200000001</v>
      </c>
      <c r="AA55" s="149"/>
      <c r="AB55" s="149">
        <f>Д402[[#This Row],[Фикс 23.12.24]]+Д402[[#This Row],[Повышение 20.02.25]]</f>
        <v>129943.91200000001</v>
      </c>
      <c r="AC55" s="149"/>
      <c r="AD55" s="149">
        <f>Д402[[#This Row],[Фикс 20.02.25]]+Д402[[#This Row],[Повышение 24.02.2025]]</f>
        <v>129943.91200000001</v>
      </c>
      <c r="AE55" s="149"/>
      <c r="AF55" s="149">
        <f>Д402[[#This Row],[Фикс 24.02.25]]+Д402[[#This Row],[Повышение 05.03.2025
1К: до 40м - 1,5%, 40+ 0,5%
2К - 0,5% ]]</f>
        <v>129943.91200000001</v>
      </c>
      <c r="AG55" s="149"/>
      <c r="AH55" s="149">
        <f>Д402[[#This Row],[Фикс 05.03.25]]+Д402[[#This Row],[повышение 14.03.25 1К-1%]]</f>
        <v>129943.91200000001</v>
      </c>
      <c r="AI55" s="149"/>
      <c r="AJ55" s="149">
        <f>Д402[[#This Row],[Фикс 14.03.25]]+Д402[[#This Row],[повышение 28.03.25 1К-1%]]</f>
        <v>129943.91200000001</v>
      </c>
      <c r="AK55" s="149"/>
      <c r="AL55" s="149">
        <f>Д402[[#This Row],[Фикс 28.03.25]]+Д402[[#This Row],[Повышение 23.07.25
1К 43-46м2 - 2%
2К 55-58 - 2%; 58-64 - 3%
3К 76-79 - 2%
]]</f>
        <v>129943.91200000001</v>
      </c>
      <c r="AM55" s="149">
        <f>ROUND(Д402[[#This Row],[Фикс 23.07.25]],2)</f>
        <v>129943.91</v>
      </c>
      <c r="AN55" s="149">
        <f>ROUNDUP(Д402[[#This Row],[утв цена м2]]*Д402[[#This Row],[Расчетная проектная площадь]],-2)</f>
        <v>4797600</v>
      </c>
      <c r="AO55" s="151"/>
      <c r="AP55" s="152">
        <v>0.02</v>
      </c>
      <c r="AQ55" s="151">
        <f>Д402[[#This Row],[Стоимость до скидки]]*Д402[[#This Row],[Скидка %]]+Д402[[#This Row],[Скидка фиксированная]]</f>
        <v>95952</v>
      </c>
      <c r="AR55" s="3">
        <f>Д402[[#This Row],[Стоимость ОН без отделки со скидкой]]/Д402[[#This Row],[Расчетная проектная площадь]]</f>
        <v>127346.91224268689</v>
      </c>
      <c r="AS55" s="3">
        <f>Д402[[#This Row],[Стоимость до скидки]]-Д402[[#This Row],[Итоговая сумма скидки]]</f>
        <v>4701648</v>
      </c>
      <c r="AT5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5" s="153"/>
      <c r="AV55" s="153"/>
      <c r="AW55" s="3">
        <f>Д402[[#This Row],[Цена м2 без отделки со скидкой]]+Д402[[#This Row],[Стоимость отделки]]</f>
        <v>127346.91224268689</v>
      </c>
      <c r="AX55" s="3">
        <f>Д402[[#This Row],[Стоимость квартиры с отделкой]]-Д402[[#This Row],[Стоимость ОН без отделки со скидкой]]</f>
        <v>0</v>
      </c>
      <c r="AY55" s="3">
        <f>Д402[[#This Row],[Цена м2 с отделкой]]*Д402[[#This Row],[Расчетная проектная площадь]]</f>
        <v>4701648</v>
      </c>
      <c r="AZ55" s="161" t="s">
        <v>424</v>
      </c>
      <c r="BA55" s="269" t="s">
        <v>426</v>
      </c>
      <c r="BB55" s="269" t="str" cm="1">
        <f t="array" ref="BB5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55" s="161" t="s">
        <v>741</v>
      </c>
      <c r="BD55" s="161" t="s">
        <v>506</v>
      </c>
      <c r="BE55" s="161" t="s">
        <v>737</v>
      </c>
      <c r="BF55" s="161" t="s">
        <v>745</v>
      </c>
      <c r="BG55" s="161" t="b">
        <f>EXACT(Д402[[#This Row],[Статусы CRM]],Д402[[#This Row],[Статус]])</f>
        <v>1</v>
      </c>
      <c r="BH55" s="3">
        <f>IF(Д402[[#This Row],[ПС]]=0,IF(Д402[[#This Row],[ДС]]=0,Д402[[#This Row],[ТС]],Д402[[#This Row],[ДС]]),Д402[[#This Row],[ПС]])</f>
        <v>4797600</v>
      </c>
      <c r="BI55" s="3" t="s">
        <v>749</v>
      </c>
      <c r="BJ55" s="3">
        <v>0</v>
      </c>
      <c r="BK55" s="3">
        <v>4797600</v>
      </c>
      <c r="BL55" s="273">
        <f>Д402[[#This Row],[Стоимость CRM]]-Д402[[#This Row],[Стоимость до скидки]]</f>
        <v>0</v>
      </c>
      <c r="BM55" s="161" t="s">
        <v>9</v>
      </c>
      <c r="BN55" s="161" t="b">
        <f>Д402[[#This Row],[Отделка CRM]]=Д402[[#This Row],[Отделка]]</f>
        <v>1</v>
      </c>
      <c r="BO55" s="275" t="s">
        <v>187</v>
      </c>
      <c r="BP55" s="69"/>
    </row>
    <row r="56" spans="1:68" ht="12" customHeight="1" x14ac:dyDescent="0.25">
      <c r="A56" s="140">
        <v>54</v>
      </c>
      <c r="B56" s="175">
        <v>1</v>
      </c>
      <c r="C56" s="141">
        <f t="shared" si="1"/>
        <v>10</v>
      </c>
      <c r="D56" s="142">
        <v>6</v>
      </c>
      <c r="E56" s="141">
        <v>1</v>
      </c>
      <c r="F56" s="143">
        <v>14.57</v>
      </c>
      <c r="G56" s="143"/>
      <c r="H56" s="143"/>
      <c r="I56" s="144">
        <f>SUM(Д402[[#This Row],[Комната 1]:[Комната 3]])</f>
        <v>14.57</v>
      </c>
      <c r="J56" s="145">
        <v>16.850000000000001</v>
      </c>
      <c r="K56" s="145">
        <v>4.46</v>
      </c>
      <c r="L56" s="145"/>
      <c r="M56" s="145">
        <v>7.75</v>
      </c>
      <c r="N56" s="145"/>
      <c r="O56" s="145">
        <v>3.1</v>
      </c>
      <c r="P56" s="146"/>
      <c r="Q56" s="146"/>
      <c r="R56" s="146">
        <f>SUM(Д402[[#This Row],[Лоджия 1]:[Лоджия 3]])</f>
        <v>3.1</v>
      </c>
      <c r="S56" s="149">
        <f>ROUND(SUM(Д402[[#This Row],[Площадь по проекту жилая]:[Лоджия 3]]),2)</f>
        <v>46.73</v>
      </c>
      <c r="T56" s="149">
        <f>ROUND(Д402[[#This Row],[Площадь по проекту(общая)]]-Д402[[#This Row],[Летние]],2)</f>
        <v>43.63</v>
      </c>
      <c r="U56" s="149">
        <f>ROUND(Д402[[#This Row],[Площадь по проекту(общая)]]-(SUM(Д402[[#This Row],[Лоджия 1]:[Лоджия 3]])/2),2)</f>
        <v>45.18</v>
      </c>
      <c r="V56" s="149">
        <f>VLOOKUP(Д402[[#This Row],[№]],наценка7[],COLUMN(наценка7[[#This Row],[Цена м2 с учетом всех K]]),0)</f>
        <v>122837.8</v>
      </c>
      <c r="W56" s="159"/>
      <c r="X56" s="149">
        <f>Д402[[#This Row],[м2 после К]]+Д402[[#This Row],[02.12.2024]]</f>
        <v>122837.8</v>
      </c>
      <c r="Y56" s="149">
        <v>1000</v>
      </c>
      <c r="Z56" s="149">
        <f>Д402[[#This Row],[Фикс 20.12.24]]+Д402[[#This Row],[23.12.24 СП +1000]]</f>
        <v>123837.8</v>
      </c>
      <c r="AA56" s="149">
        <v>215</v>
      </c>
      <c r="AB56" s="149">
        <f>Д402[[#This Row],[Фикс 23.12.24]]+Д402[[#This Row],[Повышение 20.02.25]]</f>
        <v>124052.8</v>
      </c>
      <c r="AC56" s="149">
        <v>17.5</v>
      </c>
      <c r="AD56" s="149">
        <f>Д402[[#This Row],[Фикс 20.02.25]]+Д402[[#This Row],[Повышение 24.02.2025]]</f>
        <v>124070.3</v>
      </c>
      <c r="AE56" s="149">
        <f>Д402[[#This Row],[Фикс 24.02.25]]*0.5%</f>
        <v>620.35149999999999</v>
      </c>
      <c r="AF56" s="149">
        <f>Д402[[#This Row],[Фикс 24.02.25]]+Д402[[#This Row],[Повышение 05.03.2025
1К: до 40м - 1,5%, 40+ 0,5%
2К - 0,5% ]]</f>
        <v>124690.65150000001</v>
      </c>
      <c r="AG56" s="149">
        <f>Д402[[#This Row],[Фикс 05.03.25]]*1%</f>
        <v>1246.9065150000001</v>
      </c>
      <c r="AH56" s="149">
        <f>Д402[[#This Row],[Фикс 05.03.25]]+Д402[[#This Row],[повышение 14.03.25 1К-1%]]</f>
        <v>125937.558015</v>
      </c>
      <c r="AI56" s="149">
        <f>Д402[[#This Row],[Фикс 14.03.25]]*1%</f>
        <v>1259.3755801500001</v>
      </c>
      <c r="AJ56" s="149">
        <f>Д402[[#This Row],[Фикс 14.03.25]]+Д402[[#This Row],[повышение 28.03.25 1К-1%]]</f>
        <v>127196.93359515</v>
      </c>
      <c r="AK56" s="149">
        <f>Д402[[#This Row],[Фикс 28.03.25]]*2%</f>
        <v>2543.9386719029999</v>
      </c>
      <c r="AL56" s="149">
        <f>Д402[[#This Row],[Фикс 28.03.25]]+Д402[[#This Row],[Повышение 23.07.25
1К 43-46м2 - 2%
2К 55-58 - 2%; 58-64 - 3%
3К 76-79 - 2%
]]</f>
        <v>129740.872267053</v>
      </c>
      <c r="AM56" s="149">
        <f>ROUND(Д402[[#This Row],[Фикс 23.07.25]],2)</f>
        <v>129740.87</v>
      </c>
      <c r="AN56" s="149">
        <f>ROUNDUP(Д402[[#This Row],[утв цена м2]]*Д402[[#This Row],[Расчетная проектная площадь]],-2)</f>
        <v>5861700</v>
      </c>
      <c r="AO56" s="151"/>
      <c r="AP56" s="152"/>
      <c r="AQ56" s="151">
        <f>Д402[[#This Row],[Стоимость до скидки]]*Д402[[#This Row],[Скидка %]]+Д402[[#This Row],[Скидка фиксированная]]</f>
        <v>0</v>
      </c>
      <c r="AR56" s="3">
        <f>Д402[[#This Row],[Стоимость ОН без отделки со скидкой]]/Д402[[#This Row],[Расчетная проектная площадь]]</f>
        <v>129741.03585657371</v>
      </c>
      <c r="AS56" s="3">
        <f>Д402[[#This Row],[Стоимость до скидки]]-Д402[[#This Row],[Итоговая сумма скидки]]</f>
        <v>5861700</v>
      </c>
      <c r="AT5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6" s="153"/>
      <c r="AV56" s="153"/>
      <c r="AW56" s="3">
        <f>Д402[[#This Row],[Цена м2 без отделки со скидкой]]+Д402[[#This Row],[Стоимость отделки]]</f>
        <v>129741.03585657371</v>
      </c>
      <c r="AX56" s="3">
        <f>Д402[[#This Row],[Стоимость квартиры с отделкой]]-Д402[[#This Row],[Стоимость ОН без отделки со скидкой]]</f>
        <v>0</v>
      </c>
      <c r="AY56" s="3">
        <f>Д402[[#This Row],[Цена м2 с отделкой]]*Д402[[#This Row],[Расчетная проектная площадь]]</f>
        <v>5861700</v>
      </c>
      <c r="AZ56" s="161"/>
      <c r="BA56" s="155" t="s">
        <v>12</v>
      </c>
      <c r="BB56" s="156" t="str" cm="1">
        <f t="array" ref="BB5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56" s="161" t="s">
        <v>738</v>
      </c>
      <c r="BD56" s="161" t="s">
        <v>739</v>
      </c>
      <c r="BE56" s="161" t="s">
        <v>737</v>
      </c>
      <c r="BF56" s="161" t="s">
        <v>745</v>
      </c>
      <c r="BG56" s="161" t="b">
        <f>EXACT(Д402[[#This Row],[Статусы CRM]],Д402[[#This Row],[Статус]])</f>
        <v>1</v>
      </c>
      <c r="BH56" s="3">
        <f>IF(Д402[[#This Row],[ПС]]=0,IF(Д402[[#This Row],[ДС]]=0,Д402[[#This Row],[ТС]],Д402[[#This Row],[ДС]]),Д402[[#This Row],[ПС]])</f>
        <v>5861700</v>
      </c>
      <c r="BI56" s="3">
        <v>5861700</v>
      </c>
      <c r="BJ56" s="3">
        <v>0</v>
      </c>
      <c r="BK56" s="3">
        <v>0</v>
      </c>
      <c r="BL56" s="273">
        <f>Д402[[#This Row],[Стоимость CRM]]-Д402[[#This Row],[Стоимость до скидки]]</f>
        <v>0</v>
      </c>
      <c r="BM56" s="161" t="s">
        <v>9</v>
      </c>
      <c r="BN56" s="161" t="b">
        <f>Д402[[#This Row],[Отделка CRM]]=Д402[[#This Row],[Отделка]]</f>
        <v>1</v>
      </c>
      <c r="BO56" s="275" t="s">
        <v>188</v>
      </c>
      <c r="BP56" s="69"/>
    </row>
    <row r="57" spans="1:68" ht="12" customHeight="1" x14ac:dyDescent="0.25">
      <c r="A57" s="140">
        <v>55</v>
      </c>
      <c r="B57" s="175">
        <v>1</v>
      </c>
      <c r="C57" s="141">
        <f t="shared" si="1"/>
        <v>11</v>
      </c>
      <c r="D57" s="142">
        <v>1</v>
      </c>
      <c r="E57" s="141">
        <v>0</v>
      </c>
      <c r="F57" s="143">
        <v>14.66</v>
      </c>
      <c r="G57" s="143"/>
      <c r="H57" s="143"/>
      <c r="I57" s="144">
        <f>SUM(Д402[[#This Row],[Комната 1]:[Комната 3]])</f>
        <v>14.66</v>
      </c>
      <c r="J57" s="145">
        <v>6.15</v>
      </c>
      <c r="K57" s="145">
        <v>4.95</v>
      </c>
      <c r="L57" s="145"/>
      <c r="M57" s="145">
        <v>3.86</v>
      </c>
      <c r="N57" s="145"/>
      <c r="O57" s="145"/>
      <c r="P57" s="146"/>
      <c r="Q57" s="146"/>
      <c r="R57" s="146">
        <f>SUM(Д402[[#This Row],[Лоджия 1]:[Лоджия 3]])</f>
        <v>0</v>
      </c>
      <c r="S57" s="10">
        <f>ROUND(SUM(Д402[[#This Row],[Площадь по проекту жилая]:[Лоджия 3]]),2)</f>
        <v>29.62</v>
      </c>
      <c r="T57" s="10">
        <f>ROUND(Д402[[#This Row],[Площадь по проекту(общая)]]-Д402[[#This Row],[Летние]],2)</f>
        <v>29.62</v>
      </c>
      <c r="U57" s="10">
        <f>ROUND(Д402[[#This Row],[Площадь по проекту(общая)]]-(SUM(Д402[[#This Row],[Лоджия 1]:[Лоджия 3]])/2),2)</f>
        <v>29.62</v>
      </c>
      <c r="V57" s="10">
        <f>VLOOKUP(Д402[[#This Row],[№]],наценка7[],COLUMN(наценка7[[#This Row],[Цена м2 с учетом всех K]]),0)</f>
        <v>139730</v>
      </c>
      <c r="W57" s="159">
        <v>200</v>
      </c>
      <c r="X57" s="10">
        <f>Д402[[#This Row],[м2 после К]]+Д402[[#This Row],[02.12.2024]]</f>
        <v>139930</v>
      </c>
      <c r="Y57" s="149">
        <v>1000</v>
      </c>
      <c r="Z57" s="10">
        <f>Д402[[#This Row],[Фикс 20.12.24]]+Д402[[#This Row],[23.12.24 СП +1000]]</f>
        <v>140930</v>
      </c>
      <c r="AA57" s="10"/>
      <c r="AB57" s="10">
        <f>Д402[[#This Row],[Фикс 23.12.24]]+Д402[[#This Row],[Повышение 20.02.25]]</f>
        <v>140930</v>
      </c>
      <c r="AC57" s="10"/>
      <c r="AD57" s="10">
        <f>Д402[[#This Row],[Фикс 20.02.25]]+Д402[[#This Row],[Повышение 24.02.2025]]</f>
        <v>140930</v>
      </c>
      <c r="AE57" s="10"/>
      <c r="AF57" s="10">
        <f>Д402[[#This Row],[Фикс 24.02.25]]+Д402[[#This Row],[Повышение 05.03.2025
1К: до 40м - 1,5%, 40+ 0,5%
2К - 0,5% ]]</f>
        <v>140930</v>
      </c>
      <c r="AG57" s="10"/>
      <c r="AH57" s="10">
        <f>Д402[[#This Row],[Фикс 05.03.25]]+Д402[[#This Row],[повышение 14.03.25 1К-1%]]</f>
        <v>140930</v>
      </c>
      <c r="AI57" s="10"/>
      <c r="AJ57" s="10">
        <f>Д402[[#This Row],[Фикс 14.03.25]]+Д402[[#This Row],[повышение 28.03.25 1К-1%]]</f>
        <v>140930</v>
      </c>
      <c r="AK57" s="10"/>
      <c r="AL57" s="10">
        <f>Д402[[#This Row],[Фикс 28.03.25]]+Д402[[#This Row],[Повышение 23.07.25
1К 43-46м2 - 2%
2К 55-58 - 2%; 58-64 - 3%
3К 76-79 - 2%
]]</f>
        <v>140930</v>
      </c>
      <c r="AM57" s="149">
        <f>ROUND(Д402[[#This Row],[Фикс 23.07.25]],2)</f>
        <v>140930</v>
      </c>
      <c r="AN57" s="149">
        <f>ROUNDUP(Д402[[#This Row],[утв цена м2]]*Д402[[#This Row],[Расчетная проектная площадь]],-2)</f>
        <v>4174400</v>
      </c>
      <c r="AO57" s="151"/>
      <c r="AP57" s="152"/>
      <c r="AQ57" s="151">
        <f>Д402[[#This Row],[Стоимость до скидки]]*Д402[[#This Row],[Скидка %]]+Д402[[#This Row],[Скидка фиксированная]]</f>
        <v>0</v>
      </c>
      <c r="AR57" s="3">
        <f>Д402[[#This Row],[Стоимость ОН без отделки со скидкой]]/Д402[[#This Row],[Расчетная проектная площадь]]</f>
        <v>140931.80283592167</v>
      </c>
      <c r="AS57" s="3">
        <f>Д402[[#This Row],[Стоимость до скидки]]-Д402[[#This Row],[Итоговая сумма скидки]]</f>
        <v>4174400</v>
      </c>
      <c r="AT5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7" s="153"/>
      <c r="AV57" s="153"/>
      <c r="AW57" s="3">
        <f>Д402[[#This Row],[Цена м2 без отделки со скидкой]]+Д402[[#This Row],[Стоимость отделки]]</f>
        <v>140931.80283592167</v>
      </c>
      <c r="AX57" s="3">
        <f>Д402[[#This Row],[Стоимость квартиры с отделкой]]-Д402[[#This Row],[Стоимость ОН без отделки со скидкой]]</f>
        <v>0</v>
      </c>
      <c r="AY57" s="3">
        <f>Д402[[#This Row],[Цена м2 с отделкой]]*Д402[[#This Row],[Расчетная проектная площадь]]</f>
        <v>4174400</v>
      </c>
      <c r="AZ57" s="161"/>
      <c r="BA57" s="269" t="s">
        <v>426</v>
      </c>
      <c r="BB57" s="269" t="str" cm="1">
        <f t="array" ref="BB5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57" s="161" t="s">
        <v>741</v>
      </c>
      <c r="BD57" s="161" t="s">
        <v>506</v>
      </c>
      <c r="BE57" s="161" t="s">
        <v>737</v>
      </c>
      <c r="BF57" s="161" t="s">
        <v>743</v>
      </c>
      <c r="BG57" s="161" t="b">
        <f>EXACT(Д402[[#This Row],[Статусы CRM]],Д402[[#This Row],[Статус]])</f>
        <v>1</v>
      </c>
      <c r="BH57" s="3">
        <f>IF(Д402[[#This Row],[ПС]]=0,IF(Д402[[#This Row],[ДС]]=0,Д402[[#This Row],[ТС]],Д402[[#This Row],[ДС]]),Д402[[#This Row],[ПС]])</f>
        <v>4174400</v>
      </c>
      <c r="BI57" s="3" t="s">
        <v>749</v>
      </c>
      <c r="BJ57" s="3">
        <v>0</v>
      </c>
      <c r="BK57" s="3">
        <v>4174400</v>
      </c>
      <c r="BL57" s="273">
        <f>Д402[[#This Row],[Стоимость CRM]]-Д402[[#This Row],[Стоимость до скидки]]</f>
        <v>0</v>
      </c>
      <c r="BM57" s="161" t="s">
        <v>9</v>
      </c>
      <c r="BN57" s="161" t="b">
        <f>Д402[[#This Row],[Отделка CRM]]=Д402[[#This Row],[Отделка]]</f>
        <v>1</v>
      </c>
      <c r="BO57" s="275" t="s">
        <v>189</v>
      </c>
      <c r="BP57" s="69"/>
    </row>
    <row r="58" spans="1:68" ht="12" customHeight="1" x14ac:dyDescent="0.25">
      <c r="A58" s="140">
        <v>56</v>
      </c>
      <c r="B58" s="175">
        <v>1</v>
      </c>
      <c r="C58" s="141">
        <f t="shared" si="1"/>
        <v>11</v>
      </c>
      <c r="D58" s="142">
        <v>2</v>
      </c>
      <c r="E58" s="141">
        <v>2</v>
      </c>
      <c r="F58" s="143">
        <v>16.100000000000001</v>
      </c>
      <c r="G58" s="143">
        <v>10.8</v>
      </c>
      <c r="H58" s="143"/>
      <c r="I58" s="144">
        <f>SUM(Д402[[#This Row],[Комната 1]:[Комната 3]])</f>
        <v>26.900000000000002</v>
      </c>
      <c r="J58" s="145">
        <v>17.61</v>
      </c>
      <c r="K58" s="145">
        <v>4.25</v>
      </c>
      <c r="L58" s="145"/>
      <c r="M58" s="145">
        <v>9.68</v>
      </c>
      <c r="N58" s="145"/>
      <c r="O58" s="145">
        <v>3.15</v>
      </c>
      <c r="P58" s="146"/>
      <c r="Q58" s="146"/>
      <c r="R58" s="146">
        <f>SUM(Д402[[#This Row],[Лоджия 1]:[Лоджия 3]])</f>
        <v>3.15</v>
      </c>
      <c r="S58" s="10">
        <f>ROUND(SUM(Д402[[#This Row],[Площадь по проекту жилая]:[Лоджия 3]]),2)</f>
        <v>61.59</v>
      </c>
      <c r="T58" s="10">
        <f>ROUND(Д402[[#This Row],[Площадь по проекту(общая)]]-Д402[[#This Row],[Летние]],2)</f>
        <v>58.44</v>
      </c>
      <c r="U58" s="10">
        <f>ROUND(Д402[[#This Row],[Площадь по проекту(общая)]]-(SUM(Д402[[#This Row],[Лоджия 1]:[Лоджия 3]])/2),2)</f>
        <v>60.02</v>
      </c>
      <c r="V58" s="10">
        <f>VLOOKUP(Д402[[#This Row],[№]],наценка7[],COLUMN(наценка7[[#This Row],[Цена м2 с учетом всех K]]),0)</f>
        <v>117551.2</v>
      </c>
      <c r="W58" s="162"/>
      <c r="X58" s="10">
        <f>Д402[[#This Row],[м2 после К]]+Д402[[#This Row],[02.12.2024]]</f>
        <v>117551.2</v>
      </c>
      <c r="Y58" s="149">
        <v>1000</v>
      </c>
      <c r="Z58" s="10">
        <f>Д402[[#This Row],[Фикс 20.12.24]]+Д402[[#This Row],[23.12.24 СП +1000]]</f>
        <v>118551.2</v>
      </c>
      <c r="AA58" s="149">
        <v>215</v>
      </c>
      <c r="AB58" s="10">
        <f>Д402[[#This Row],[Фикс 23.12.24]]+Д402[[#This Row],[Повышение 20.02.25]]</f>
        <v>118766.2</v>
      </c>
      <c r="AC58" s="149">
        <v>17.5</v>
      </c>
      <c r="AD58" s="10">
        <f>Д402[[#This Row],[Фикс 20.02.25]]+Д402[[#This Row],[Повышение 24.02.2025]]</f>
        <v>118783.7</v>
      </c>
      <c r="AE58" s="149">
        <f>Д402[[#This Row],[Фикс 24.02.25]]*0.5%</f>
        <v>593.91849999999999</v>
      </c>
      <c r="AF58" s="10">
        <f>Д402[[#This Row],[Фикс 24.02.25]]+Д402[[#This Row],[Повышение 05.03.2025
1К: до 40м - 1,5%, 40+ 0,5%
2К - 0,5% ]]</f>
        <v>119377.6185</v>
      </c>
      <c r="AG58" s="10"/>
      <c r="AH58" s="10">
        <f>Д402[[#This Row],[Фикс 05.03.25]]+Д402[[#This Row],[повышение 14.03.25 1К-1%]]</f>
        <v>119377.6185</v>
      </c>
      <c r="AI58" s="10"/>
      <c r="AJ58" s="10">
        <f>Д402[[#This Row],[Фикс 14.03.25]]+Д402[[#This Row],[повышение 28.03.25 1К-1%]]</f>
        <v>119377.6185</v>
      </c>
      <c r="AK58" s="10">
        <f>Д402[[#This Row],[Фикс 28.03.25]]*3%</f>
        <v>3581.3285549999996</v>
      </c>
      <c r="AL58" s="10">
        <f>Д402[[#This Row],[Фикс 28.03.25]]+Д402[[#This Row],[Повышение 23.07.25
1К 43-46м2 - 2%
2К 55-58 - 2%; 58-64 - 3%
3К 76-79 - 2%
]]</f>
        <v>122958.947055</v>
      </c>
      <c r="AM58" s="149">
        <f>ROUND(Д402[[#This Row],[Фикс 23.07.25]],2)</f>
        <v>122958.95</v>
      </c>
      <c r="AN58" s="149">
        <f>ROUNDUP(Д402[[#This Row],[утв цена м2]]*Д402[[#This Row],[Расчетная проектная площадь]],-2)</f>
        <v>7380000</v>
      </c>
      <c r="AO58" s="151"/>
      <c r="AP58" s="152"/>
      <c r="AQ58" s="151">
        <f>Д402[[#This Row],[Стоимость до скидки]]*Д402[[#This Row],[Скидка %]]+Д402[[#This Row],[Скидка фиксированная]]</f>
        <v>0</v>
      </c>
      <c r="AR58" s="3">
        <f>Д402[[#This Row],[Стоимость ОН без отделки со скидкой]]/Д402[[#This Row],[Расчетная проектная площадь]]</f>
        <v>122959.01366211263</v>
      </c>
      <c r="AS58" s="3">
        <f>Д402[[#This Row],[Стоимость до скидки]]-Д402[[#This Row],[Итоговая сумма скидки]]</f>
        <v>7380000</v>
      </c>
      <c r="AT5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8" s="153"/>
      <c r="AV58" s="153"/>
      <c r="AW58" s="3">
        <f>Д402[[#This Row],[Цена м2 без отделки со скидкой]]+Д402[[#This Row],[Стоимость отделки]]</f>
        <v>122959.01366211263</v>
      </c>
      <c r="AX58" s="3">
        <f>Д402[[#This Row],[Стоимость квартиры с отделкой]]-Д402[[#This Row],[Стоимость ОН без отделки со скидкой]]</f>
        <v>0</v>
      </c>
      <c r="AY58" s="3">
        <f>Д402[[#This Row],[Цена м2 с отделкой]]*Д402[[#This Row],[Расчетная проектная площадь]]</f>
        <v>7380000</v>
      </c>
      <c r="AZ58" s="161"/>
      <c r="BA58" s="269" t="s">
        <v>128</v>
      </c>
      <c r="BB58" s="156" t="str" cm="1">
        <f t="array" ref="BB5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58" s="161" t="s">
        <v>740</v>
      </c>
      <c r="BD58" s="161" t="s">
        <v>506</v>
      </c>
      <c r="BE58" s="161" t="s">
        <v>737</v>
      </c>
      <c r="BF58" s="161" t="s">
        <v>744</v>
      </c>
      <c r="BG58" s="161" t="b">
        <f>EXACT(Д402[[#This Row],[Статусы CRM]],Д402[[#This Row],[Статус]])</f>
        <v>1</v>
      </c>
      <c r="BH58" s="3">
        <f>IF(Д402[[#This Row],[ПС]]=0,IF(Д402[[#This Row],[ДС]]=0,Д402[[#This Row],[ТС]],Д402[[#This Row],[ДС]]),Д402[[#This Row],[ПС]])</f>
        <v>7380000</v>
      </c>
      <c r="BI58" s="3">
        <v>7380000</v>
      </c>
      <c r="BJ58" s="3">
        <v>0</v>
      </c>
      <c r="BK58" s="3">
        <v>0</v>
      </c>
      <c r="BL58" s="273">
        <f>Д402[[#This Row],[Стоимость CRM]]-Д402[[#This Row],[Стоимость до скидки]]</f>
        <v>0</v>
      </c>
      <c r="BM58" s="161" t="s">
        <v>9</v>
      </c>
      <c r="BN58" s="161" t="b">
        <f>Д402[[#This Row],[Отделка CRM]]=Д402[[#This Row],[Отделка]]</f>
        <v>1</v>
      </c>
      <c r="BO58" s="275" t="s">
        <v>190</v>
      </c>
      <c r="BP58" s="69"/>
    </row>
    <row r="59" spans="1:68" ht="12" customHeight="1" x14ac:dyDescent="0.25">
      <c r="A59" s="140">
        <v>57</v>
      </c>
      <c r="B59" s="175">
        <v>1</v>
      </c>
      <c r="C59" s="141">
        <f t="shared" si="1"/>
        <v>11</v>
      </c>
      <c r="D59" s="142">
        <v>3</v>
      </c>
      <c r="E59" s="141">
        <v>2</v>
      </c>
      <c r="F59" s="143">
        <v>16.41</v>
      </c>
      <c r="G59" s="143">
        <v>12.19</v>
      </c>
      <c r="H59" s="143"/>
      <c r="I59" s="144">
        <f>SUM(Д402[[#This Row],[Комната 1]:[Комната 3]])</f>
        <v>28.6</v>
      </c>
      <c r="J59" s="145">
        <v>14.53</v>
      </c>
      <c r="K59" s="145">
        <v>3.86</v>
      </c>
      <c r="L59" s="145"/>
      <c r="M59" s="145">
        <v>6.1</v>
      </c>
      <c r="N59" s="145"/>
      <c r="O59" s="145">
        <v>3.33</v>
      </c>
      <c r="P59" s="146"/>
      <c r="Q59" s="146"/>
      <c r="R59" s="146">
        <f>SUM(Д402[[#This Row],[Лоджия 1]:[Лоджия 3]])</f>
        <v>3.33</v>
      </c>
      <c r="S59" s="10">
        <f>ROUND(SUM(Д402[[#This Row],[Площадь по проекту жилая]:[Лоджия 3]]),2)</f>
        <v>56.42</v>
      </c>
      <c r="T59" s="10">
        <f>ROUND(Д402[[#This Row],[Площадь по проекту(общая)]]-Д402[[#This Row],[Летние]],2)</f>
        <v>53.09</v>
      </c>
      <c r="U59" s="10">
        <f>ROUND(Д402[[#This Row],[Площадь по проекту(общая)]]-(SUM(Д402[[#This Row],[Лоджия 1]:[Лоджия 3]])/2),2)</f>
        <v>54.76</v>
      </c>
      <c r="V59" s="10">
        <f>VLOOKUP(Д402[[#This Row],[№]],наценка7[],COLUMN(наценка7[[#This Row],[Цена м2 с учетом всех K]]),0)</f>
        <v>117551.2</v>
      </c>
      <c r="W59" s="162"/>
      <c r="X59" s="10">
        <f>Д402[[#This Row],[м2 после К]]+Д402[[#This Row],[02.12.2024]]</f>
        <v>117551.2</v>
      </c>
      <c r="Y59" s="149">
        <v>1000</v>
      </c>
      <c r="Z59" s="10">
        <f>Д402[[#This Row],[Фикс 20.12.24]]+Д402[[#This Row],[23.12.24 СП +1000]]</f>
        <v>118551.2</v>
      </c>
      <c r="AA59" s="149">
        <v>215</v>
      </c>
      <c r="AB59" s="10">
        <f>Д402[[#This Row],[Фикс 23.12.24]]+Д402[[#This Row],[Повышение 20.02.25]]</f>
        <v>118766.2</v>
      </c>
      <c r="AC59" s="149">
        <v>17.5</v>
      </c>
      <c r="AD59" s="10">
        <f>Д402[[#This Row],[Фикс 20.02.25]]+Д402[[#This Row],[Повышение 24.02.2025]]</f>
        <v>118783.7</v>
      </c>
      <c r="AE59" s="149">
        <f>Д402[[#This Row],[Фикс 24.02.25]]*0.5%</f>
        <v>593.91849999999999</v>
      </c>
      <c r="AF59" s="10">
        <f>Д402[[#This Row],[Фикс 24.02.25]]+Д402[[#This Row],[Повышение 05.03.2025
1К: до 40м - 1,5%, 40+ 0,5%
2К - 0,5% ]]</f>
        <v>119377.6185</v>
      </c>
      <c r="AG59" s="10"/>
      <c r="AH59" s="10">
        <f>Д402[[#This Row],[Фикс 05.03.25]]+Д402[[#This Row],[повышение 14.03.25 1К-1%]]</f>
        <v>119377.6185</v>
      </c>
      <c r="AI59" s="10"/>
      <c r="AJ59" s="10">
        <f>Д402[[#This Row],[Фикс 14.03.25]]+Д402[[#This Row],[повышение 28.03.25 1К-1%]]</f>
        <v>119377.6185</v>
      </c>
      <c r="AK59" s="10"/>
      <c r="AL59" s="10">
        <f>Д402[[#This Row],[Фикс 28.03.25]]+Д402[[#This Row],[Повышение 23.07.25
1К 43-46м2 - 2%
2К 55-58 - 2%; 58-64 - 3%
3К 76-79 - 2%
]]</f>
        <v>119377.6185</v>
      </c>
      <c r="AM59" s="149">
        <f>ROUND(Д402[[#This Row],[Фикс 23.07.25]],2)</f>
        <v>119377.62</v>
      </c>
      <c r="AN59" s="149">
        <f>ROUNDUP(Д402[[#This Row],[утв цена м2]]*Д402[[#This Row],[Расчетная проектная площадь]],-2)</f>
        <v>6537200</v>
      </c>
      <c r="AO59" s="151"/>
      <c r="AP59" s="152"/>
      <c r="AQ59" s="151">
        <f>Д402[[#This Row],[Стоимость до скидки]]*Д402[[#This Row],[Скидка %]]+Д402[[#This Row],[Скидка фиксированная]]</f>
        <v>0</v>
      </c>
      <c r="AR59" s="3">
        <f>Д402[[#This Row],[Стоимость ОН без отделки со скидкой]]/Д402[[#This Row],[Расчетная проектная площадь]]</f>
        <v>119379.1088385683</v>
      </c>
      <c r="AS59" s="3">
        <f>Д402[[#This Row],[Стоимость до скидки]]-Д402[[#This Row],[Итоговая сумма скидки]]</f>
        <v>6537200</v>
      </c>
      <c r="AT5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59" s="153"/>
      <c r="AV59" s="153"/>
      <c r="AW59" s="3">
        <f>Д402[[#This Row],[Цена м2 без отделки со скидкой]]+Д402[[#This Row],[Стоимость отделки]]</f>
        <v>119379.1088385683</v>
      </c>
      <c r="AX59" s="3">
        <f>Д402[[#This Row],[Стоимость квартиры с отделкой]]-Д402[[#This Row],[Стоимость ОН без отделки со скидкой]]</f>
        <v>0</v>
      </c>
      <c r="AY59" s="3">
        <f>Д402[[#This Row],[Цена м2 с отделкой]]*Д402[[#This Row],[Расчетная проектная площадь]]</f>
        <v>6537200</v>
      </c>
      <c r="AZ59" s="161"/>
      <c r="BA59" s="155" t="s">
        <v>12</v>
      </c>
      <c r="BB59" s="156" t="str" cm="1">
        <f t="array" ref="BB5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59" s="161" t="s">
        <v>738</v>
      </c>
      <c r="BD59" s="161" t="s">
        <v>739</v>
      </c>
      <c r="BE59" s="161" t="s">
        <v>737</v>
      </c>
      <c r="BF59" s="161" t="s">
        <v>744</v>
      </c>
      <c r="BG59" s="161" t="b">
        <f>EXACT(Д402[[#This Row],[Статусы CRM]],Д402[[#This Row],[Статус]])</f>
        <v>1</v>
      </c>
      <c r="BH59" s="3">
        <f>IF(Д402[[#This Row],[ПС]]=0,IF(Д402[[#This Row],[ДС]]=0,Д402[[#This Row],[ТС]],Д402[[#This Row],[ДС]]),Д402[[#This Row],[ПС]])</f>
        <v>6537200</v>
      </c>
      <c r="BI59" s="3">
        <v>6537200</v>
      </c>
      <c r="BJ59" s="3">
        <v>0</v>
      </c>
      <c r="BK59" s="3">
        <v>0</v>
      </c>
      <c r="BL59" s="273">
        <f>Д402[[#This Row],[Стоимость CRM]]-Д402[[#This Row],[Стоимость до скидки]]</f>
        <v>0</v>
      </c>
      <c r="BM59" s="161" t="s">
        <v>9</v>
      </c>
      <c r="BN59" s="161" t="b">
        <f>Д402[[#This Row],[Отделка CRM]]=Д402[[#This Row],[Отделка]]</f>
        <v>1</v>
      </c>
      <c r="BO59" s="275" t="s">
        <v>191</v>
      </c>
      <c r="BP59" s="69"/>
    </row>
    <row r="60" spans="1:68" ht="12" customHeight="1" x14ac:dyDescent="0.25">
      <c r="A60" s="140">
        <v>58</v>
      </c>
      <c r="B60" s="175">
        <v>1</v>
      </c>
      <c r="C60" s="141">
        <f t="shared" si="1"/>
        <v>11</v>
      </c>
      <c r="D60" s="142">
        <v>4</v>
      </c>
      <c r="E60" s="141">
        <v>2</v>
      </c>
      <c r="F60" s="143">
        <v>14.98</v>
      </c>
      <c r="G60" s="143">
        <v>12.28</v>
      </c>
      <c r="H60" s="143"/>
      <c r="I60" s="144">
        <f>SUM(Д402[[#This Row],[Комната 1]:[Комната 3]])</f>
        <v>27.259999999999998</v>
      </c>
      <c r="J60" s="145">
        <v>15.07</v>
      </c>
      <c r="K60" s="145">
        <v>4.4400000000000004</v>
      </c>
      <c r="L60" s="145"/>
      <c r="M60" s="145">
        <v>6.25</v>
      </c>
      <c r="N60" s="145"/>
      <c r="O60" s="145">
        <v>3.33</v>
      </c>
      <c r="P60" s="146"/>
      <c r="Q60" s="146"/>
      <c r="R60" s="146">
        <f>SUM(Д402[[#This Row],[Лоджия 1]:[Лоджия 3]])</f>
        <v>3.33</v>
      </c>
      <c r="S60" s="10">
        <f>ROUND(SUM(Д402[[#This Row],[Площадь по проекту жилая]:[Лоджия 3]]),2)</f>
        <v>56.35</v>
      </c>
      <c r="T60" s="10">
        <f>ROUND(Д402[[#This Row],[Площадь по проекту(общая)]]-Д402[[#This Row],[Летние]],2)</f>
        <v>53.02</v>
      </c>
      <c r="U60" s="10">
        <f>ROUND(Д402[[#This Row],[Площадь по проекту(общая)]]-(SUM(Д402[[#This Row],[Лоджия 1]:[Лоджия 3]])/2),2)</f>
        <v>54.69</v>
      </c>
      <c r="V60" s="10">
        <f>VLOOKUP(Д402[[#This Row],[№]],наценка7[],COLUMN(наценка7[[#This Row],[Цена м2 с учетом всех K]]),0)</f>
        <v>119811.8</v>
      </c>
      <c r="W60" s="162"/>
      <c r="X60" s="10">
        <f>Д402[[#This Row],[м2 после К]]+Д402[[#This Row],[02.12.2024]]</f>
        <v>119811.8</v>
      </c>
      <c r="Y60" s="149">
        <v>1000</v>
      </c>
      <c r="Z60" s="10">
        <f>Д402[[#This Row],[Фикс 20.12.24]]+Д402[[#This Row],[23.12.24 СП +1000]]</f>
        <v>120811.8</v>
      </c>
      <c r="AA60" s="149">
        <v>215</v>
      </c>
      <c r="AB60" s="10">
        <f>Д402[[#This Row],[Фикс 23.12.24]]+Д402[[#This Row],[Повышение 20.02.25]]</f>
        <v>121026.8</v>
      </c>
      <c r="AC60" s="149">
        <v>17.5</v>
      </c>
      <c r="AD60" s="10">
        <f>Д402[[#This Row],[Фикс 20.02.25]]+Д402[[#This Row],[Повышение 24.02.2025]]</f>
        <v>121044.3</v>
      </c>
      <c r="AE60" s="149">
        <f>Д402[[#This Row],[Фикс 24.02.25]]*0.5%</f>
        <v>605.22149999999999</v>
      </c>
      <c r="AF60" s="10">
        <f>Д402[[#This Row],[Фикс 24.02.25]]+Д402[[#This Row],[Повышение 05.03.2025
1К: до 40м - 1,5%, 40+ 0,5%
2К - 0,5% ]]</f>
        <v>121649.5215</v>
      </c>
      <c r="AG60" s="10"/>
      <c r="AH60" s="10">
        <f>Д402[[#This Row],[Фикс 05.03.25]]+Д402[[#This Row],[повышение 14.03.25 1К-1%]]</f>
        <v>121649.5215</v>
      </c>
      <c r="AI60" s="10"/>
      <c r="AJ60" s="10">
        <f>Д402[[#This Row],[Фикс 14.03.25]]+Д402[[#This Row],[повышение 28.03.25 1К-1%]]</f>
        <v>121649.5215</v>
      </c>
      <c r="AK60" s="10"/>
      <c r="AL60" s="10">
        <f>Д402[[#This Row],[Фикс 28.03.25]]+Д402[[#This Row],[Повышение 23.07.25
1К 43-46м2 - 2%
2К 55-58 - 2%; 58-64 - 3%
3К 76-79 - 2%
]]</f>
        <v>121649.5215</v>
      </c>
      <c r="AM60" s="149">
        <f>ROUND(Д402[[#This Row],[Фикс 23.07.25]],2)</f>
        <v>121649.52</v>
      </c>
      <c r="AN60" s="149">
        <f>ROUNDUP(Д402[[#This Row],[утв цена м2]]*Д402[[#This Row],[Расчетная проектная площадь]],-2)</f>
        <v>6653100</v>
      </c>
      <c r="AO60" s="151"/>
      <c r="AP60" s="152"/>
      <c r="AQ60" s="151">
        <f>Д402[[#This Row],[Стоимость до скидки]]*Д402[[#This Row],[Скидка %]]+Д402[[#This Row],[Скидка фиксированная]]</f>
        <v>0</v>
      </c>
      <c r="AR60" s="3">
        <f>Д402[[#This Row],[Стоимость ОН без отделки со скидкой]]/Д402[[#This Row],[Расчетная проектная площадь]]</f>
        <v>121651.12452002194</v>
      </c>
      <c r="AS60" s="3">
        <f>Д402[[#This Row],[Стоимость до скидки]]-Д402[[#This Row],[Итоговая сумма скидки]]</f>
        <v>6653100</v>
      </c>
      <c r="AT6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0" s="153"/>
      <c r="AV60" s="153"/>
      <c r="AW60" s="3">
        <f>Д402[[#This Row],[Цена м2 без отделки со скидкой]]+Д402[[#This Row],[Стоимость отделки]]</f>
        <v>121651.12452002194</v>
      </c>
      <c r="AX60" s="3">
        <f>Д402[[#This Row],[Стоимость квартиры с отделкой]]-Д402[[#This Row],[Стоимость ОН без отделки со скидкой]]</f>
        <v>0</v>
      </c>
      <c r="AY60" s="3">
        <f>Д402[[#This Row],[Цена м2 с отделкой]]*Д402[[#This Row],[Расчетная проектная площадь]]</f>
        <v>6653100</v>
      </c>
      <c r="AZ60" s="161"/>
      <c r="BA60" s="155" t="s">
        <v>12</v>
      </c>
      <c r="BB60" s="156" t="str" cm="1">
        <f t="array" ref="BB6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0" s="161" t="s">
        <v>738</v>
      </c>
      <c r="BD60" s="161" t="s">
        <v>739</v>
      </c>
      <c r="BE60" s="161" t="s">
        <v>737</v>
      </c>
      <c r="BF60" s="161" t="s">
        <v>744</v>
      </c>
      <c r="BG60" s="161" t="b">
        <f>EXACT(Д402[[#This Row],[Статусы CRM]],Д402[[#This Row],[Статус]])</f>
        <v>1</v>
      </c>
      <c r="BH60" s="3">
        <f>IF(Д402[[#This Row],[ПС]]=0,IF(Д402[[#This Row],[ДС]]=0,Д402[[#This Row],[ТС]],Д402[[#This Row],[ДС]]),Д402[[#This Row],[ПС]])</f>
        <v>6653100</v>
      </c>
      <c r="BI60" s="3">
        <v>6653100</v>
      </c>
      <c r="BJ60" s="3">
        <v>0</v>
      </c>
      <c r="BK60" s="3">
        <v>0</v>
      </c>
      <c r="BL60" s="273">
        <f>Д402[[#This Row],[Стоимость CRM]]-Д402[[#This Row],[Стоимость до скидки]]</f>
        <v>0</v>
      </c>
      <c r="BM60" s="161" t="s">
        <v>9</v>
      </c>
      <c r="BN60" s="161" t="b">
        <f>Д402[[#This Row],[Отделка CRM]]=Д402[[#This Row],[Отделка]]</f>
        <v>1</v>
      </c>
      <c r="BO60" s="275" t="s">
        <v>192</v>
      </c>
      <c r="BP60" s="69"/>
    </row>
    <row r="61" spans="1:68" ht="12" customHeight="1" x14ac:dyDescent="0.25">
      <c r="A61" s="140">
        <v>59</v>
      </c>
      <c r="B61" s="175">
        <v>1</v>
      </c>
      <c r="C61" s="141">
        <f t="shared" si="1"/>
        <v>11</v>
      </c>
      <c r="D61" s="142">
        <v>5</v>
      </c>
      <c r="E61" s="141">
        <v>1</v>
      </c>
      <c r="F61" s="143">
        <v>13.06</v>
      </c>
      <c r="G61" s="143"/>
      <c r="H61" s="143"/>
      <c r="I61" s="144">
        <f>SUM(Д402[[#This Row],[Комната 1]:[Комната 3]])</f>
        <v>13.06</v>
      </c>
      <c r="J61" s="145">
        <v>15.01</v>
      </c>
      <c r="K61" s="145">
        <v>4.4400000000000004</v>
      </c>
      <c r="L61" s="145"/>
      <c r="M61" s="145">
        <v>2.9</v>
      </c>
      <c r="N61" s="145"/>
      <c r="O61" s="145">
        <v>3.02</v>
      </c>
      <c r="P61" s="146"/>
      <c r="Q61" s="146"/>
      <c r="R61" s="146">
        <f>SUM(Д402[[#This Row],[Лоджия 1]:[Лоджия 3]])</f>
        <v>3.02</v>
      </c>
      <c r="S61" s="10">
        <f>ROUND(SUM(Д402[[#This Row],[Площадь по проекту жилая]:[Лоджия 3]]),2)</f>
        <v>38.43</v>
      </c>
      <c r="T61" s="10">
        <f>ROUND(Д402[[#This Row],[Площадь по проекту(общая)]]-Д402[[#This Row],[Летние]],2)</f>
        <v>35.409999999999997</v>
      </c>
      <c r="U61" s="10">
        <f>ROUND(Д402[[#This Row],[Площадь по проекту(общая)]]-(SUM(Д402[[#This Row],[Лоджия 1]:[Лоджия 3]])/2),2)</f>
        <v>36.92</v>
      </c>
      <c r="V61" s="10">
        <f>VLOOKUP(Д402[[#This Row],[№]],наценка7[],COLUMN(наценка7[[#This Row],[Цена м2 с учетом всех K]]),0)</f>
        <v>126415.6</v>
      </c>
      <c r="W61" s="159">
        <f>2%*Д402[[#This Row],[м2 после К]]</f>
        <v>2528.3120000000004</v>
      </c>
      <c r="X61" s="10">
        <f>Д402[[#This Row],[м2 после К]]+Д402[[#This Row],[02.12.2024]]</f>
        <v>128943.91200000001</v>
      </c>
      <c r="Y61" s="149">
        <v>1000</v>
      </c>
      <c r="Z61" s="10">
        <f>Д402[[#This Row],[Фикс 20.12.24]]+Д402[[#This Row],[23.12.24 СП +1000]]</f>
        <v>129943.91200000001</v>
      </c>
      <c r="AA61" s="10"/>
      <c r="AB61" s="10">
        <f>Д402[[#This Row],[Фикс 23.12.24]]+Д402[[#This Row],[Повышение 20.02.25]]</f>
        <v>129943.91200000001</v>
      </c>
      <c r="AC61" s="10"/>
      <c r="AD61" s="10">
        <f>Д402[[#This Row],[Фикс 20.02.25]]+Д402[[#This Row],[Повышение 24.02.2025]]</f>
        <v>129943.91200000001</v>
      </c>
      <c r="AE61" s="10"/>
      <c r="AF61" s="10">
        <f>Д402[[#This Row],[Фикс 24.02.25]]+Д402[[#This Row],[Повышение 05.03.2025
1К: до 40м - 1,5%, 40+ 0,5%
2К - 0,5% ]]</f>
        <v>129943.91200000001</v>
      </c>
      <c r="AG61" s="10"/>
      <c r="AH61" s="10">
        <f>Д402[[#This Row],[Фикс 05.03.25]]+Д402[[#This Row],[повышение 14.03.25 1К-1%]]</f>
        <v>129943.91200000001</v>
      </c>
      <c r="AI61" s="10"/>
      <c r="AJ61" s="10">
        <f>Д402[[#This Row],[Фикс 14.03.25]]+Д402[[#This Row],[повышение 28.03.25 1К-1%]]</f>
        <v>129943.91200000001</v>
      </c>
      <c r="AK61" s="10"/>
      <c r="AL61" s="10">
        <f>Д402[[#This Row],[Фикс 28.03.25]]+Д402[[#This Row],[Повышение 23.07.25
1К 43-46м2 - 2%
2К 55-58 - 2%; 58-64 - 3%
3К 76-79 - 2%
]]</f>
        <v>129943.91200000001</v>
      </c>
      <c r="AM61" s="149">
        <f>ROUND(Д402[[#This Row],[Фикс 23.07.25]],2)</f>
        <v>129943.91</v>
      </c>
      <c r="AN61" s="149">
        <f>ROUNDUP(Д402[[#This Row],[утв цена м2]]*Д402[[#This Row],[Расчетная проектная площадь]],-2)</f>
        <v>4797600</v>
      </c>
      <c r="AO61" s="151"/>
      <c r="AP61" s="152"/>
      <c r="AQ61" s="151">
        <f>Д402[[#This Row],[Стоимость до скидки]]*Д402[[#This Row],[Скидка %]]+Д402[[#This Row],[Скидка фиксированная]]</f>
        <v>0</v>
      </c>
      <c r="AR61" s="3">
        <f>Д402[[#This Row],[Стоимость ОН без отделки со скидкой]]/Д402[[#This Row],[Расчетная проектная площадь]]</f>
        <v>129945.82881906825</v>
      </c>
      <c r="AS61" s="3">
        <f>Д402[[#This Row],[Стоимость до скидки]]-Д402[[#This Row],[Итоговая сумма скидки]]</f>
        <v>4797600</v>
      </c>
      <c r="AT6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1" s="153"/>
      <c r="AV61" s="153"/>
      <c r="AW61" s="3">
        <f>Д402[[#This Row],[Цена м2 без отделки со скидкой]]+Д402[[#This Row],[Стоимость отделки]]</f>
        <v>129945.82881906825</v>
      </c>
      <c r="AX61" s="3">
        <f>Д402[[#This Row],[Стоимость квартиры с отделкой]]-Д402[[#This Row],[Стоимость ОН без отделки со скидкой]]</f>
        <v>0</v>
      </c>
      <c r="AY61" s="3">
        <f>Д402[[#This Row],[Цена м2 с отделкой]]*Д402[[#This Row],[Расчетная проектная площадь]]</f>
        <v>4797600</v>
      </c>
      <c r="AZ61" s="161"/>
      <c r="BA61" s="269" t="s">
        <v>426</v>
      </c>
      <c r="BB61" s="269" t="str" cm="1">
        <f t="array" ref="BB6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61" s="161" t="s">
        <v>741</v>
      </c>
      <c r="BD61" s="161" t="s">
        <v>506</v>
      </c>
      <c r="BE61" s="161" t="s">
        <v>737</v>
      </c>
      <c r="BF61" s="161" t="s">
        <v>745</v>
      </c>
      <c r="BG61" s="161" t="b">
        <f>EXACT(Д402[[#This Row],[Статусы CRM]],Д402[[#This Row],[Статус]])</f>
        <v>1</v>
      </c>
      <c r="BH61" s="3">
        <f>IF(Д402[[#This Row],[ПС]]=0,IF(Д402[[#This Row],[ДС]]=0,Д402[[#This Row],[ТС]],Д402[[#This Row],[ДС]]),Д402[[#This Row],[ПС]])</f>
        <v>4797600</v>
      </c>
      <c r="BI61" s="3" t="s">
        <v>749</v>
      </c>
      <c r="BJ61" s="3">
        <v>0</v>
      </c>
      <c r="BK61" s="3">
        <v>4797600</v>
      </c>
      <c r="BL61" s="273">
        <f>Д402[[#This Row],[Стоимость CRM]]-Д402[[#This Row],[Стоимость до скидки]]</f>
        <v>0</v>
      </c>
      <c r="BM61" s="161" t="s">
        <v>9</v>
      </c>
      <c r="BN61" s="161" t="b">
        <f>Д402[[#This Row],[Отделка CRM]]=Д402[[#This Row],[Отделка]]</f>
        <v>1</v>
      </c>
      <c r="BO61" s="275" t="s">
        <v>193</v>
      </c>
      <c r="BP61" s="69"/>
    </row>
    <row r="62" spans="1:68" ht="12" customHeight="1" x14ac:dyDescent="0.25">
      <c r="A62" s="140">
        <v>60</v>
      </c>
      <c r="B62" s="175">
        <v>1</v>
      </c>
      <c r="C62" s="141">
        <f t="shared" si="1"/>
        <v>11</v>
      </c>
      <c r="D62" s="142">
        <v>6</v>
      </c>
      <c r="E62" s="141">
        <v>1</v>
      </c>
      <c r="F62" s="143">
        <v>14.57</v>
      </c>
      <c r="G62" s="143"/>
      <c r="H62" s="143"/>
      <c r="I62" s="144">
        <f>SUM(Д402[[#This Row],[Комната 1]:[Комната 3]])</f>
        <v>14.57</v>
      </c>
      <c r="J62" s="145">
        <v>16.850000000000001</v>
      </c>
      <c r="K62" s="145">
        <v>4.46</v>
      </c>
      <c r="L62" s="145"/>
      <c r="M62" s="145">
        <v>7.75</v>
      </c>
      <c r="N62" s="145"/>
      <c r="O62" s="145">
        <v>3.1</v>
      </c>
      <c r="P62" s="146"/>
      <c r="Q62" s="146"/>
      <c r="R62" s="146">
        <f>SUM(Д402[[#This Row],[Лоджия 1]:[Лоджия 3]])</f>
        <v>3.1</v>
      </c>
      <c r="S62" s="149">
        <f>ROUND(SUM(Д402[[#This Row],[Площадь по проекту жилая]:[Лоджия 3]]),2)</f>
        <v>46.73</v>
      </c>
      <c r="T62" s="149">
        <f>ROUND(Д402[[#This Row],[Площадь по проекту(общая)]]-Д402[[#This Row],[Летние]],2)</f>
        <v>43.63</v>
      </c>
      <c r="U62" s="149">
        <f>ROUND(Д402[[#This Row],[Площадь по проекту(общая)]]-(SUM(Д402[[#This Row],[Лоджия 1]:[Лоджия 3]])/2),2)</f>
        <v>45.18</v>
      </c>
      <c r="V62" s="149">
        <f>VLOOKUP(Д402[[#This Row],[№]],наценка7[],COLUMN(наценка7[[#This Row],[Цена м2 с учетом всех K]]),0)</f>
        <v>122837.8</v>
      </c>
      <c r="W62" s="159"/>
      <c r="X62" s="149">
        <f>Д402[[#This Row],[м2 после К]]+Д402[[#This Row],[02.12.2024]]</f>
        <v>122837.8</v>
      </c>
      <c r="Y62" s="149">
        <v>1000</v>
      </c>
      <c r="Z62" s="149">
        <f>Д402[[#This Row],[Фикс 20.12.24]]+Д402[[#This Row],[23.12.24 СП +1000]]</f>
        <v>123837.8</v>
      </c>
      <c r="AA62" s="149">
        <v>215</v>
      </c>
      <c r="AB62" s="149">
        <f>Д402[[#This Row],[Фикс 23.12.24]]+Д402[[#This Row],[Повышение 20.02.25]]</f>
        <v>124052.8</v>
      </c>
      <c r="AC62" s="149">
        <v>17.5</v>
      </c>
      <c r="AD62" s="149">
        <f>Д402[[#This Row],[Фикс 20.02.25]]+Д402[[#This Row],[Повышение 24.02.2025]]</f>
        <v>124070.3</v>
      </c>
      <c r="AE62" s="149">
        <f>Д402[[#This Row],[Фикс 24.02.25]]*0.5%</f>
        <v>620.35149999999999</v>
      </c>
      <c r="AF62" s="149">
        <f>Д402[[#This Row],[Фикс 24.02.25]]+Д402[[#This Row],[Повышение 05.03.2025
1К: до 40м - 1,5%, 40+ 0,5%
2К - 0,5% ]]</f>
        <v>124690.65150000001</v>
      </c>
      <c r="AG62" s="149">
        <f>Д402[[#This Row],[Фикс 05.03.25]]*1%</f>
        <v>1246.9065150000001</v>
      </c>
      <c r="AH62" s="149">
        <f>Д402[[#This Row],[Фикс 05.03.25]]+Д402[[#This Row],[повышение 14.03.25 1К-1%]]</f>
        <v>125937.558015</v>
      </c>
      <c r="AI62" s="149">
        <f>Д402[[#This Row],[Фикс 14.03.25]]*1%</f>
        <v>1259.3755801500001</v>
      </c>
      <c r="AJ62" s="149">
        <f>Д402[[#This Row],[Фикс 14.03.25]]+Д402[[#This Row],[повышение 28.03.25 1К-1%]]</f>
        <v>127196.93359515</v>
      </c>
      <c r="AK62" s="149">
        <f>Д402[[#This Row],[Фикс 28.03.25]]*2%</f>
        <v>2543.9386719029999</v>
      </c>
      <c r="AL62" s="149">
        <f>Д402[[#This Row],[Фикс 28.03.25]]+Д402[[#This Row],[Повышение 23.07.25
1К 43-46м2 - 2%
2К 55-58 - 2%; 58-64 - 3%
3К 76-79 - 2%
]]</f>
        <v>129740.872267053</v>
      </c>
      <c r="AM62" s="149">
        <f>ROUND(Д402[[#This Row],[Фикс 23.07.25]],2)</f>
        <v>129740.87</v>
      </c>
      <c r="AN62" s="149">
        <f>ROUNDUP(Д402[[#This Row],[утв цена м2]]*Д402[[#This Row],[Расчетная проектная площадь]],-2)</f>
        <v>5861700</v>
      </c>
      <c r="AO62" s="151"/>
      <c r="AP62" s="152"/>
      <c r="AQ62" s="151">
        <f>Д402[[#This Row],[Стоимость до скидки]]*Д402[[#This Row],[Скидка %]]+Д402[[#This Row],[Скидка фиксированная]]</f>
        <v>0</v>
      </c>
      <c r="AR62" s="3">
        <f>Д402[[#This Row],[Стоимость ОН без отделки со скидкой]]/Д402[[#This Row],[Расчетная проектная площадь]]</f>
        <v>129741.03585657371</v>
      </c>
      <c r="AS62" s="3">
        <f>Д402[[#This Row],[Стоимость до скидки]]-Д402[[#This Row],[Итоговая сумма скидки]]</f>
        <v>5861700</v>
      </c>
      <c r="AT6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2" s="153"/>
      <c r="AV62" s="153"/>
      <c r="AW62" s="3">
        <f>Д402[[#This Row],[Цена м2 без отделки со скидкой]]+Д402[[#This Row],[Стоимость отделки]]</f>
        <v>129741.03585657371</v>
      </c>
      <c r="AX62" s="3">
        <f>Д402[[#This Row],[Стоимость квартиры с отделкой]]-Д402[[#This Row],[Стоимость ОН без отделки со скидкой]]</f>
        <v>0</v>
      </c>
      <c r="AY62" s="3">
        <f>Д402[[#This Row],[Цена м2 с отделкой]]*Д402[[#This Row],[Расчетная проектная площадь]]</f>
        <v>5861700</v>
      </c>
      <c r="AZ62" s="161"/>
      <c r="BA62" s="269" t="s">
        <v>128</v>
      </c>
      <c r="BB62" s="156" t="str" cm="1">
        <f t="array" ref="BB6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62" s="161" t="s">
        <v>740</v>
      </c>
      <c r="BD62" s="161" t="s">
        <v>506</v>
      </c>
      <c r="BE62" s="161" t="s">
        <v>737</v>
      </c>
      <c r="BF62" s="161" t="s">
        <v>745</v>
      </c>
      <c r="BG62" s="161" t="b">
        <f>EXACT(Д402[[#This Row],[Статусы CRM]],Д402[[#This Row],[Статус]])</f>
        <v>1</v>
      </c>
      <c r="BH62" s="3">
        <f>IF(Д402[[#This Row],[ПС]]=0,IF(Д402[[#This Row],[ДС]]=0,Д402[[#This Row],[ТС]],Д402[[#This Row],[ДС]]),Д402[[#This Row],[ПС]])</f>
        <v>5861700</v>
      </c>
      <c r="BI62" s="3">
        <v>5861700</v>
      </c>
      <c r="BJ62" s="3">
        <v>0</v>
      </c>
      <c r="BK62" s="3">
        <v>0</v>
      </c>
      <c r="BL62" s="273">
        <f>Д402[[#This Row],[Стоимость CRM]]-Д402[[#This Row],[Стоимость до скидки]]</f>
        <v>0</v>
      </c>
      <c r="BM62" s="161" t="s">
        <v>9</v>
      </c>
      <c r="BN62" s="161" t="b">
        <f>Д402[[#This Row],[Отделка CRM]]=Д402[[#This Row],[Отделка]]</f>
        <v>1</v>
      </c>
      <c r="BO62" s="275" t="s">
        <v>194</v>
      </c>
      <c r="BP62" s="69"/>
    </row>
    <row r="63" spans="1:68" ht="12" customHeight="1" x14ac:dyDescent="0.25">
      <c r="A63" s="140">
        <v>61</v>
      </c>
      <c r="B63" s="175">
        <v>1</v>
      </c>
      <c r="C63" s="141">
        <f t="shared" si="1"/>
        <v>12</v>
      </c>
      <c r="D63" s="142">
        <v>1</v>
      </c>
      <c r="E63" s="141">
        <v>0</v>
      </c>
      <c r="F63" s="143">
        <v>14.66</v>
      </c>
      <c r="G63" s="143"/>
      <c r="H63" s="143"/>
      <c r="I63" s="144">
        <f>SUM(Д402[[#This Row],[Комната 1]:[Комната 3]])</f>
        <v>14.66</v>
      </c>
      <c r="J63" s="145">
        <v>6.15</v>
      </c>
      <c r="K63" s="145">
        <v>4.95</v>
      </c>
      <c r="L63" s="145"/>
      <c r="M63" s="145">
        <v>3.86</v>
      </c>
      <c r="N63" s="145"/>
      <c r="O63" s="145"/>
      <c r="P63" s="146"/>
      <c r="Q63" s="146"/>
      <c r="R63" s="146">
        <f>SUM(Д402[[#This Row],[Лоджия 1]:[Лоджия 3]])</f>
        <v>0</v>
      </c>
      <c r="S63" s="149">
        <f>ROUND(SUM(Д402[[#This Row],[Площадь по проекту жилая]:[Лоджия 3]]),2)</f>
        <v>29.62</v>
      </c>
      <c r="T63" s="149">
        <f>ROUND(Д402[[#This Row],[Площадь по проекту(общая)]]-Д402[[#This Row],[Летние]],2)</f>
        <v>29.62</v>
      </c>
      <c r="U63" s="149">
        <f>ROUND(Д402[[#This Row],[Площадь по проекту(общая)]]-(SUM(Д402[[#This Row],[Лоджия 1]:[Лоджия 3]])/2),2)</f>
        <v>29.62</v>
      </c>
      <c r="V63" s="149">
        <f>VLOOKUP(Д402[[#This Row],[№]],наценка7[],COLUMN(наценка7[[#This Row],[Цена м2 с учетом всех K]]),0)</f>
        <v>139730</v>
      </c>
      <c r="W63" s="159">
        <v>200</v>
      </c>
      <c r="X63" s="149">
        <f>Д402[[#This Row],[м2 после К]]+Д402[[#This Row],[02.12.2024]]</f>
        <v>139930</v>
      </c>
      <c r="Y63" s="149">
        <v>1000</v>
      </c>
      <c r="Z63" s="149">
        <f>Д402[[#This Row],[Фикс 20.12.24]]+Д402[[#This Row],[23.12.24 СП +1000]]</f>
        <v>140930</v>
      </c>
      <c r="AA63" s="149">
        <v>215</v>
      </c>
      <c r="AB63" s="149">
        <f>Д402[[#This Row],[Фикс 23.12.24]]+Д402[[#This Row],[Повышение 20.02.25]]</f>
        <v>141145</v>
      </c>
      <c r="AC63" s="149">
        <v>17.5</v>
      </c>
      <c r="AD63" s="149">
        <f>Д402[[#This Row],[Фикс 20.02.25]]+Д402[[#This Row],[Повышение 24.02.2025]]</f>
        <v>141162.5</v>
      </c>
      <c r="AE63" s="149"/>
      <c r="AF63" s="149">
        <f>Д402[[#This Row],[Фикс 24.02.25]]+Д402[[#This Row],[Повышение 05.03.2025
1К: до 40м - 1,5%, 40+ 0,5%
2К - 0,5% ]]</f>
        <v>141162.5</v>
      </c>
      <c r="AG63" s="149"/>
      <c r="AH63" s="149">
        <f>Д402[[#This Row],[Фикс 05.03.25]]+Д402[[#This Row],[повышение 14.03.25 1К-1%]]</f>
        <v>141162.5</v>
      </c>
      <c r="AI63" s="149"/>
      <c r="AJ63" s="149">
        <f>Д402[[#This Row],[Фикс 14.03.25]]+Д402[[#This Row],[повышение 28.03.25 1К-1%]]</f>
        <v>141162.5</v>
      </c>
      <c r="AK63" s="149"/>
      <c r="AL63" s="149">
        <f>Д402[[#This Row],[Фикс 28.03.25]]+Д402[[#This Row],[Повышение 23.07.25
1К 43-46м2 - 2%
2К 55-58 - 2%; 58-64 - 3%
3К 76-79 - 2%
]]</f>
        <v>141162.5</v>
      </c>
      <c r="AM63" s="149">
        <f>ROUND(Д402[[#This Row],[Фикс 23.07.25]],2)</f>
        <v>141162.5</v>
      </c>
      <c r="AN63" s="149">
        <f>ROUNDUP(Д402[[#This Row],[утв цена м2]]*Д402[[#This Row],[Расчетная проектная площадь]],-2)</f>
        <v>4181300</v>
      </c>
      <c r="AO63" s="151"/>
      <c r="AP63" s="152"/>
      <c r="AQ63" s="151">
        <f>Д402[[#This Row],[Стоимость до скидки]]*Д402[[#This Row],[Скидка %]]+Д402[[#This Row],[Скидка фиксированная]]</f>
        <v>0</v>
      </c>
      <c r="AR63" s="3">
        <f>Д402[[#This Row],[Стоимость ОН без отделки со скидкой]]/Д402[[#This Row],[Расчетная проектная площадь]]</f>
        <v>141164.75354490208</v>
      </c>
      <c r="AS63" s="3">
        <f>Д402[[#This Row],[Стоимость до скидки]]-Д402[[#This Row],[Итоговая сумма скидки]]</f>
        <v>4181300</v>
      </c>
      <c r="AT6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3" s="153"/>
      <c r="AV63" s="153"/>
      <c r="AW63" s="3">
        <f>Д402[[#This Row],[Цена м2 без отделки со скидкой]]+Д402[[#This Row],[Стоимость отделки]]</f>
        <v>141164.75354490208</v>
      </c>
      <c r="AX63" s="3">
        <f>Д402[[#This Row],[Стоимость квартиры с отделкой]]-Д402[[#This Row],[Стоимость ОН без отделки со скидкой]]</f>
        <v>0</v>
      </c>
      <c r="AY63" s="3">
        <f>Д402[[#This Row],[Цена м2 с отделкой]]*Д402[[#This Row],[Расчетная проектная площадь]]</f>
        <v>4181299.9999999995</v>
      </c>
      <c r="AZ63" s="161"/>
      <c r="BA63" s="269" t="s">
        <v>12</v>
      </c>
      <c r="BB63" s="269" t="str" cm="1">
        <f t="array" ref="BB6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3" s="161" t="s">
        <v>738</v>
      </c>
      <c r="BD63" s="161" t="s">
        <v>739</v>
      </c>
      <c r="BE63" s="161" t="s">
        <v>737</v>
      </c>
      <c r="BF63" s="161" t="s">
        <v>743</v>
      </c>
      <c r="BG63" s="161" t="b">
        <f>EXACT(Д402[[#This Row],[Статусы CRM]],Д402[[#This Row],[Статус]])</f>
        <v>1</v>
      </c>
      <c r="BH63" s="3">
        <f>IF(Д402[[#This Row],[ПС]]=0,IF(Д402[[#This Row],[ДС]]=0,Д402[[#This Row],[ТС]],Д402[[#This Row],[ДС]]),Д402[[#This Row],[ПС]])</f>
        <v>4181300</v>
      </c>
      <c r="BI63" s="3">
        <v>4181300</v>
      </c>
      <c r="BJ63" s="3">
        <v>0</v>
      </c>
      <c r="BK63" s="3">
        <v>0</v>
      </c>
      <c r="BL63" s="273">
        <f>Д402[[#This Row],[Стоимость CRM]]-Д402[[#This Row],[Стоимость до скидки]]</f>
        <v>0</v>
      </c>
      <c r="BM63" s="161" t="s">
        <v>9</v>
      </c>
      <c r="BN63" s="161" t="b">
        <f>Д402[[#This Row],[Отделка CRM]]=Д402[[#This Row],[Отделка]]</f>
        <v>1</v>
      </c>
      <c r="BO63" s="275" t="s">
        <v>195</v>
      </c>
      <c r="BP63" s="69"/>
    </row>
    <row r="64" spans="1:68" ht="12" customHeight="1" x14ac:dyDescent="0.25">
      <c r="A64" s="140">
        <v>62</v>
      </c>
      <c r="B64" s="175">
        <v>1</v>
      </c>
      <c r="C64" s="141">
        <f t="shared" si="1"/>
        <v>12</v>
      </c>
      <c r="D64" s="142">
        <v>2</v>
      </c>
      <c r="E64" s="141">
        <v>2</v>
      </c>
      <c r="F64" s="143">
        <v>16.100000000000001</v>
      </c>
      <c r="G64" s="143">
        <v>10.8</v>
      </c>
      <c r="H64" s="143"/>
      <c r="I64" s="144">
        <f>SUM(Д402[[#This Row],[Комната 1]:[Комната 3]])</f>
        <v>26.900000000000002</v>
      </c>
      <c r="J64" s="145">
        <v>17.61</v>
      </c>
      <c r="K64" s="145">
        <v>4.25</v>
      </c>
      <c r="L64" s="145"/>
      <c r="M64" s="145">
        <v>9.68</v>
      </c>
      <c r="N64" s="145"/>
      <c r="O64" s="145">
        <v>3.15</v>
      </c>
      <c r="P64" s="146"/>
      <c r="Q64" s="146"/>
      <c r="R64" s="146">
        <f>SUM(Д402[[#This Row],[Лоджия 1]:[Лоджия 3]])</f>
        <v>3.15</v>
      </c>
      <c r="S64" s="10">
        <f>ROUND(SUM(Д402[[#This Row],[Площадь по проекту жилая]:[Лоджия 3]]),2)</f>
        <v>61.59</v>
      </c>
      <c r="T64" s="10">
        <f>ROUND(Д402[[#This Row],[Площадь по проекту(общая)]]-Д402[[#This Row],[Летние]],2)</f>
        <v>58.44</v>
      </c>
      <c r="U64" s="10">
        <f>ROUND(Д402[[#This Row],[Площадь по проекту(общая)]]-(SUM(Д402[[#This Row],[Лоджия 1]:[Лоджия 3]])/2),2)</f>
        <v>60.02</v>
      </c>
      <c r="V64" s="10">
        <f>VLOOKUP(Д402[[#This Row],[№]],наценка7[],COLUMN(наценка7[[#This Row],[Цена м2 с учетом всех K]]),0)</f>
        <v>119811.8</v>
      </c>
      <c r="W64" s="162"/>
      <c r="X64" s="10">
        <f>Д402[[#This Row],[м2 после К]]+Д402[[#This Row],[02.12.2024]]</f>
        <v>119811.8</v>
      </c>
      <c r="Y64" s="149">
        <v>1000</v>
      </c>
      <c r="Z64" s="10">
        <f>Д402[[#This Row],[Фикс 20.12.24]]+Д402[[#This Row],[23.12.24 СП +1000]]</f>
        <v>120811.8</v>
      </c>
      <c r="AA64" s="149">
        <v>215</v>
      </c>
      <c r="AB64" s="10">
        <f>Д402[[#This Row],[Фикс 23.12.24]]+Д402[[#This Row],[Повышение 20.02.25]]</f>
        <v>121026.8</v>
      </c>
      <c r="AC64" s="149">
        <v>17.5</v>
      </c>
      <c r="AD64" s="10">
        <f>Д402[[#This Row],[Фикс 20.02.25]]+Д402[[#This Row],[Повышение 24.02.2025]]</f>
        <v>121044.3</v>
      </c>
      <c r="AE64" s="149">
        <f>Д402[[#This Row],[Фикс 24.02.25]]*0.5%</f>
        <v>605.22149999999999</v>
      </c>
      <c r="AF64" s="10">
        <f>Д402[[#This Row],[Фикс 24.02.25]]+Д402[[#This Row],[Повышение 05.03.2025
1К: до 40м - 1,5%, 40+ 0,5%
2К - 0,5% ]]</f>
        <v>121649.5215</v>
      </c>
      <c r="AG64" s="10"/>
      <c r="AH64" s="10">
        <f>Д402[[#This Row],[Фикс 05.03.25]]+Д402[[#This Row],[повышение 14.03.25 1К-1%]]</f>
        <v>121649.5215</v>
      </c>
      <c r="AI64" s="10"/>
      <c r="AJ64" s="10">
        <f>Д402[[#This Row],[Фикс 14.03.25]]+Д402[[#This Row],[повышение 28.03.25 1К-1%]]</f>
        <v>121649.5215</v>
      </c>
      <c r="AK64" s="10">
        <f>Д402[[#This Row],[Фикс 28.03.25]]*3%</f>
        <v>3649.4856449999997</v>
      </c>
      <c r="AL64" s="10">
        <f>Д402[[#This Row],[Фикс 28.03.25]]+Д402[[#This Row],[Повышение 23.07.25
1К 43-46м2 - 2%
2К 55-58 - 2%; 58-64 - 3%
3К 76-79 - 2%
]]</f>
        <v>125299.007145</v>
      </c>
      <c r="AM64" s="149">
        <f>ROUND(Д402[[#This Row],[Фикс 23.07.25]],2)</f>
        <v>125299.01</v>
      </c>
      <c r="AN64" s="149">
        <f>ROUNDUP(Д402[[#This Row],[утв цена м2]]*Д402[[#This Row],[Расчетная проектная площадь]],-2)</f>
        <v>7520500</v>
      </c>
      <c r="AO64" s="151"/>
      <c r="AP64" s="152"/>
      <c r="AQ64" s="151">
        <f>Д402[[#This Row],[Стоимость до скидки]]*Д402[[#This Row],[Скидка %]]+Д402[[#This Row],[Скидка фиксированная]]</f>
        <v>0</v>
      </c>
      <c r="AR64" s="3">
        <f>Д402[[#This Row],[Стоимость ОН без отделки со скидкой]]/Д402[[#This Row],[Расчетная проектная площадь]]</f>
        <v>125299.90003332222</v>
      </c>
      <c r="AS64" s="3">
        <f>Д402[[#This Row],[Стоимость до скидки]]-Д402[[#This Row],[Итоговая сумма скидки]]</f>
        <v>7520500</v>
      </c>
      <c r="AT6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4" s="153"/>
      <c r="AV64" s="153"/>
      <c r="AW64" s="3">
        <f>Д402[[#This Row],[Цена м2 без отделки со скидкой]]+Д402[[#This Row],[Стоимость отделки]]</f>
        <v>125299.90003332222</v>
      </c>
      <c r="AX64" s="3">
        <f>Д402[[#This Row],[Стоимость квартиры с отделкой]]-Д402[[#This Row],[Стоимость ОН без отделки со скидкой]]</f>
        <v>0</v>
      </c>
      <c r="AY64" s="3">
        <f>Д402[[#This Row],[Цена м2 с отделкой]]*Д402[[#This Row],[Расчетная проектная площадь]]</f>
        <v>7520500</v>
      </c>
      <c r="AZ64" s="161"/>
      <c r="BA64" s="155" t="s">
        <v>12</v>
      </c>
      <c r="BB64" s="156" t="str" cm="1">
        <f t="array" ref="BB6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4" s="161" t="s">
        <v>738</v>
      </c>
      <c r="BD64" s="161" t="s">
        <v>739</v>
      </c>
      <c r="BE64" s="161" t="s">
        <v>737</v>
      </c>
      <c r="BF64" s="161" t="s">
        <v>744</v>
      </c>
      <c r="BG64" s="161" t="b">
        <f>EXACT(Д402[[#This Row],[Статусы CRM]],Д402[[#This Row],[Статус]])</f>
        <v>1</v>
      </c>
      <c r="BH64" s="3">
        <f>IF(Д402[[#This Row],[ПС]]=0,IF(Д402[[#This Row],[ДС]]=0,Д402[[#This Row],[ТС]],Д402[[#This Row],[ДС]]),Д402[[#This Row],[ПС]])</f>
        <v>7520500</v>
      </c>
      <c r="BI64" s="3">
        <v>7520500</v>
      </c>
      <c r="BJ64" s="3">
        <v>0</v>
      </c>
      <c r="BK64" s="3">
        <v>0</v>
      </c>
      <c r="BL64" s="273">
        <f>Д402[[#This Row],[Стоимость CRM]]-Д402[[#This Row],[Стоимость до скидки]]</f>
        <v>0</v>
      </c>
      <c r="BM64" s="161" t="s">
        <v>9</v>
      </c>
      <c r="BN64" s="161" t="b">
        <f>Д402[[#This Row],[Отделка CRM]]=Д402[[#This Row],[Отделка]]</f>
        <v>1</v>
      </c>
      <c r="BO64" s="275" t="s">
        <v>196</v>
      </c>
      <c r="BP64" s="69"/>
    </row>
    <row r="65" spans="1:68" ht="12" customHeight="1" x14ac:dyDescent="0.25">
      <c r="A65" s="140">
        <v>63</v>
      </c>
      <c r="B65" s="175">
        <v>1</v>
      </c>
      <c r="C65" s="141">
        <f t="shared" si="1"/>
        <v>12</v>
      </c>
      <c r="D65" s="142">
        <v>3</v>
      </c>
      <c r="E65" s="141">
        <v>2</v>
      </c>
      <c r="F65" s="143">
        <v>16.41</v>
      </c>
      <c r="G65" s="143">
        <v>12.19</v>
      </c>
      <c r="H65" s="143"/>
      <c r="I65" s="144">
        <f>SUM(Д402[[#This Row],[Комната 1]:[Комната 3]])</f>
        <v>28.6</v>
      </c>
      <c r="J65" s="145">
        <v>14.53</v>
      </c>
      <c r="K65" s="145">
        <v>3.86</v>
      </c>
      <c r="L65" s="145"/>
      <c r="M65" s="145">
        <v>6.1</v>
      </c>
      <c r="N65" s="145"/>
      <c r="O65" s="145">
        <v>3.33</v>
      </c>
      <c r="P65" s="146"/>
      <c r="Q65" s="146"/>
      <c r="R65" s="146">
        <f>SUM(Д402[[#This Row],[Лоджия 1]:[Лоджия 3]])</f>
        <v>3.33</v>
      </c>
      <c r="S65" s="10">
        <f>ROUND(SUM(Д402[[#This Row],[Площадь по проекту жилая]:[Лоджия 3]]),2)</f>
        <v>56.42</v>
      </c>
      <c r="T65" s="10">
        <f>ROUND(Д402[[#This Row],[Площадь по проекту(общая)]]-Д402[[#This Row],[Летние]],2)</f>
        <v>53.09</v>
      </c>
      <c r="U65" s="10">
        <f>ROUND(Д402[[#This Row],[Площадь по проекту(общая)]]-(SUM(Д402[[#This Row],[Лоджия 1]:[Лоджия 3]])/2),2)</f>
        <v>54.76</v>
      </c>
      <c r="V65" s="10">
        <f>VLOOKUP(Д402[[#This Row],[№]],наценка7[],COLUMN(наценка7[[#This Row],[Цена м2 с учетом всех K]]),0)</f>
        <v>118681.5</v>
      </c>
      <c r="W65" s="162"/>
      <c r="X65" s="10">
        <f>Д402[[#This Row],[м2 после К]]+Д402[[#This Row],[02.12.2024]]</f>
        <v>118681.5</v>
      </c>
      <c r="Y65" s="149">
        <v>1000</v>
      </c>
      <c r="Z65" s="10">
        <f>Д402[[#This Row],[Фикс 20.12.24]]+Д402[[#This Row],[23.12.24 СП +1000]]</f>
        <v>119681.5</v>
      </c>
      <c r="AA65" s="149">
        <v>215</v>
      </c>
      <c r="AB65" s="10">
        <f>Д402[[#This Row],[Фикс 23.12.24]]+Д402[[#This Row],[Повышение 20.02.25]]</f>
        <v>119896.5</v>
      </c>
      <c r="AC65" s="149">
        <v>17.5</v>
      </c>
      <c r="AD65" s="10">
        <f>Д402[[#This Row],[Фикс 20.02.25]]+Д402[[#This Row],[Повышение 24.02.2025]]</f>
        <v>119914</v>
      </c>
      <c r="AE65" s="149">
        <f>Д402[[#This Row],[Фикс 24.02.25]]*0.5%</f>
        <v>599.57000000000005</v>
      </c>
      <c r="AF65" s="10">
        <f>Д402[[#This Row],[Фикс 24.02.25]]+Д402[[#This Row],[Повышение 05.03.2025
1К: до 40м - 1,5%, 40+ 0,5%
2К - 0,5% ]]</f>
        <v>120513.57</v>
      </c>
      <c r="AG65" s="10"/>
      <c r="AH65" s="10">
        <f>Д402[[#This Row],[Фикс 05.03.25]]+Д402[[#This Row],[повышение 14.03.25 1К-1%]]</f>
        <v>120513.57</v>
      </c>
      <c r="AI65" s="10"/>
      <c r="AJ65" s="10">
        <f>Д402[[#This Row],[Фикс 14.03.25]]+Д402[[#This Row],[повышение 28.03.25 1К-1%]]</f>
        <v>120513.57</v>
      </c>
      <c r="AK65" s="10"/>
      <c r="AL65" s="10">
        <f>Д402[[#This Row],[Фикс 28.03.25]]+Д402[[#This Row],[Повышение 23.07.25
1К 43-46м2 - 2%
2К 55-58 - 2%; 58-64 - 3%
3К 76-79 - 2%
]]</f>
        <v>120513.57</v>
      </c>
      <c r="AM65" s="149">
        <f>ROUND(Д402[[#This Row],[Фикс 23.07.25]],2)</f>
        <v>120513.57</v>
      </c>
      <c r="AN65" s="149">
        <f>ROUNDUP(Д402[[#This Row],[утв цена м2]]*Д402[[#This Row],[Расчетная проектная площадь]],-2)</f>
        <v>6599400</v>
      </c>
      <c r="AO65" s="151"/>
      <c r="AP65" s="152"/>
      <c r="AQ65" s="151">
        <f>Д402[[#This Row],[Стоимость до скидки]]*Д402[[#This Row],[Скидка %]]+Д402[[#This Row],[Скидка фиксированная]]</f>
        <v>0</v>
      </c>
      <c r="AR65" s="3">
        <f>Д402[[#This Row],[Стоимость ОН без отделки со скидкой]]/Д402[[#This Row],[Расчетная проектная площадь]]</f>
        <v>120514.97443389335</v>
      </c>
      <c r="AS65" s="3">
        <f>Д402[[#This Row],[Стоимость до скидки]]-Д402[[#This Row],[Итоговая сумма скидки]]</f>
        <v>6599400</v>
      </c>
      <c r="AT6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5" s="153"/>
      <c r="AV65" s="153"/>
      <c r="AW65" s="3">
        <f>Д402[[#This Row],[Цена м2 без отделки со скидкой]]+Д402[[#This Row],[Стоимость отделки]]</f>
        <v>120514.97443389335</v>
      </c>
      <c r="AX65" s="3">
        <f>Д402[[#This Row],[Стоимость квартиры с отделкой]]-Д402[[#This Row],[Стоимость ОН без отделки со скидкой]]</f>
        <v>0</v>
      </c>
      <c r="AY65" s="3">
        <f>Д402[[#This Row],[Цена м2 с отделкой]]*Д402[[#This Row],[Расчетная проектная площадь]]</f>
        <v>6599400</v>
      </c>
      <c r="AZ65" s="161"/>
      <c r="BA65" s="155" t="s">
        <v>12</v>
      </c>
      <c r="BB65" s="156" t="str" cm="1">
        <f t="array" ref="BB6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5" s="161" t="s">
        <v>738</v>
      </c>
      <c r="BD65" s="161" t="s">
        <v>739</v>
      </c>
      <c r="BE65" s="161" t="s">
        <v>737</v>
      </c>
      <c r="BF65" s="161" t="s">
        <v>744</v>
      </c>
      <c r="BG65" s="161" t="b">
        <f>EXACT(Д402[[#This Row],[Статусы CRM]],Д402[[#This Row],[Статус]])</f>
        <v>1</v>
      </c>
      <c r="BH65" s="3">
        <f>IF(Д402[[#This Row],[ПС]]=0,IF(Д402[[#This Row],[ДС]]=0,Д402[[#This Row],[ТС]],Д402[[#This Row],[ДС]]),Д402[[#This Row],[ПС]])</f>
        <v>6599400</v>
      </c>
      <c r="BI65" s="3">
        <v>6599400</v>
      </c>
      <c r="BJ65" s="3">
        <v>0</v>
      </c>
      <c r="BK65" s="3">
        <v>0</v>
      </c>
      <c r="BL65" s="273">
        <f>Д402[[#This Row],[Стоимость CRM]]-Д402[[#This Row],[Стоимость до скидки]]</f>
        <v>0</v>
      </c>
      <c r="BM65" s="161" t="s">
        <v>9</v>
      </c>
      <c r="BN65" s="161" t="b">
        <f>Д402[[#This Row],[Отделка CRM]]=Д402[[#This Row],[Отделка]]</f>
        <v>1</v>
      </c>
      <c r="BO65" s="275" t="s">
        <v>197</v>
      </c>
      <c r="BP65" s="69"/>
    </row>
    <row r="66" spans="1:68" ht="12" customHeight="1" x14ac:dyDescent="0.25">
      <c r="A66" s="140">
        <v>64</v>
      </c>
      <c r="B66" s="175">
        <v>1</v>
      </c>
      <c r="C66" s="141">
        <f t="shared" si="1"/>
        <v>12</v>
      </c>
      <c r="D66" s="142">
        <v>4</v>
      </c>
      <c r="E66" s="141">
        <v>2</v>
      </c>
      <c r="F66" s="143">
        <v>14.98</v>
      </c>
      <c r="G66" s="143">
        <v>12.28</v>
      </c>
      <c r="H66" s="143"/>
      <c r="I66" s="144">
        <f>SUM(Д402[[#This Row],[Комната 1]:[Комната 3]])</f>
        <v>27.259999999999998</v>
      </c>
      <c r="J66" s="145">
        <v>15.07</v>
      </c>
      <c r="K66" s="145">
        <v>4.4400000000000004</v>
      </c>
      <c r="L66" s="145"/>
      <c r="M66" s="145">
        <v>6.25</v>
      </c>
      <c r="N66" s="145"/>
      <c r="O66" s="145">
        <v>3.33</v>
      </c>
      <c r="P66" s="146"/>
      <c r="Q66" s="146"/>
      <c r="R66" s="146">
        <f>SUM(Д402[[#This Row],[Лоджия 1]:[Лоджия 3]])</f>
        <v>3.33</v>
      </c>
      <c r="S66" s="10">
        <f>ROUND(SUM(Д402[[#This Row],[Площадь по проекту жилая]:[Лоджия 3]]),2)</f>
        <v>56.35</v>
      </c>
      <c r="T66" s="10">
        <f>ROUND(Д402[[#This Row],[Площадь по проекту(общая)]]-Д402[[#This Row],[Летние]],2)</f>
        <v>53.02</v>
      </c>
      <c r="U66" s="10">
        <f>ROUND(Д402[[#This Row],[Площадь по проекту(общая)]]-(SUM(Д402[[#This Row],[Лоджия 1]:[Лоджия 3]])/2),2)</f>
        <v>54.69</v>
      </c>
      <c r="V66" s="10">
        <f>VLOOKUP(Д402[[#This Row],[№]],наценка7[],COLUMN(наценка7[[#This Row],[Цена м2 с учетом всех K]]),0)</f>
        <v>120942.1</v>
      </c>
      <c r="W66" s="162"/>
      <c r="X66" s="10">
        <f>Д402[[#This Row],[м2 после К]]+Д402[[#This Row],[02.12.2024]]</f>
        <v>120942.1</v>
      </c>
      <c r="Y66" s="149">
        <v>1000</v>
      </c>
      <c r="Z66" s="10">
        <f>Д402[[#This Row],[Фикс 20.12.24]]+Д402[[#This Row],[23.12.24 СП +1000]]</f>
        <v>121942.1</v>
      </c>
      <c r="AA66" s="149">
        <v>215</v>
      </c>
      <c r="AB66" s="10">
        <f>Д402[[#This Row],[Фикс 23.12.24]]+Д402[[#This Row],[Повышение 20.02.25]]</f>
        <v>122157.1</v>
      </c>
      <c r="AC66" s="149">
        <v>17.5</v>
      </c>
      <c r="AD66" s="10">
        <f>Д402[[#This Row],[Фикс 20.02.25]]+Д402[[#This Row],[Повышение 24.02.2025]]</f>
        <v>122174.6</v>
      </c>
      <c r="AE66" s="149">
        <f>Д402[[#This Row],[Фикс 24.02.25]]*0.5%</f>
        <v>610.87300000000005</v>
      </c>
      <c r="AF66" s="10">
        <f>Д402[[#This Row],[Фикс 24.02.25]]+Д402[[#This Row],[Повышение 05.03.2025
1К: до 40м - 1,5%, 40+ 0,5%
2К - 0,5% ]]</f>
        <v>122785.47300000001</v>
      </c>
      <c r="AG66" s="10"/>
      <c r="AH66" s="10">
        <f>Д402[[#This Row],[Фикс 05.03.25]]+Д402[[#This Row],[повышение 14.03.25 1К-1%]]</f>
        <v>122785.47300000001</v>
      </c>
      <c r="AI66" s="10"/>
      <c r="AJ66" s="10">
        <f>Д402[[#This Row],[Фикс 14.03.25]]+Д402[[#This Row],[повышение 28.03.25 1К-1%]]</f>
        <v>122785.47300000001</v>
      </c>
      <c r="AK66" s="10"/>
      <c r="AL66" s="10">
        <f>Д402[[#This Row],[Фикс 28.03.25]]+Д402[[#This Row],[Повышение 23.07.25
1К 43-46м2 - 2%
2К 55-58 - 2%; 58-64 - 3%
3К 76-79 - 2%
]]</f>
        <v>122785.47300000001</v>
      </c>
      <c r="AM66" s="149">
        <f>ROUND(Д402[[#This Row],[Фикс 23.07.25]],2)</f>
        <v>122785.47</v>
      </c>
      <c r="AN66" s="149">
        <f>ROUNDUP(Д402[[#This Row],[утв цена м2]]*Д402[[#This Row],[Расчетная проектная площадь]],-2)</f>
        <v>6715200</v>
      </c>
      <c r="AO66" s="151"/>
      <c r="AP66" s="152"/>
      <c r="AQ66" s="151">
        <f>Д402[[#This Row],[Стоимость до скидки]]*Д402[[#This Row],[Скидка %]]+Д402[[#This Row],[Скидка фиксированная]]</f>
        <v>0</v>
      </c>
      <c r="AR66" s="3">
        <f>Д402[[#This Row],[Стоимость ОН без отделки со скидкой]]/Д402[[#This Row],[Расчетная проектная площадь]]</f>
        <v>122786.61546900714</v>
      </c>
      <c r="AS66" s="3">
        <f>Д402[[#This Row],[Стоимость до скидки]]-Д402[[#This Row],[Итоговая сумма скидки]]</f>
        <v>6715200</v>
      </c>
      <c r="AT6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6" s="153"/>
      <c r="AV66" s="153"/>
      <c r="AW66" s="3">
        <f>Д402[[#This Row],[Цена м2 без отделки со скидкой]]+Д402[[#This Row],[Стоимость отделки]]</f>
        <v>122786.61546900714</v>
      </c>
      <c r="AX66" s="3">
        <f>Д402[[#This Row],[Стоимость квартиры с отделкой]]-Д402[[#This Row],[Стоимость ОН без отделки со скидкой]]</f>
        <v>0</v>
      </c>
      <c r="AY66" s="3">
        <f>Д402[[#This Row],[Цена м2 с отделкой]]*Д402[[#This Row],[Расчетная проектная площадь]]</f>
        <v>6715200</v>
      </c>
      <c r="AZ66" s="161"/>
      <c r="BA66" s="155" t="s">
        <v>12</v>
      </c>
      <c r="BB66" s="156" t="str" cm="1">
        <f t="array" ref="BB6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6" s="161" t="s">
        <v>738</v>
      </c>
      <c r="BD66" s="161" t="s">
        <v>739</v>
      </c>
      <c r="BE66" s="161" t="s">
        <v>737</v>
      </c>
      <c r="BF66" s="161" t="s">
        <v>744</v>
      </c>
      <c r="BG66" s="161" t="b">
        <f>EXACT(Д402[[#This Row],[Статусы CRM]],Д402[[#This Row],[Статус]])</f>
        <v>1</v>
      </c>
      <c r="BH66" s="3">
        <f>IF(Д402[[#This Row],[ПС]]=0,IF(Д402[[#This Row],[ДС]]=0,Д402[[#This Row],[ТС]],Д402[[#This Row],[ДС]]),Д402[[#This Row],[ПС]])</f>
        <v>6715200</v>
      </c>
      <c r="BI66" s="3">
        <v>6715200</v>
      </c>
      <c r="BJ66" s="3">
        <v>0</v>
      </c>
      <c r="BK66" s="3">
        <v>0</v>
      </c>
      <c r="BL66" s="273">
        <f>Д402[[#This Row],[Стоимость CRM]]-Д402[[#This Row],[Стоимость до скидки]]</f>
        <v>0</v>
      </c>
      <c r="BM66" s="161" t="s">
        <v>9</v>
      </c>
      <c r="BN66" s="161" t="b">
        <f>Д402[[#This Row],[Отделка CRM]]=Д402[[#This Row],[Отделка]]</f>
        <v>1</v>
      </c>
      <c r="BO66" s="275" t="s">
        <v>198</v>
      </c>
      <c r="BP66" s="69"/>
    </row>
    <row r="67" spans="1:68" ht="12" customHeight="1" x14ac:dyDescent="0.25">
      <c r="A67" s="140">
        <v>65</v>
      </c>
      <c r="B67" s="175">
        <v>1</v>
      </c>
      <c r="C67" s="141">
        <f t="shared" si="1"/>
        <v>12</v>
      </c>
      <c r="D67" s="142">
        <v>5</v>
      </c>
      <c r="E67" s="141">
        <v>1</v>
      </c>
      <c r="F67" s="143">
        <v>13.06</v>
      </c>
      <c r="G67" s="143"/>
      <c r="H67" s="143"/>
      <c r="I67" s="144">
        <f>SUM(Д402[[#This Row],[Комната 1]:[Комната 3]])</f>
        <v>13.06</v>
      </c>
      <c r="J67" s="145">
        <v>15.01</v>
      </c>
      <c r="K67" s="145">
        <v>4.4400000000000004</v>
      </c>
      <c r="L67" s="145"/>
      <c r="M67" s="145">
        <v>2.9</v>
      </c>
      <c r="N67" s="145"/>
      <c r="O67" s="145">
        <v>3.02</v>
      </c>
      <c r="P67" s="146"/>
      <c r="Q67" s="146"/>
      <c r="R67" s="146">
        <f>SUM(Д402[[#This Row],[Лоджия 1]:[Лоджия 3]])</f>
        <v>3.02</v>
      </c>
      <c r="S67" s="10">
        <f>ROUND(SUM(Д402[[#This Row],[Площадь по проекту жилая]:[Лоджия 3]]),2)</f>
        <v>38.43</v>
      </c>
      <c r="T67" s="10">
        <f>ROUND(Д402[[#This Row],[Площадь по проекту(общая)]]-Д402[[#This Row],[Летние]],2)</f>
        <v>35.409999999999997</v>
      </c>
      <c r="U67" s="10">
        <f>ROUND(Д402[[#This Row],[Площадь по проекту(общая)]]-(SUM(Д402[[#This Row],[Лоджия 1]:[Лоджия 3]])/2),2)</f>
        <v>36.92</v>
      </c>
      <c r="V67" s="10">
        <f>VLOOKUP(Д402[[#This Row],[№]],наценка7[],COLUMN(наценка7[[#This Row],[Цена м2 с учетом всех K]]),0)</f>
        <v>126415.6</v>
      </c>
      <c r="W67" s="159">
        <f>2%*Д402[[#This Row],[м2 после К]]</f>
        <v>2528.3120000000004</v>
      </c>
      <c r="X67" s="10">
        <f>Д402[[#This Row],[м2 после К]]+Д402[[#This Row],[02.12.2024]]</f>
        <v>128943.91200000001</v>
      </c>
      <c r="Y67" s="149">
        <v>1000</v>
      </c>
      <c r="Z67" s="10">
        <f>Д402[[#This Row],[Фикс 20.12.24]]+Д402[[#This Row],[23.12.24 СП +1000]]</f>
        <v>129943.91200000001</v>
      </c>
      <c r="AA67" s="149">
        <v>215</v>
      </c>
      <c r="AB67" s="10">
        <f>Д402[[#This Row],[Фикс 23.12.24]]+Д402[[#This Row],[Повышение 20.02.25]]</f>
        <v>130158.91200000001</v>
      </c>
      <c r="AC67" s="149">
        <v>17.5</v>
      </c>
      <c r="AD67" s="10">
        <f>Д402[[#This Row],[Фикс 20.02.25]]+Д402[[#This Row],[Повышение 24.02.2025]]</f>
        <v>130176.41200000001</v>
      </c>
      <c r="AE67" s="149">
        <f>Д402[[#This Row],[Фикс 24.02.25]]*1.5%</f>
        <v>1952.6461800000002</v>
      </c>
      <c r="AF67" s="10">
        <f>Д402[[#This Row],[Фикс 24.02.25]]+Д402[[#This Row],[Повышение 05.03.2025
1К: до 40м - 1,5%, 40+ 0,5%
2К - 0,5% ]]</f>
        <v>132129.05818000002</v>
      </c>
      <c r="AG67" s="149">
        <f>Д402[[#This Row],[Фикс 05.03.25]]*1%</f>
        <v>1321.2905818000002</v>
      </c>
      <c r="AH67" s="10">
        <f>Д402[[#This Row],[Фикс 05.03.25]]+Д402[[#This Row],[повышение 14.03.25 1К-1%]]</f>
        <v>133450.34876180004</v>
      </c>
      <c r="AI67" s="149">
        <f>Д402[[#This Row],[Фикс 14.03.25]]*1%</f>
        <v>1334.5034876180005</v>
      </c>
      <c r="AJ67" s="10">
        <f>Д402[[#This Row],[Фикс 14.03.25]]+Д402[[#This Row],[повышение 28.03.25 1К-1%]]</f>
        <v>134784.85224941804</v>
      </c>
      <c r="AK67" s="10"/>
      <c r="AL67" s="10">
        <f>Д402[[#This Row],[Фикс 28.03.25]]+Д402[[#This Row],[Повышение 23.07.25
1К 43-46м2 - 2%
2К 55-58 - 2%; 58-64 - 3%
3К 76-79 - 2%
]]</f>
        <v>134784.85224941804</v>
      </c>
      <c r="AM67" s="149">
        <f>ROUND(Д402[[#This Row],[Фикс 23.07.25]],2)</f>
        <v>134784.85</v>
      </c>
      <c r="AN67" s="149">
        <f>ROUNDUP(Д402[[#This Row],[утв цена м2]]*Д402[[#This Row],[Расчетная проектная площадь]],-2)</f>
        <v>4976300</v>
      </c>
      <c r="AO67" s="151"/>
      <c r="AP67" s="152">
        <v>0.02</v>
      </c>
      <c r="AQ67" s="151">
        <f>Д402[[#This Row],[Стоимость до скидки]]*Д402[[#This Row],[Скидка %]]+Д402[[#This Row],[Скидка фиксированная]]</f>
        <v>99526</v>
      </c>
      <c r="AR67" s="3">
        <f>Д402[[#This Row],[Стоимость ОН без отделки со скидкой]]/Д402[[#This Row],[Расчетная проектная площадь]]</f>
        <v>132090.30335861322</v>
      </c>
      <c r="AS67" s="3">
        <f>Д402[[#This Row],[Стоимость до скидки]]-Д402[[#This Row],[Итоговая сумма скидки]]</f>
        <v>4876774</v>
      </c>
      <c r="AT6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7" s="153"/>
      <c r="AV67" s="153"/>
      <c r="AW67" s="3">
        <f>Д402[[#This Row],[Цена м2 без отделки со скидкой]]+Д402[[#This Row],[Стоимость отделки]]</f>
        <v>132090.30335861322</v>
      </c>
      <c r="AX67" s="3">
        <f>Д402[[#This Row],[Стоимость квартиры с отделкой]]-Д402[[#This Row],[Стоимость ОН без отделки со скидкой]]</f>
        <v>0</v>
      </c>
      <c r="AY67" s="3">
        <f>Д402[[#This Row],[Цена м2 с отделкой]]*Д402[[#This Row],[Расчетная проектная площадь]]</f>
        <v>4876774</v>
      </c>
      <c r="AZ67" s="161" t="s">
        <v>437</v>
      </c>
      <c r="BA67" s="269" t="s">
        <v>426</v>
      </c>
      <c r="BB67" s="269" t="str" cm="1">
        <f t="array" ref="BB6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67" s="161" t="s">
        <v>741</v>
      </c>
      <c r="BD67" s="161" t="s">
        <v>506</v>
      </c>
      <c r="BE67" s="161" t="s">
        <v>737</v>
      </c>
      <c r="BF67" s="161" t="s">
        <v>745</v>
      </c>
      <c r="BG67" s="161" t="b">
        <f>EXACT(Д402[[#This Row],[Статусы CRM]],Д402[[#This Row],[Статус]])</f>
        <v>1</v>
      </c>
      <c r="BH67" s="3">
        <f>IF(Д402[[#This Row],[ПС]]=0,IF(Д402[[#This Row],[ДС]]=0,Д402[[#This Row],[ТС]],Д402[[#This Row],[ДС]]),Д402[[#This Row],[ПС]])</f>
        <v>4976300</v>
      </c>
      <c r="BI67" s="3" t="s">
        <v>749</v>
      </c>
      <c r="BJ67" s="3">
        <v>0</v>
      </c>
      <c r="BK67" s="3">
        <v>4976300</v>
      </c>
      <c r="BL67" s="273">
        <f>Д402[[#This Row],[Стоимость CRM]]-Д402[[#This Row],[Стоимость до скидки]]</f>
        <v>0</v>
      </c>
      <c r="BM67" s="161" t="s">
        <v>9</v>
      </c>
      <c r="BN67" s="161" t="b">
        <f>Д402[[#This Row],[Отделка CRM]]=Д402[[#This Row],[Отделка]]</f>
        <v>1</v>
      </c>
      <c r="BO67" s="275" t="s">
        <v>199</v>
      </c>
      <c r="BP67" s="69"/>
    </row>
    <row r="68" spans="1:68" ht="12" customHeight="1" x14ac:dyDescent="0.25">
      <c r="A68" s="140">
        <v>66</v>
      </c>
      <c r="B68" s="175">
        <v>1</v>
      </c>
      <c r="C68" s="141">
        <f t="shared" si="1"/>
        <v>12</v>
      </c>
      <c r="D68" s="142">
        <v>6</v>
      </c>
      <c r="E68" s="141">
        <v>1</v>
      </c>
      <c r="F68" s="143">
        <v>14.57</v>
      </c>
      <c r="G68" s="143"/>
      <c r="H68" s="143"/>
      <c r="I68" s="144">
        <f>SUM(Д402[[#This Row],[Комната 1]:[Комната 3]])</f>
        <v>14.57</v>
      </c>
      <c r="J68" s="145">
        <v>16.850000000000001</v>
      </c>
      <c r="K68" s="145">
        <v>4.46</v>
      </c>
      <c r="L68" s="145"/>
      <c r="M68" s="145">
        <v>7.75</v>
      </c>
      <c r="N68" s="145"/>
      <c r="O68" s="145">
        <v>3.1</v>
      </c>
      <c r="P68" s="146"/>
      <c r="Q68" s="146"/>
      <c r="R68" s="146">
        <f>SUM(Д402[[#This Row],[Лоджия 1]:[Лоджия 3]])</f>
        <v>3.1</v>
      </c>
      <c r="S68" s="10">
        <f>ROUND(SUM(Д402[[#This Row],[Площадь по проекту жилая]:[Лоджия 3]]),2)</f>
        <v>46.73</v>
      </c>
      <c r="T68" s="10">
        <f>ROUND(Д402[[#This Row],[Площадь по проекту(общая)]]-Д402[[#This Row],[Летние]],2)</f>
        <v>43.63</v>
      </c>
      <c r="U68" s="10">
        <f>ROUND(Д402[[#This Row],[Площадь по проекту(общая)]]-(SUM(Д402[[#This Row],[Лоджия 1]:[Лоджия 3]])/2),2)</f>
        <v>45.18</v>
      </c>
      <c r="V68" s="10">
        <f>VLOOKUP(Д402[[#This Row],[№]],наценка7[],COLUMN(наценка7[[#This Row],[Цена м2 с учетом всех K]]),0)</f>
        <v>122837.8</v>
      </c>
      <c r="W68" s="162"/>
      <c r="X68" s="10">
        <f>Д402[[#This Row],[м2 после К]]+Д402[[#This Row],[02.12.2024]]</f>
        <v>122837.8</v>
      </c>
      <c r="Y68" s="149">
        <v>1000</v>
      </c>
      <c r="Z68" s="10">
        <f>Д402[[#This Row],[Фикс 20.12.24]]+Д402[[#This Row],[23.12.24 СП +1000]]</f>
        <v>123837.8</v>
      </c>
      <c r="AA68" s="149">
        <v>215</v>
      </c>
      <c r="AB68" s="10">
        <f>Д402[[#This Row],[Фикс 23.12.24]]+Д402[[#This Row],[Повышение 20.02.25]]</f>
        <v>124052.8</v>
      </c>
      <c r="AC68" s="149">
        <v>17.5</v>
      </c>
      <c r="AD68" s="10">
        <f>Д402[[#This Row],[Фикс 20.02.25]]+Д402[[#This Row],[Повышение 24.02.2025]]</f>
        <v>124070.3</v>
      </c>
      <c r="AE68" s="149">
        <f>Д402[[#This Row],[Фикс 24.02.25]]*0.5%</f>
        <v>620.35149999999999</v>
      </c>
      <c r="AF68" s="10">
        <f>Д402[[#This Row],[Фикс 24.02.25]]+Д402[[#This Row],[Повышение 05.03.2025
1К: до 40м - 1,5%, 40+ 0,5%
2К - 0,5% ]]</f>
        <v>124690.65150000001</v>
      </c>
      <c r="AG68" s="149">
        <f>Д402[[#This Row],[Фикс 05.03.25]]*1%</f>
        <v>1246.9065150000001</v>
      </c>
      <c r="AH68" s="10">
        <f>Д402[[#This Row],[Фикс 05.03.25]]+Д402[[#This Row],[повышение 14.03.25 1К-1%]]</f>
        <v>125937.558015</v>
      </c>
      <c r="AI68" s="149">
        <f>Д402[[#This Row],[Фикс 14.03.25]]*1%</f>
        <v>1259.3755801500001</v>
      </c>
      <c r="AJ68" s="10">
        <f>Д402[[#This Row],[Фикс 14.03.25]]+Д402[[#This Row],[повышение 28.03.25 1К-1%]]</f>
        <v>127196.93359515</v>
      </c>
      <c r="AK68" s="149">
        <f>Д402[[#This Row],[Фикс 28.03.25]]*2%</f>
        <v>2543.9386719029999</v>
      </c>
      <c r="AL68" s="10">
        <f>Д402[[#This Row],[Фикс 28.03.25]]+Д402[[#This Row],[Повышение 23.07.25
1К 43-46м2 - 2%
2К 55-58 - 2%; 58-64 - 3%
3К 76-79 - 2%
]]</f>
        <v>129740.872267053</v>
      </c>
      <c r="AM68" s="149">
        <f>ROUND(Д402[[#This Row],[Фикс 23.07.25]],2)</f>
        <v>129740.87</v>
      </c>
      <c r="AN68" s="149">
        <f>ROUNDUP(Д402[[#This Row],[утв цена м2]]*Д402[[#This Row],[Расчетная проектная площадь]],-2)</f>
        <v>5861700</v>
      </c>
      <c r="AO68" s="151"/>
      <c r="AP68" s="152"/>
      <c r="AQ68" s="151">
        <f>Д402[[#This Row],[Стоимость до скидки]]*Д402[[#This Row],[Скидка %]]+Д402[[#This Row],[Скидка фиксированная]]</f>
        <v>0</v>
      </c>
      <c r="AR68" s="3">
        <f>Д402[[#This Row],[Стоимость ОН без отделки со скидкой]]/Д402[[#This Row],[Расчетная проектная площадь]]</f>
        <v>129741.03585657371</v>
      </c>
      <c r="AS68" s="3">
        <f>Д402[[#This Row],[Стоимость до скидки]]-Д402[[#This Row],[Итоговая сумма скидки]]</f>
        <v>5861700</v>
      </c>
      <c r="AT6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8" s="153"/>
      <c r="AV68" s="153"/>
      <c r="AW68" s="3">
        <f>Д402[[#This Row],[Цена м2 без отделки со скидкой]]+Д402[[#This Row],[Стоимость отделки]]</f>
        <v>129741.03585657371</v>
      </c>
      <c r="AX68" s="3">
        <f>Д402[[#This Row],[Стоимость квартиры с отделкой]]-Д402[[#This Row],[Стоимость ОН без отделки со скидкой]]</f>
        <v>0</v>
      </c>
      <c r="AY68" s="3">
        <f>Д402[[#This Row],[Цена м2 с отделкой]]*Д402[[#This Row],[Расчетная проектная площадь]]</f>
        <v>5861700</v>
      </c>
      <c r="AZ68" s="161"/>
      <c r="BA68" s="155" t="s">
        <v>12</v>
      </c>
      <c r="BB68" s="156" t="str" cm="1">
        <f t="array" ref="BB6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68" s="161" t="s">
        <v>738</v>
      </c>
      <c r="BD68" s="161" t="s">
        <v>739</v>
      </c>
      <c r="BE68" s="161" t="s">
        <v>737</v>
      </c>
      <c r="BF68" s="161" t="s">
        <v>745</v>
      </c>
      <c r="BG68" s="161" t="b">
        <f>EXACT(Д402[[#This Row],[Статусы CRM]],Д402[[#This Row],[Статус]])</f>
        <v>1</v>
      </c>
      <c r="BH68" s="3">
        <f>IF(Д402[[#This Row],[ПС]]=0,IF(Д402[[#This Row],[ДС]]=0,Д402[[#This Row],[ТС]],Д402[[#This Row],[ДС]]),Д402[[#This Row],[ПС]])</f>
        <v>5861700</v>
      </c>
      <c r="BI68" s="3">
        <v>5861700</v>
      </c>
      <c r="BJ68" s="3">
        <v>0</v>
      </c>
      <c r="BK68" s="3">
        <v>0</v>
      </c>
      <c r="BL68" s="273">
        <f>Д402[[#This Row],[Стоимость CRM]]-Д402[[#This Row],[Стоимость до скидки]]</f>
        <v>0</v>
      </c>
      <c r="BM68" s="161" t="s">
        <v>9</v>
      </c>
      <c r="BN68" s="161" t="b">
        <f>Д402[[#This Row],[Отделка CRM]]=Д402[[#This Row],[Отделка]]</f>
        <v>1</v>
      </c>
      <c r="BO68" s="275" t="s">
        <v>200</v>
      </c>
      <c r="BP68" s="69"/>
    </row>
    <row r="69" spans="1:68" ht="12" customHeight="1" x14ac:dyDescent="0.25">
      <c r="A69" s="140">
        <v>67</v>
      </c>
      <c r="B69" s="175">
        <v>1</v>
      </c>
      <c r="C69" s="141">
        <f t="shared" si="1"/>
        <v>13</v>
      </c>
      <c r="D69" s="142">
        <v>1</v>
      </c>
      <c r="E69" s="141">
        <v>0</v>
      </c>
      <c r="F69" s="143">
        <v>14.66</v>
      </c>
      <c r="G69" s="143"/>
      <c r="H69" s="143"/>
      <c r="I69" s="144">
        <f>SUM(Д402[[#This Row],[Комната 1]:[Комната 3]])</f>
        <v>14.66</v>
      </c>
      <c r="J69" s="145">
        <v>6.15</v>
      </c>
      <c r="K69" s="145">
        <v>4.95</v>
      </c>
      <c r="L69" s="145"/>
      <c r="M69" s="145">
        <v>3.86</v>
      </c>
      <c r="N69" s="145"/>
      <c r="O69" s="145"/>
      <c r="P69" s="146"/>
      <c r="Q69" s="146"/>
      <c r="R69" s="146">
        <f>SUM(Д402[[#This Row],[Лоджия 1]:[Лоджия 3]])</f>
        <v>0</v>
      </c>
      <c r="S69" s="149">
        <f>ROUND(SUM(Д402[[#This Row],[Площадь по проекту жилая]:[Лоджия 3]]),2)</f>
        <v>29.62</v>
      </c>
      <c r="T69" s="149">
        <f>ROUND(Д402[[#This Row],[Площадь по проекту(общая)]]-Д402[[#This Row],[Летние]],2)</f>
        <v>29.62</v>
      </c>
      <c r="U69" s="149">
        <f>ROUND(Д402[[#This Row],[Площадь по проекту(общая)]]-(SUM(Д402[[#This Row],[Лоджия 1]:[Лоджия 3]])/2),2)</f>
        <v>29.62</v>
      </c>
      <c r="V69" s="149">
        <f>VLOOKUP(Д402[[#This Row],[№]],наценка7[],COLUMN(наценка7[[#This Row],[Цена м2 с учетом всех K]]),0)</f>
        <v>139730</v>
      </c>
      <c r="W69" s="159">
        <v>200</v>
      </c>
      <c r="X69" s="149">
        <f>Д402[[#This Row],[м2 после К]]+Д402[[#This Row],[02.12.2024]]</f>
        <v>139930</v>
      </c>
      <c r="Y69" s="149">
        <v>1000</v>
      </c>
      <c r="Z69" s="149">
        <f>Д402[[#This Row],[Фикс 20.12.24]]+Д402[[#This Row],[23.12.24 СП +1000]]</f>
        <v>140930</v>
      </c>
      <c r="AA69" s="149">
        <v>215</v>
      </c>
      <c r="AB69" s="149">
        <f>Д402[[#This Row],[Фикс 23.12.24]]+Д402[[#This Row],[Повышение 20.02.25]]</f>
        <v>141145</v>
      </c>
      <c r="AC69" s="149">
        <v>17.5</v>
      </c>
      <c r="AD69" s="149">
        <f>Д402[[#This Row],[Фикс 20.02.25]]+Д402[[#This Row],[Повышение 24.02.2025]]</f>
        <v>141162.5</v>
      </c>
      <c r="AE69" s="149"/>
      <c r="AF69" s="149">
        <f>Д402[[#This Row],[Фикс 24.02.25]]+Д402[[#This Row],[Повышение 05.03.2025
1К: до 40м - 1,5%, 40+ 0,5%
2К - 0,5% ]]</f>
        <v>141162.5</v>
      </c>
      <c r="AG69" s="149"/>
      <c r="AH69" s="149">
        <f>Д402[[#This Row],[Фикс 05.03.25]]+Д402[[#This Row],[повышение 14.03.25 1К-1%]]</f>
        <v>141162.5</v>
      </c>
      <c r="AI69" s="149"/>
      <c r="AJ69" s="149">
        <f>Д402[[#This Row],[Фикс 14.03.25]]+Д402[[#This Row],[повышение 28.03.25 1К-1%]]</f>
        <v>141162.5</v>
      </c>
      <c r="AK69" s="149"/>
      <c r="AL69" s="149">
        <f>Д402[[#This Row],[Фикс 28.03.25]]+Д402[[#This Row],[Повышение 23.07.25
1К 43-46м2 - 2%
2К 55-58 - 2%; 58-64 - 3%
3К 76-79 - 2%
]]</f>
        <v>141162.5</v>
      </c>
      <c r="AM69" s="149">
        <f>ROUND(Д402[[#This Row],[Фикс 23.07.25]],2)</f>
        <v>141162.5</v>
      </c>
      <c r="AN69" s="149">
        <f>ROUNDUP(Д402[[#This Row],[утв цена м2]]*Д402[[#This Row],[Расчетная проектная площадь]],-2)</f>
        <v>4181300</v>
      </c>
      <c r="AO69" s="151"/>
      <c r="AP69" s="152"/>
      <c r="AQ69" s="151">
        <f>Д402[[#This Row],[Стоимость до скидки]]*Д402[[#This Row],[Скидка %]]+Д402[[#This Row],[Скидка фиксированная]]</f>
        <v>0</v>
      </c>
      <c r="AR69" s="3">
        <f>Д402[[#This Row],[Стоимость ОН без отделки со скидкой]]/Д402[[#This Row],[Расчетная проектная площадь]]</f>
        <v>141164.75354490208</v>
      </c>
      <c r="AS69" s="3">
        <f>Д402[[#This Row],[Стоимость до скидки]]-Д402[[#This Row],[Итоговая сумма скидки]]</f>
        <v>4181300</v>
      </c>
      <c r="AT6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69" s="153"/>
      <c r="AV69" s="153"/>
      <c r="AW69" s="3">
        <f>Д402[[#This Row],[Цена м2 без отделки со скидкой]]+Д402[[#This Row],[Стоимость отделки]]</f>
        <v>141164.75354490208</v>
      </c>
      <c r="AX69" s="3">
        <f>Д402[[#This Row],[Стоимость квартиры с отделкой]]-Д402[[#This Row],[Стоимость ОН без отделки со скидкой]]</f>
        <v>0</v>
      </c>
      <c r="AY69" s="3">
        <f>Д402[[#This Row],[Цена м2 с отделкой]]*Д402[[#This Row],[Расчетная проектная площадь]]</f>
        <v>4181299.9999999995</v>
      </c>
      <c r="AZ69" s="161"/>
      <c r="BA69" s="269" t="s">
        <v>128</v>
      </c>
      <c r="BB69" s="269" t="str" cm="1">
        <f t="array" ref="BB6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69" s="161" t="s">
        <v>740</v>
      </c>
      <c r="BD69" s="161" t="s">
        <v>506</v>
      </c>
      <c r="BE69" s="161" t="s">
        <v>737</v>
      </c>
      <c r="BF69" s="161" t="s">
        <v>743</v>
      </c>
      <c r="BG69" s="161" t="b">
        <f>EXACT(Д402[[#This Row],[Статусы CRM]],Д402[[#This Row],[Статус]])</f>
        <v>1</v>
      </c>
      <c r="BH69" s="3">
        <f>IF(Д402[[#This Row],[ПС]]=0,IF(Д402[[#This Row],[ДС]]=0,Д402[[#This Row],[ТС]],Д402[[#This Row],[ДС]]),Д402[[#This Row],[ПС]])</f>
        <v>4181300</v>
      </c>
      <c r="BI69" s="3">
        <v>4181300</v>
      </c>
      <c r="BJ69" s="3">
        <v>0</v>
      </c>
      <c r="BK69" s="3">
        <v>0</v>
      </c>
      <c r="BL69" s="273">
        <f>Д402[[#This Row],[Стоимость CRM]]-Д402[[#This Row],[Стоимость до скидки]]</f>
        <v>0</v>
      </c>
      <c r="BM69" s="161" t="s">
        <v>9</v>
      </c>
      <c r="BN69" s="161" t="b">
        <f>Д402[[#This Row],[Отделка CRM]]=Д402[[#This Row],[Отделка]]</f>
        <v>1</v>
      </c>
      <c r="BO69" s="275" t="s">
        <v>201</v>
      </c>
      <c r="BP69" s="69"/>
    </row>
    <row r="70" spans="1:68" ht="12" customHeight="1" x14ac:dyDescent="0.25">
      <c r="A70" s="140">
        <v>68</v>
      </c>
      <c r="B70" s="175">
        <v>1</v>
      </c>
      <c r="C70" s="141">
        <f t="shared" si="1"/>
        <v>13</v>
      </c>
      <c r="D70" s="142">
        <v>2</v>
      </c>
      <c r="E70" s="141">
        <v>2</v>
      </c>
      <c r="F70" s="143">
        <v>16.100000000000001</v>
      </c>
      <c r="G70" s="143">
        <v>10.8</v>
      </c>
      <c r="H70" s="143"/>
      <c r="I70" s="144">
        <f>SUM(Д402[[#This Row],[Комната 1]:[Комната 3]])</f>
        <v>26.900000000000002</v>
      </c>
      <c r="J70" s="145">
        <v>17.61</v>
      </c>
      <c r="K70" s="145">
        <v>4.25</v>
      </c>
      <c r="L70" s="145"/>
      <c r="M70" s="145">
        <v>9.68</v>
      </c>
      <c r="N70" s="145"/>
      <c r="O70" s="145">
        <v>3.15</v>
      </c>
      <c r="P70" s="146"/>
      <c r="Q70" s="146"/>
      <c r="R70" s="146">
        <f>SUM(Д402[[#This Row],[Лоджия 1]:[Лоджия 3]])</f>
        <v>3.15</v>
      </c>
      <c r="S70" s="149">
        <f>ROUND(SUM(Д402[[#This Row],[Площадь по проекту жилая]:[Лоджия 3]]),2)</f>
        <v>61.59</v>
      </c>
      <c r="T70" s="149">
        <f>ROUND(Д402[[#This Row],[Площадь по проекту(общая)]]-Д402[[#This Row],[Летние]],2)</f>
        <v>58.44</v>
      </c>
      <c r="U70" s="149">
        <f>ROUND(Д402[[#This Row],[Площадь по проекту(общая)]]-(SUM(Д402[[#This Row],[Лоджия 1]:[Лоджия 3]])/2),2)</f>
        <v>60.02</v>
      </c>
      <c r="V70" s="149">
        <f>VLOOKUP(Д402[[#This Row],[№]],наценка7[],COLUMN(наценка7[[#This Row],[Цена м2 с учетом всех K]]),0)</f>
        <v>119811.8</v>
      </c>
      <c r="W70" s="159"/>
      <c r="X70" s="149">
        <f>Д402[[#This Row],[м2 после К]]+Д402[[#This Row],[02.12.2024]]</f>
        <v>119811.8</v>
      </c>
      <c r="Y70" s="149">
        <v>1000</v>
      </c>
      <c r="Z70" s="149">
        <f>Д402[[#This Row],[Фикс 20.12.24]]+Д402[[#This Row],[23.12.24 СП +1000]]</f>
        <v>120811.8</v>
      </c>
      <c r="AA70" s="149">
        <v>215</v>
      </c>
      <c r="AB70" s="149">
        <f>Д402[[#This Row],[Фикс 23.12.24]]+Д402[[#This Row],[Повышение 20.02.25]]</f>
        <v>121026.8</v>
      </c>
      <c r="AC70" s="149">
        <v>17.5</v>
      </c>
      <c r="AD70" s="149">
        <f>Д402[[#This Row],[Фикс 20.02.25]]+Д402[[#This Row],[Повышение 24.02.2025]]</f>
        <v>121044.3</v>
      </c>
      <c r="AE70" s="149">
        <f>Д402[[#This Row],[Фикс 24.02.25]]*0.5%</f>
        <v>605.22149999999999</v>
      </c>
      <c r="AF70" s="149">
        <f>Д402[[#This Row],[Фикс 24.02.25]]+Д402[[#This Row],[Повышение 05.03.2025
1К: до 40м - 1,5%, 40+ 0,5%
2К - 0,5% ]]</f>
        <v>121649.5215</v>
      </c>
      <c r="AG70" s="149"/>
      <c r="AH70" s="149">
        <f>Д402[[#This Row],[Фикс 05.03.25]]+Д402[[#This Row],[повышение 14.03.25 1К-1%]]</f>
        <v>121649.5215</v>
      </c>
      <c r="AI70" s="149"/>
      <c r="AJ70" s="149">
        <f>Д402[[#This Row],[Фикс 14.03.25]]+Д402[[#This Row],[повышение 28.03.25 1К-1%]]</f>
        <v>121649.5215</v>
      </c>
      <c r="AK70" s="10">
        <f>Д402[[#This Row],[Фикс 28.03.25]]*3%</f>
        <v>3649.4856449999997</v>
      </c>
      <c r="AL70" s="149">
        <f>Д402[[#This Row],[Фикс 28.03.25]]+Д402[[#This Row],[Повышение 23.07.25
1К 43-46м2 - 2%
2К 55-58 - 2%; 58-64 - 3%
3К 76-79 - 2%
]]</f>
        <v>125299.007145</v>
      </c>
      <c r="AM70" s="149">
        <f>ROUND(Д402[[#This Row],[Фикс 23.07.25]],2)</f>
        <v>125299.01</v>
      </c>
      <c r="AN70" s="149">
        <f>ROUNDUP(Д402[[#This Row],[утв цена м2]]*Д402[[#This Row],[Расчетная проектная площадь]],-2)</f>
        <v>7520500</v>
      </c>
      <c r="AO70" s="151"/>
      <c r="AP70" s="152"/>
      <c r="AQ70" s="151">
        <f>Д402[[#This Row],[Стоимость до скидки]]*Д402[[#This Row],[Скидка %]]+Д402[[#This Row],[Скидка фиксированная]]</f>
        <v>0</v>
      </c>
      <c r="AR70" s="3">
        <f>Д402[[#This Row],[Стоимость ОН без отделки со скидкой]]/Д402[[#This Row],[Расчетная проектная площадь]]</f>
        <v>125299.90003332222</v>
      </c>
      <c r="AS70" s="3">
        <f>Д402[[#This Row],[Стоимость до скидки]]-Д402[[#This Row],[Итоговая сумма скидки]]</f>
        <v>7520500</v>
      </c>
      <c r="AT7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0" s="153"/>
      <c r="AV70" s="153"/>
      <c r="AW70" s="3">
        <f>Д402[[#This Row],[Цена м2 без отделки со скидкой]]+Д402[[#This Row],[Стоимость отделки]]</f>
        <v>125299.90003332222</v>
      </c>
      <c r="AX70" s="3">
        <f>Д402[[#This Row],[Стоимость квартиры с отделкой]]-Д402[[#This Row],[Стоимость ОН без отделки со скидкой]]</f>
        <v>0</v>
      </c>
      <c r="AY70" s="3">
        <f>Д402[[#This Row],[Цена м2 с отделкой]]*Д402[[#This Row],[Расчетная проектная площадь]]</f>
        <v>7520500</v>
      </c>
      <c r="AZ70" s="161"/>
      <c r="BA70" s="155" t="s">
        <v>12</v>
      </c>
      <c r="BB70" s="156" t="str" cm="1">
        <f t="array" ref="BB7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70" s="161" t="s">
        <v>738</v>
      </c>
      <c r="BD70" s="161" t="s">
        <v>739</v>
      </c>
      <c r="BE70" s="161" t="s">
        <v>737</v>
      </c>
      <c r="BF70" s="161" t="s">
        <v>744</v>
      </c>
      <c r="BG70" s="161" t="b">
        <f>EXACT(Д402[[#This Row],[Статусы CRM]],Д402[[#This Row],[Статус]])</f>
        <v>1</v>
      </c>
      <c r="BH70" s="3">
        <f>IF(Д402[[#This Row],[ПС]]=0,IF(Д402[[#This Row],[ДС]]=0,Д402[[#This Row],[ТС]],Д402[[#This Row],[ДС]]),Д402[[#This Row],[ПС]])</f>
        <v>7520500</v>
      </c>
      <c r="BI70" s="3">
        <v>7520500</v>
      </c>
      <c r="BJ70" s="3">
        <v>0</v>
      </c>
      <c r="BK70" s="3">
        <v>0</v>
      </c>
      <c r="BL70" s="273">
        <f>Д402[[#This Row],[Стоимость CRM]]-Д402[[#This Row],[Стоимость до скидки]]</f>
        <v>0</v>
      </c>
      <c r="BM70" s="161" t="s">
        <v>9</v>
      </c>
      <c r="BN70" s="161" t="b">
        <f>Д402[[#This Row],[Отделка CRM]]=Д402[[#This Row],[Отделка]]</f>
        <v>1</v>
      </c>
      <c r="BO70" s="275" t="s">
        <v>202</v>
      </c>
      <c r="BP70" s="69"/>
    </row>
    <row r="71" spans="1:68" ht="12" customHeight="1" x14ac:dyDescent="0.25">
      <c r="A71" s="140">
        <v>69</v>
      </c>
      <c r="B71" s="175">
        <v>1</v>
      </c>
      <c r="C71" s="141">
        <f t="shared" si="1"/>
        <v>13</v>
      </c>
      <c r="D71" s="142">
        <v>3</v>
      </c>
      <c r="E71" s="141">
        <v>2</v>
      </c>
      <c r="F71" s="143">
        <v>16.41</v>
      </c>
      <c r="G71" s="143">
        <v>12.19</v>
      </c>
      <c r="H71" s="143"/>
      <c r="I71" s="144">
        <f>SUM(Д402[[#This Row],[Комната 1]:[Комната 3]])</f>
        <v>28.6</v>
      </c>
      <c r="J71" s="145">
        <v>14.53</v>
      </c>
      <c r="K71" s="145">
        <v>3.86</v>
      </c>
      <c r="L71" s="145"/>
      <c r="M71" s="145">
        <v>6.1</v>
      </c>
      <c r="N71" s="145"/>
      <c r="O71" s="145">
        <v>3.33</v>
      </c>
      <c r="P71" s="146"/>
      <c r="Q71" s="146"/>
      <c r="R71" s="146">
        <f>SUM(Д402[[#This Row],[Лоджия 1]:[Лоджия 3]])</f>
        <v>3.33</v>
      </c>
      <c r="S71" s="10">
        <f>ROUND(SUM(Д402[[#This Row],[Площадь по проекту жилая]:[Лоджия 3]]),2)</f>
        <v>56.42</v>
      </c>
      <c r="T71" s="10">
        <f>ROUND(Д402[[#This Row],[Площадь по проекту(общая)]]-Д402[[#This Row],[Летние]],2)</f>
        <v>53.09</v>
      </c>
      <c r="U71" s="10">
        <f>ROUND(Д402[[#This Row],[Площадь по проекту(общая)]]-(SUM(Д402[[#This Row],[Лоджия 1]:[Лоджия 3]])/2),2)</f>
        <v>54.76</v>
      </c>
      <c r="V71" s="10">
        <f>VLOOKUP(Д402[[#This Row],[№]],наценка7[],COLUMN(наценка7[[#This Row],[Цена м2 с учетом всех K]]),0)</f>
        <v>117551.2</v>
      </c>
      <c r="W71" s="162"/>
      <c r="X71" s="10">
        <f>Д402[[#This Row],[м2 после К]]+Д402[[#This Row],[02.12.2024]]</f>
        <v>117551.2</v>
      </c>
      <c r="Y71" s="149">
        <v>1000</v>
      </c>
      <c r="Z71" s="10">
        <f>Д402[[#This Row],[Фикс 20.12.24]]+Д402[[#This Row],[23.12.24 СП +1000]]</f>
        <v>118551.2</v>
      </c>
      <c r="AA71" s="149">
        <v>215</v>
      </c>
      <c r="AB71" s="10">
        <f>Д402[[#This Row],[Фикс 23.12.24]]+Д402[[#This Row],[Повышение 20.02.25]]</f>
        <v>118766.2</v>
      </c>
      <c r="AC71" s="149">
        <v>17.5</v>
      </c>
      <c r="AD71" s="10">
        <f>Д402[[#This Row],[Фикс 20.02.25]]+Д402[[#This Row],[Повышение 24.02.2025]]</f>
        <v>118783.7</v>
      </c>
      <c r="AE71" s="149">
        <f>Д402[[#This Row],[Фикс 24.02.25]]*0.5%</f>
        <v>593.91849999999999</v>
      </c>
      <c r="AF71" s="10">
        <f>Д402[[#This Row],[Фикс 24.02.25]]+Д402[[#This Row],[Повышение 05.03.2025
1К: до 40м - 1,5%, 40+ 0,5%
2К - 0,5% ]]</f>
        <v>119377.6185</v>
      </c>
      <c r="AG71" s="10"/>
      <c r="AH71" s="10">
        <f>Д402[[#This Row],[Фикс 05.03.25]]+Д402[[#This Row],[повышение 14.03.25 1К-1%]]</f>
        <v>119377.6185</v>
      </c>
      <c r="AI71" s="10"/>
      <c r="AJ71" s="10">
        <f>Д402[[#This Row],[Фикс 14.03.25]]+Д402[[#This Row],[повышение 28.03.25 1К-1%]]</f>
        <v>119377.6185</v>
      </c>
      <c r="AK71" s="10"/>
      <c r="AL71" s="10">
        <f>Д402[[#This Row],[Фикс 28.03.25]]+Д402[[#This Row],[Повышение 23.07.25
1К 43-46м2 - 2%
2К 55-58 - 2%; 58-64 - 3%
3К 76-79 - 2%
]]</f>
        <v>119377.6185</v>
      </c>
      <c r="AM71" s="149">
        <f>ROUND(Д402[[#This Row],[Фикс 23.07.25]],2)</f>
        <v>119377.62</v>
      </c>
      <c r="AN71" s="149">
        <f>ROUNDUP(Д402[[#This Row],[утв цена м2]]*Д402[[#This Row],[Расчетная проектная площадь]],-2)</f>
        <v>6537200</v>
      </c>
      <c r="AO71" s="151"/>
      <c r="AP71" s="152"/>
      <c r="AQ71" s="151">
        <f>Д402[[#This Row],[Стоимость до скидки]]*Д402[[#This Row],[Скидка %]]+Д402[[#This Row],[Скидка фиксированная]]</f>
        <v>0</v>
      </c>
      <c r="AR71" s="3">
        <f>Д402[[#This Row],[Стоимость ОН без отделки со скидкой]]/Д402[[#This Row],[Расчетная проектная площадь]]</f>
        <v>119379.1088385683</v>
      </c>
      <c r="AS71" s="3">
        <f>Д402[[#This Row],[Стоимость до скидки]]-Д402[[#This Row],[Итоговая сумма скидки]]</f>
        <v>6537200</v>
      </c>
      <c r="AT7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1" s="153"/>
      <c r="AV71" s="153"/>
      <c r="AW71" s="3">
        <f>Д402[[#This Row],[Цена м2 без отделки со скидкой]]+Д402[[#This Row],[Стоимость отделки]]</f>
        <v>119379.1088385683</v>
      </c>
      <c r="AX71" s="3">
        <f>Д402[[#This Row],[Стоимость квартиры с отделкой]]-Д402[[#This Row],[Стоимость ОН без отделки со скидкой]]</f>
        <v>0</v>
      </c>
      <c r="AY71" s="3">
        <f>Д402[[#This Row],[Цена м2 с отделкой]]*Д402[[#This Row],[Расчетная проектная площадь]]</f>
        <v>6537200</v>
      </c>
      <c r="AZ71" s="161"/>
      <c r="BA71" s="298" t="s">
        <v>128</v>
      </c>
      <c r="BB71" s="298" t="str" cm="1">
        <f t="array" ref="BB7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71" s="161" t="s">
        <v>740</v>
      </c>
      <c r="BD71" s="161" t="s">
        <v>506</v>
      </c>
      <c r="BE71" s="161" t="s">
        <v>737</v>
      </c>
      <c r="BF71" s="161" t="s">
        <v>744</v>
      </c>
      <c r="BG71" s="161" t="b">
        <f>EXACT(Д402[[#This Row],[Статусы CRM]],Д402[[#This Row],[Статус]])</f>
        <v>1</v>
      </c>
      <c r="BH71" s="3">
        <f>IF(Д402[[#This Row],[ПС]]=0,IF(Д402[[#This Row],[ДС]]=0,Д402[[#This Row],[ТС]],Д402[[#This Row],[ДС]]),Д402[[#This Row],[ПС]])</f>
        <v>6537200</v>
      </c>
      <c r="BI71" s="3">
        <v>6537200</v>
      </c>
      <c r="BJ71" s="3">
        <v>0</v>
      </c>
      <c r="BK71" s="3">
        <v>0</v>
      </c>
      <c r="BL71" s="273">
        <f>Д402[[#This Row],[Стоимость CRM]]-Д402[[#This Row],[Стоимость до скидки]]</f>
        <v>0</v>
      </c>
      <c r="BM71" s="161" t="s">
        <v>9</v>
      </c>
      <c r="BN71" s="161" t="b">
        <f>Д402[[#This Row],[Отделка CRM]]=Д402[[#This Row],[Отделка]]</f>
        <v>1</v>
      </c>
      <c r="BO71" s="275" t="s">
        <v>203</v>
      </c>
      <c r="BP71" s="69"/>
    </row>
    <row r="72" spans="1:68" ht="12" customHeight="1" x14ac:dyDescent="0.25">
      <c r="A72" s="140">
        <v>70</v>
      </c>
      <c r="B72" s="175">
        <v>1</v>
      </c>
      <c r="C72" s="141">
        <f t="shared" si="1"/>
        <v>13</v>
      </c>
      <c r="D72" s="142">
        <v>4</v>
      </c>
      <c r="E72" s="141">
        <v>2</v>
      </c>
      <c r="F72" s="143">
        <v>14.98</v>
      </c>
      <c r="G72" s="143">
        <v>12.28</v>
      </c>
      <c r="H72" s="143"/>
      <c r="I72" s="144">
        <f>SUM(Д402[[#This Row],[Комната 1]:[Комната 3]])</f>
        <v>27.259999999999998</v>
      </c>
      <c r="J72" s="145">
        <v>15.07</v>
      </c>
      <c r="K72" s="145">
        <v>4.4400000000000004</v>
      </c>
      <c r="L72" s="145"/>
      <c r="M72" s="145">
        <v>6.25</v>
      </c>
      <c r="N72" s="145"/>
      <c r="O72" s="145">
        <v>3.33</v>
      </c>
      <c r="P72" s="146"/>
      <c r="Q72" s="146"/>
      <c r="R72" s="146">
        <f>SUM(Д402[[#This Row],[Лоджия 1]:[Лоджия 3]])</f>
        <v>3.33</v>
      </c>
      <c r="S72" s="10">
        <f>ROUND(SUM(Д402[[#This Row],[Площадь по проекту жилая]:[Лоджия 3]]),2)</f>
        <v>56.35</v>
      </c>
      <c r="T72" s="10">
        <f>ROUND(Д402[[#This Row],[Площадь по проекту(общая)]]-Д402[[#This Row],[Летние]],2)</f>
        <v>53.02</v>
      </c>
      <c r="U72" s="10">
        <f>ROUND(Д402[[#This Row],[Площадь по проекту(общая)]]-(SUM(Д402[[#This Row],[Лоджия 1]:[Лоджия 3]])/2),2)</f>
        <v>54.69</v>
      </c>
      <c r="V72" s="10">
        <f>VLOOKUP(Д402[[#This Row],[№]],наценка7[],COLUMN(наценка7[[#This Row],[Цена м2 с учетом всех K]]),0)</f>
        <v>119811.8</v>
      </c>
      <c r="W72" s="162"/>
      <c r="X72" s="10">
        <f>Д402[[#This Row],[м2 после К]]+Д402[[#This Row],[02.12.2024]]</f>
        <v>119811.8</v>
      </c>
      <c r="Y72" s="149">
        <v>1000</v>
      </c>
      <c r="Z72" s="10">
        <f>Д402[[#This Row],[Фикс 20.12.24]]+Д402[[#This Row],[23.12.24 СП +1000]]</f>
        <v>120811.8</v>
      </c>
      <c r="AA72" s="149">
        <v>215</v>
      </c>
      <c r="AB72" s="10">
        <f>Д402[[#This Row],[Фикс 23.12.24]]+Д402[[#This Row],[Повышение 20.02.25]]</f>
        <v>121026.8</v>
      </c>
      <c r="AC72" s="149">
        <v>17.5</v>
      </c>
      <c r="AD72" s="10">
        <f>Д402[[#This Row],[Фикс 20.02.25]]+Д402[[#This Row],[Повышение 24.02.2025]]</f>
        <v>121044.3</v>
      </c>
      <c r="AE72" s="149">
        <f>Д402[[#This Row],[Фикс 24.02.25]]*0.5%</f>
        <v>605.22149999999999</v>
      </c>
      <c r="AF72" s="10">
        <f>Д402[[#This Row],[Фикс 24.02.25]]+Д402[[#This Row],[Повышение 05.03.2025
1К: до 40м - 1,5%, 40+ 0,5%
2К - 0,5% ]]</f>
        <v>121649.5215</v>
      </c>
      <c r="AG72" s="10"/>
      <c r="AH72" s="10">
        <f>Д402[[#This Row],[Фикс 05.03.25]]+Д402[[#This Row],[повышение 14.03.25 1К-1%]]</f>
        <v>121649.5215</v>
      </c>
      <c r="AI72" s="10"/>
      <c r="AJ72" s="10">
        <f>Д402[[#This Row],[Фикс 14.03.25]]+Д402[[#This Row],[повышение 28.03.25 1К-1%]]</f>
        <v>121649.5215</v>
      </c>
      <c r="AK72" s="10"/>
      <c r="AL72" s="10">
        <f>Д402[[#This Row],[Фикс 28.03.25]]+Д402[[#This Row],[Повышение 23.07.25
1К 43-46м2 - 2%
2К 55-58 - 2%; 58-64 - 3%
3К 76-79 - 2%
]]</f>
        <v>121649.5215</v>
      </c>
      <c r="AM72" s="149">
        <f>ROUND(Д402[[#This Row],[Фикс 23.07.25]],2)</f>
        <v>121649.52</v>
      </c>
      <c r="AN72" s="149">
        <f>ROUNDUP(Д402[[#This Row],[утв цена м2]]*Д402[[#This Row],[Расчетная проектная площадь]],-2)</f>
        <v>6653100</v>
      </c>
      <c r="AO72" s="151"/>
      <c r="AP72" s="152"/>
      <c r="AQ72" s="151">
        <f>Д402[[#This Row],[Стоимость до скидки]]*Д402[[#This Row],[Скидка %]]+Д402[[#This Row],[Скидка фиксированная]]</f>
        <v>0</v>
      </c>
      <c r="AR72" s="3">
        <f>Д402[[#This Row],[Стоимость ОН без отделки со скидкой]]/Д402[[#This Row],[Расчетная проектная площадь]]</f>
        <v>121651.12452002194</v>
      </c>
      <c r="AS72" s="3">
        <f>Д402[[#This Row],[Стоимость до скидки]]-Д402[[#This Row],[Итоговая сумма скидки]]</f>
        <v>6653100</v>
      </c>
      <c r="AT7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72" s="153">
        <v>30000</v>
      </c>
      <c r="AV72" s="153" t="s">
        <v>722</v>
      </c>
      <c r="AW72" s="3">
        <f>Д402[[#This Row],[Цена м2 без отделки со скидкой]]+Д402[[#This Row],[Стоимость отделки]]</f>
        <v>151651.12452002196</v>
      </c>
      <c r="AX72" s="3">
        <f>Д402[[#This Row],[Стоимость квартиры с отделкой]]-Д402[[#This Row],[Стоимость ОН без отделки со скидкой]]</f>
        <v>1640700</v>
      </c>
      <c r="AY72" s="3">
        <f>Д402[[#This Row],[Цена м2 с отделкой]]*Д402[[#This Row],[Расчетная проектная площадь]]</f>
        <v>8293800</v>
      </c>
      <c r="AZ72" s="161"/>
      <c r="BA72" s="155" t="s">
        <v>12</v>
      </c>
      <c r="BB72" s="156" t="str" cm="1">
        <f t="array" ref="BB7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72" s="161" t="s">
        <v>738</v>
      </c>
      <c r="BD72" s="161" t="s">
        <v>739</v>
      </c>
      <c r="BE72" s="161" t="s">
        <v>737</v>
      </c>
      <c r="BF72" s="161" t="s">
        <v>744</v>
      </c>
      <c r="BG72" s="161" t="b">
        <f>EXACT(Д402[[#This Row],[Статусы CRM]],Д402[[#This Row],[Статус]])</f>
        <v>1</v>
      </c>
      <c r="BH72" s="3">
        <f>IF(Д402[[#This Row],[ПС]]=0,IF(Д402[[#This Row],[ДС]]=0,Д402[[#This Row],[ТС]],Д402[[#This Row],[ДС]]),Д402[[#This Row],[ПС]])</f>
        <v>6653100</v>
      </c>
      <c r="BI72" s="3">
        <v>6653100</v>
      </c>
      <c r="BJ72" s="3">
        <v>0</v>
      </c>
      <c r="BK72" s="3">
        <v>0</v>
      </c>
      <c r="BL72" s="273">
        <f>Д402[[#This Row],[Стоимость CRM]]-Д402[[#This Row],[Стоимость до скидки]]</f>
        <v>0</v>
      </c>
      <c r="BM72" s="161" t="s">
        <v>11</v>
      </c>
      <c r="BN72" s="161" t="b">
        <f>Д402[[#This Row],[Отделка CRM]]=Д402[[#This Row],[Отделка]]</f>
        <v>1</v>
      </c>
      <c r="BO72" s="275" t="s">
        <v>204</v>
      </c>
      <c r="BP72" s="69"/>
    </row>
    <row r="73" spans="1:68" ht="12" customHeight="1" x14ac:dyDescent="0.25">
      <c r="A73" s="140">
        <v>71</v>
      </c>
      <c r="B73" s="175">
        <v>1</v>
      </c>
      <c r="C73" s="141">
        <f t="shared" ref="C73:C104" si="2">C67+1</f>
        <v>13</v>
      </c>
      <c r="D73" s="142">
        <v>5</v>
      </c>
      <c r="E73" s="141">
        <v>1</v>
      </c>
      <c r="F73" s="143">
        <v>13.06</v>
      </c>
      <c r="G73" s="143"/>
      <c r="H73" s="143"/>
      <c r="I73" s="144">
        <f>SUM(Д402[[#This Row],[Комната 1]:[Комната 3]])</f>
        <v>13.06</v>
      </c>
      <c r="J73" s="145">
        <v>15.01</v>
      </c>
      <c r="K73" s="145">
        <v>4.4400000000000004</v>
      </c>
      <c r="L73" s="145"/>
      <c r="M73" s="145">
        <v>2.9</v>
      </c>
      <c r="N73" s="145"/>
      <c r="O73" s="145">
        <v>3.02</v>
      </c>
      <c r="P73" s="146"/>
      <c r="Q73" s="146"/>
      <c r="R73" s="146">
        <f>SUM(Д402[[#This Row],[Лоджия 1]:[Лоджия 3]])</f>
        <v>3.02</v>
      </c>
      <c r="S73" s="10">
        <f>ROUND(SUM(Д402[[#This Row],[Площадь по проекту жилая]:[Лоджия 3]]),2)</f>
        <v>38.43</v>
      </c>
      <c r="T73" s="10">
        <f>ROUND(Д402[[#This Row],[Площадь по проекту(общая)]]-Д402[[#This Row],[Летние]],2)</f>
        <v>35.409999999999997</v>
      </c>
      <c r="U73" s="10">
        <f>ROUND(Д402[[#This Row],[Площадь по проекту(общая)]]-(SUM(Д402[[#This Row],[Лоджия 1]:[Лоджия 3]])/2),2)</f>
        <v>36.92</v>
      </c>
      <c r="V73" s="10">
        <f>VLOOKUP(Д402[[#This Row],[№]],наценка7[],COLUMN(наценка7[[#This Row],[Цена м2 с учетом всех K]]),0)</f>
        <v>124030.39999999999</v>
      </c>
      <c r="W73" s="159">
        <f>2%*Д402[[#This Row],[м2 после К]]</f>
        <v>2480.6079999999997</v>
      </c>
      <c r="X73" s="10">
        <f>Д402[[#This Row],[м2 после К]]+Д402[[#This Row],[02.12.2024]]</f>
        <v>126511.00799999999</v>
      </c>
      <c r="Y73" s="149">
        <v>1000</v>
      </c>
      <c r="Z73" s="10">
        <f>Д402[[#This Row],[Фикс 20.12.24]]+Д402[[#This Row],[23.12.24 СП +1000]]</f>
        <v>127511.00799999999</v>
      </c>
      <c r="AA73" s="10"/>
      <c r="AB73" s="10">
        <f>Д402[[#This Row],[Фикс 23.12.24]]+Д402[[#This Row],[Повышение 20.02.25]]</f>
        <v>127511.00799999999</v>
      </c>
      <c r="AC73" s="10"/>
      <c r="AD73" s="10">
        <f>Д402[[#This Row],[Фикс 20.02.25]]+Д402[[#This Row],[Повышение 24.02.2025]]</f>
        <v>127511.00799999999</v>
      </c>
      <c r="AE73" s="10"/>
      <c r="AF73" s="10">
        <f>Д402[[#This Row],[Фикс 24.02.25]]+Д402[[#This Row],[Повышение 05.03.2025
1К: до 40м - 1,5%, 40+ 0,5%
2К - 0,5% ]]</f>
        <v>127511.00799999999</v>
      </c>
      <c r="AG73" s="10"/>
      <c r="AH73" s="10">
        <f>Д402[[#This Row],[Фикс 05.03.25]]+Д402[[#This Row],[повышение 14.03.25 1К-1%]]</f>
        <v>127511.00799999999</v>
      </c>
      <c r="AI73" s="10"/>
      <c r="AJ73" s="10">
        <f>Д402[[#This Row],[Фикс 14.03.25]]+Д402[[#This Row],[повышение 28.03.25 1К-1%]]</f>
        <v>127511.00799999999</v>
      </c>
      <c r="AK73" s="10"/>
      <c r="AL73" s="10">
        <f>Д402[[#This Row],[Фикс 28.03.25]]+Д402[[#This Row],[Повышение 23.07.25
1К 43-46м2 - 2%
2К 55-58 - 2%; 58-64 - 3%
3К 76-79 - 2%
]]</f>
        <v>127511.00799999999</v>
      </c>
      <c r="AM73" s="149">
        <f>ROUND(Д402[[#This Row],[Фикс 23.07.25]],2)</f>
        <v>127511.01</v>
      </c>
      <c r="AN73" s="149">
        <f>ROUNDUP(Д402[[#This Row],[утв цена м2]]*Д402[[#This Row],[Расчетная проектная площадь]],-2)</f>
        <v>4707800</v>
      </c>
      <c r="AO73" s="151"/>
      <c r="AP73" s="152">
        <v>0.02</v>
      </c>
      <c r="AQ73" s="151">
        <f>Д402[[#This Row],[Стоимость до скидки]]*Д402[[#This Row],[Скидка %]]+Д402[[#This Row],[Скидка фиксированная]]</f>
        <v>94156</v>
      </c>
      <c r="AR73" s="3">
        <f>Д402[[#This Row],[Стоимость ОН без отделки со скидкой]]/Д402[[#This Row],[Расчетная проектная площадь]]</f>
        <v>124963.27193932828</v>
      </c>
      <c r="AS73" s="3">
        <f>Д402[[#This Row],[Стоимость до скидки]]-Д402[[#This Row],[Итоговая сумма скидки]]</f>
        <v>4613644</v>
      </c>
      <c r="AT7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73" s="153">
        <v>10000</v>
      </c>
      <c r="AV73" s="153"/>
      <c r="AW73" s="3">
        <f>Д402[[#This Row],[Цена м2 без отделки со скидкой]]+Д402[[#This Row],[Стоимость отделки]]</f>
        <v>134963.27193932829</v>
      </c>
      <c r="AX73" s="3">
        <f>Д402[[#This Row],[Стоимость квартиры с отделкой]]-Д402[[#This Row],[Стоимость ОН без отделки со скидкой]]</f>
        <v>369200.00000000093</v>
      </c>
      <c r="AY73" s="3">
        <f>Д402[[#This Row],[Цена м2 с отделкой]]*Д402[[#This Row],[Расчетная проектная площадь]]</f>
        <v>4982844.0000000009</v>
      </c>
      <c r="AZ73" s="161" t="s">
        <v>432</v>
      </c>
      <c r="BA73" s="269" t="s">
        <v>426</v>
      </c>
      <c r="BB73" s="269" t="str" cm="1">
        <f t="array" ref="BB7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73" s="161" t="s">
        <v>741</v>
      </c>
      <c r="BD73" s="161" t="s">
        <v>506</v>
      </c>
      <c r="BE73" s="161" t="s">
        <v>737</v>
      </c>
      <c r="BF73" s="161" t="s">
        <v>745</v>
      </c>
      <c r="BG73" s="161" t="b">
        <f>EXACT(Д402[[#This Row],[Статусы CRM]],Д402[[#This Row],[Статус]])</f>
        <v>1</v>
      </c>
      <c r="BH73" s="3">
        <f>IF(Д402[[#This Row],[ПС]]=0,IF(Д402[[#This Row],[ДС]]=0,Д402[[#This Row],[ТС]],Д402[[#This Row],[ДС]]),Д402[[#This Row],[ПС]])</f>
        <v>4707800</v>
      </c>
      <c r="BI73" s="3" t="s">
        <v>749</v>
      </c>
      <c r="BJ73" s="3">
        <v>4707800</v>
      </c>
      <c r="BK73" s="3">
        <v>4707800</v>
      </c>
      <c r="BL73" s="273">
        <f>Д402[[#This Row],[Стоимость CRM]]-Д402[[#This Row],[Стоимость до скидки]]</f>
        <v>0</v>
      </c>
      <c r="BM73" s="161" t="s">
        <v>718</v>
      </c>
      <c r="BN73" s="161" t="b">
        <f>Д402[[#This Row],[Отделка CRM]]=Д402[[#This Row],[Отделка]]</f>
        <v>1</v>
      </c>
      <c r="BO73" s="275" t="s">
        <v>205</v>
      </c>
      <c r="BP73" s="69"/>
    </row>
    <row r="74" spans="1:68" ht="12" customHeight="1" x14ac:dyDescent="0.25">
      <c r="A74" s="140">
        <v>72</v>
      </c>
      <c r="B74" s="175">
        <v>1</v>
      </c>
      <c r="C74" s="141">
        <f t="shared" si="2"/>
        <v>13</v>
      </c>
      <c r="D74" s="142">
        <v>6</v>
      </c>
      <c r="E74" s="141">
        <v>1</v>
      </c>
      <c r="F74" s="143">
        <v>14.57</v>
      </c>
      <c r="G74" s="143"/>
      <c r="H74" s="143"/>
      <c r="I74" s="144">
        <f>SUM(Д402[[#This Row],[Комната 1]:[Комната 3]])</f>
        <v>14.57</v>
      </c>
      <c r="J74" s="145">
        <v>16.850000000000001</v>
      </c>
      <c r="K74" s="145">
        <v>4.46</v>
      </c>
      <c r="L74" s="145"/>
      <c r="M74" s="145">
        <v>7.75</v>
      </c>
      <c r="N74" s="145"/>
      <c r="O74" s="145">
        <v>3.1</v>
      </c>
      <c r="P74" s="146"/>
      <c r="Q74" s="146"/>
      <c r="R74" s="146">
        <f>SUM(Д402[[#This Row],[Лоджия 1]:[Лоджия 3]])</f>
        <v>3.1</v>
      </c>
      <c r="S74" s="10">
        <f>ROUND(SUM(Д402[[#This Row],[Площадь по проекту жилая]:[Лоджия 3]]),2)</f>
        <v>46.73</v>
      </c>
      <c r="T74" s="10">
        <f>ROUND(Д402[[#This Row],[Площадь по проекту(общая)]]-Д402[[#This Row],[Летние]],2)</f>
        <v>43.63</v>
      </c>
      <c r="U74" s="10">
        <f>ROUND(Д402[[#This Row],[Площадь по проекту(общая)]]-(SUM(Д402[[#This Row],[Лоджия 1]:[Лоджия 3]])/2),2)</f>
        <v>45.18</v>
      </c>
      <c r="V74" s="10">
        <f>VLOOKUP(Д402[[#This Row],[№]],наценка7[],COLUMN(наценка7[[#This Row],[Цена м2 с учетом всех K]]),0)</f>
        <v>122837.8</v>
      </c>
      <c r="W74" s="162"/>
      <c r="X74" s="10">
        <f>Д402[[#This Row],[м2 после К]]+Д402[[#This Row],[02.12.2024]]</f>
        <v>122837.8</v>
      </c>
      <c r="Y74" s="149">
        <v>1000</v>
      </c>
      <c r="Z74" s="10">
        <f>Д402[[#This Row],[Фикс 20.12.24]]+Д402[[#This Row],[23.12.24 СП +1000]]</f>
        <v>123837.8</v>
      </c>
      <c r="AA74" s="149">
        <v>215</v>
      </c>
      <c r="AB74" s="10">
        <f>Д402[[#This Row],[Фикс 23.12.24]]+Д402[[#This Row],[Повышение 20.02.25]]</f>
        <v>124052.8</v>
      </c>
      <c r="AC74" s="149">
        <v>17.5</v>
      </c>
      <c r="AD74" s="10">
        <f>Д402[[#This Row],[Фикс 20.02.25]]+Д402[[#This Row],[Повышение 24.02.2025]]</f>
        <v>124070.3</v>
      </c>
      <c r="AE74" s="149">
        <f>Д402[[#This Row],[Фикс 24.02.25]]*0.5%</f>
        <v>620.35149999999999</v>
      </c>
      <c r="AF74" s="10">
        <f>Д402[[#This Row],[Фикс 24.02.25]]+Д402[[#This Row],[Повышение 05.03.2025
1К: до 40м - 1,5%, 40+ 0,5%
2К - 0,5% ]]</f>
        <v>124690.65150000001</v>
      </c>
      <c r="AG74" s="149">
        <f>Д402[[#This Row],[Фикс 05.03.25]]*1%</f>
        <v>1246.9065150000001</v>
      </c>
      <c r="AH74" s="10">
        <f>Д402[[#This Row],[Фикс 05.03.25]]+Д402[[#This Row],[повышение 14.03.25 1К-1%]]</f>
        <v>125937.558015</v>
      </c>
      <c r="AI74" s="149">
        <f>Д402[[#This Row],[Фикс 14.03.25]]*1%</f>
        <v>1259.3755801500001</v>
      </c>
      <c r="AJ74" s="10">
        <f>Д402[[#This Row],[Фикс 14.03.25]]+Д402[[#This Row],[повышение 28.03.25 1К-1%]]</f>
        <v>127196.93359515</v>
      </c>
      <c r="AK74" s="149">
        <f>Д402[[#This Row],[Фикс 28.03.25]]*2%</f>
        <v>2543.9386719029999</v>
      </c>
      <c r="AL74" s="10">
        <f>Д402[[#This Row],[Фикс 28.03.25]]+Д402[[#This Row],[Повышение 23.07.25
1К 43-46м2 - 2%
2К 55-58 - 2%; 58-64 - 3%
3К 76-79 - 2%
]]</f>
        <v>129740.872267053</v>
      </c>
      <c r="AM74" s="149">
        <f>ROUND(Д402[[#This Row],[Фикс 23.07.25]],2)</f>
        <v>129740.87</v>
      </c>
      <c r="AN74" s="149">
        <f>ROUNDUP(Д402[[#This Row],[утв цена м2]]*Д402[[#This Row],[Расчетная проектная площадь]],-2)</f>
        <v>5861700</v>
      </c>
      <c r="AO74" s="151"/>
      <c r="AP74" s="152"/>
      <c r="AQ74" s="151">
        <f>Д402[[#This Row],[Стоимость до скидки]]*Д402[[#This Row],[Скидка %]]+Д402[[#This Row],[Скидка фиксированная]]</f>
        <v>0</v>
      </c>
      <c r="AR74" s="3">
        <f>Д402[[#This Row],[Стоимость ОН без отделки со скидкой]]/Д402[[#This Row],[Расчетная проектная площадь]]</f>
        <v>129741.03585657371</v>
      </c>
      <c r="AS74" s="3">
        <f>Д402[[#This Row],[Стоимость до скидки]]-Д402[[#This Row],[Итоговая сумма скидки]]</f>
        <v>5861700</v>
      </c>
      <c r="AT7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4" s="153"/>
      <c r="AV74" s="153"/>
      <c r="AW74" s="3">
        <f>Д402[[#This Row],[Цена м2 без отделки со скидкой]]+Д402[[#This Row],[Стоимость отделки]]</f>
        <v>129741.03585657371</v>
      </c>
      <c r="AX74" s="3">
        <f>Д402[[#This Row],[Стоимость квартиры с отделкой]]-Д402[[#This Row],[Стоимость ОН без отделки со скидкой]]</f>
        <v>0</v>
      </c>
      <c r="AY74" s="3">
        <f>Д402[[#This Row],[Цена м2 с отделкой]]*Д402[[#This Row],[Расчетная проектная площадь]]</f>
        <v>5861700</v>
      </c>
      <c r="AZ74" s="161"/>
      <c r="BA74" s="269" t="s">
        <v>128</v>
      </c>
      <c r="BB74" s="156" t="str" cm="1">
        <f t="array" ref="BB7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74" s="161" t="s">
        <v>740</v>
      </c>
      <c r="BD74" s="161" t="s">
        <v>506</v>
      </c>
      <c r="BE74" s="161" t="s">
        <v>737</v>
      </c>
      <c r="BF74" s="161" t="s">
        <v>745</v>
      </c>
      <c r="BG74" s="161" t="b">
        <f>EXACT(Д402[[#This Row],[Статусы CRM]],Д402[[#This Row],[Статус]])</f>
        <v>1</v>
      </c>
      <c r="BH74" s="3">
        <f>IF(Д402[[#This Row],[ПС]]=0,IF(Д402[[#This Row],[ДС]]=0,Д402[[#This Row],[ТС]],Д402[[#This Row],[ДС]]),Д402[[#This Row],[ПС]])</f>
        <v>5861700</v>
      </c>
      <c r="BI74" s="3">
        <v>5861700</v>
      </c>
      <c r="BJ74" s="3">
        <v>0</v>
      </c>
      <c r="BK74" s="3">
        <v>0</v>
      </c>
      <c r="BL74" s="273">
        <f>Д402[[#This Row],[Стоимость CRM]]-Д402[[#This Row],[Стоимость до скидки]]</f>
        <v>0</v>
      </c>
      <c r="BM74" s="161" t="s">
        <v>9</v>
      </c>
      <c r="BN74" s="161" t="b">
        <f>Д402[[#This Row],[Отделка CRM]]=Д402[[#This Row],[Отделка]]</f>
        <v>1</v>
      </c>
      <c r="BO74" s="275" t="s">
        <v>206</v>
      </c>
      <c r="BP74" s="69"/>
    </row>
    <row r="75" spans="1:68" ht="12" customHeight="1" x14ac:dyDescent="0.25">
      <c r="A75" s="140">
        <v>73</v>
      </c>
      <c r="B75" s="15">
        <v>1</v>
      </c>
      <c r="C75" s="141">
        <f t="shared" si="2"/>
        <v>14</v>
      </c>
      <c r="D75" s="142">
        <v>1</v>
      </c>
      <c r="E75" s="141">
        <v>0</v>
      </c>
      <c r="F75" s="143">
        <v>14.66</v>
      </c>
      <c r="G75" s="143"/>
      <c r="H75" s="143"/>
      <c r="I75" s="144">
        <f>SUM(Д402[[#This Row],[Комната 1]:[Комната 3]])</f>
        <v>14.66</v>
      </c>
      <c r="J75" s="147">
        <v>6.15</v>
      </c>
      <c r="K75" s="145">
        <v>4.7300000000000004</v>
      </c>
      <c r="L75" s="145"/>
      <c r="M75" s="145">
        <v>3.86</v>
      </c>
      <c r="N75" s="145"/>
      <c r="O75" s="145"/>
      <c r="P75" s="146"/>
      <c r="Q75" s="146"/>
      <c r="R75" s="146">
        <f>SUM(Д402[[#This Row],[Лоджия 1]:[Лоджия 3]])</f>
        <v>0</v>
      </c>
      <c r="S75" s="10">
        <f>ROUND(SUM(Д402[[#This Row],[Площадь по проекту жилая]:[Лоджия 3]]),2)</f>
        <v>29.4</v>
      </c>
      <c r="T75" s="10">
        <f>ROUND(Д402[[#This Row],[Площадь по проекту(общая)]]-Д402[[#This Row],[Летние]],2)</f>
        <v>29.4</v>
      </c>
      <c r="U75" s="10">
        <f>ROUND(Д402[[#This Row],[Площадь по проекту(общая)]]-(SUM(Д402[[#This Row],[Лоджия 1]:[Лоджия 3]])/2),2)</f>
        <v>29.4</v>
      </c>
      <c r="V75" s="10">
        <f>VLOOKUP(Д402[[#This Row],[№]],наценка7[],COLUMN(наценка7[[#This Row],[Цена м2 с учетом всех K]]),0)</f>
        <v>139730</v>
      </c>
      <c r="W75" s="159">
        <v>200</v>
      </c>
      <c r="X75" s="10">
        <f>Д402[[#This Row],[м2 после К]]+Д402[[#This Row],[02.12.2024]]</f>
        <v>139930</v>
      </c>
      <c r="Y75" s="149">
        <v>1000</v>
      </c>
      <c r="Z75" s="10">
        <f>Д402[[#This Row],[Фикс 20.12.24]]+Д402[[#This Row],[23.12.24 СП +1000]]</f>
        <v>140930</v>
      </c>
      <c r="AA75" s="149">
        <v>215</v>
      </c>
      <c r="AB75" s="10">
        <f>Д402[[#This Row],[Фикс 23.12.24]]+Д402[[#This Row],[Повышение 20.02.25]]</f>
        <v>141145</v>
      </c>
      <c r="AC75" s="149">
        <v>17.5</v>
      </c>
      <c r="AD75" s="10">
        <f>Д402[[#This Row],[Фикс 20.02.25]]+Д402[[#This Row],[Повышение 24.02.2025]]</f>
        <v>141162.5</v>
      </c>
      <c r="AE75" s="10"/>
      <c r="AF75" s="10">
        <f>Д402[[#This Row],[Фикс 24.02.25]]+Д402[[#This Row],[Повышение 05.03.2025
1К: до 40м - 1,5%, 40+ 0,5%
2К - 0,5% ]]</f>
        <v>141162.5</v>
      </c>
      <c r="AG75" s="10"/>
      <c r="AH75" s="10">
        <f>Д402[[#This Row],[Фикс 05.03.25]]+Д402[[#This Row],[повышение 14.03.25 1К-1%]]</f>
        <v>141162.5</v>
      </c>
      <c r="AI75" s="10"/>
      <c r="AJ75" s="10">
        <f>Д402[[#This Row],[Фикс 14.03.25]]+Д402[[#This Row],[повышение 28.03.25 1К-1%]]</f>
        <v>141162.5</v>
      </c>
      <c r="AK75" s="10"/>
      <c r="AL75" s="10">
        <f>Д402[[#This Row],[Фикс 28.03.25]]+Д402[[#This Row],[Повышение 23.07.25
1К 43-46м2 - 2%
2К 55-58 - 2%; 58-64 - 3%
3К 76-79 - 2%
]]</f>
        <v>141162.5</v>
      </c>
      <c r="AM75" s="149">
        <f>ROUND(Д402[[#This Row],[Фикс 23.07.25]],2)</f>
        <v>141162.5</v>
      </c>
      <c r="AN75" s="149">
        <f>ROUNDUP(Д402[[#This Row],[утв цена м2]]*Д402[[#This Row],[Расчетная проектная площадь]],-2)</f>
        <v>4150200</v>
      </c>
      <c r="AO75" s="151"/>
      <c r="AP75" s="152"/>
      <c r="AQ75" s="151">
        <f>Д402[[#This Row],[Стоимость до скидки]]*Д402[[#This Row],[Скидка %]]+Д402[[#This Row],[Скидка фиксированная]]</f>
        <v>0</v>
      </c>
      <c r="AR75" s="3">
        <f>Д402[[#This Row],[Стоимость ОН без отделки со скидкой]]/Д402[[#This Row],[Расчетная проектная площадь]]</f>
        <v>141163.26530612246</v>
      </c>
      <c r="AS75" s="3">
        <f>Д402[[#This Row],[Стоимость до скидки]]-Д402[[#This Row],[Итоговая сумма скидки]]</f>
        <v>4150200</v>
      </c>
      <c r="AT7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5" s="153"/>
      <c r="AV75" s="153"/>
      <c r="AW75" s="3">
        <f>Д402[[#This Row],[Цена м2 без отделки со скидкой]]+Д402[[#This Row],[Стоимость отделки]]</f>
        <v>141163.26530612246</v>
      </c>
      <c r="AX75" s="3">
        <f>Д402[[#This Row],[Стоимость квартиры с отделкой]]-Д402[[#This Row],[Стоимость ОН без отделки со скидкой]]</f>
        <v>0</v>
      </c>
      <c r="AY75" s="3">
        <f>Д402[[#This Row],[Цена м2 с отделкой]]*Д402[[#This Row],[Расчетная проектная площадь]]</f>
        <v>4150200</v>
      </c>
      <c r="AZ75" s="161"/>
      <c r="BA75" s="269" t="s">
        <v>128</v>
      </c>
      <c r="BB75" s="269" t="str" cm="1">
        <f t="array" ref="BB7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75" s="161" t="s">
        <v>740</v>
      </c>
      <c r="BD75" s="161" t="s">
        <v>506</v>
      </c>
      <c r="BE75" s="161" t="s">
        <v>737</v>
      </c>
      <c r="BF75" s="161" t="s">
        <v>743</v>
      </c>
      <c r="BG75" s="161" t="b">
        <f>EXACT(Д402[[#This Row],[Статусы CRM]],Д402[[#This Row],[Статус]])</f>
        <v>1</v>
      </c>
      <c r="BH75" s="3">
        <f>IF(Д402[[#This Row],[ПС]]=0,IF(Д402[[#This Row],[ДС]]=0,Д402[[#This Row],[ТС]],Д402[[#This Row],[ДС]]),Д402[[#This Row],[ПС]])</f>
        <v>4150200</v>
      </c>
      <c r="BI75" s="3">
        <v>4150200</v>
      </c>
      <c r="BJ75" s="3">
        <v>0</v>
      </c>
      <c r="BK75" s="3">
        <v>0</v>
      </c>
      <c r="BL75" s="273">
        <f>Д402[[#This Row],[Стоимость CRM]]-Д402[[#This Row],[Стоимость до скидки]]</f>
        <v>0</v>
      </c>
      <c r="BM75" s="161" t="s">
        <v>9</v>
      </c>
      <c r="BN75" s="161" t="b">
        <f>Д402[[#This Row],[Отделка CRM]]=Д402[[#This Row],[Отделка]]</f>
        <v>1</v>
      </c>
      <c r="BO75" s="275" t="s">
        <v>207</v>
      </c>
      <c r="BP75" s="69"/>
    </row>
    <row r="76" spans="1:68" ht="12" customHeight="1" x14ac:dyDescent="0.25">
      <c r="A76" s="140">
        <v>74</v>
      </c>
      <c r="B76" s="15">
        <v>1</v>
      </c>
      <c r="C76" s="141">
        <f t="shared" si="2"/>
        <v>14</v>
      </c>
      <c r="D76" s="142">
        <v>2</v>
      </c>
      <c r="E76" s="141">
        <v>2</v>
      </c>
      <c r="F76" s="143">
        <v>16.100000000000001</v>
      </c>
      <c r="G76" s="143">
        <v>10.8</v>
      </c>
      <c r="H76" s="143"/>
      <c r="I76" s="144">
        <f>SUM(Д402[[#This Row],[Комната 1]:[Комната 3]])</f>
        <v>26.900000000000002</v>
      </c>
      <c r="J76" s="145">
        <v>17.32</v>
      </c>
      <c r="K76" s="145">
        <v>4.25</v>
      </c>
      <c r="L76" s="145"/>
      <c r="M76" s="145">
        <v>9.68</v>
      </c>
      <c r="N76" s="145"/>
      <c r="O76" s="145">
        <v>3.15</v>
      </c>
      <c r="P76" s="146"/>
      <c r="Q76" s="146"/>
      <c r="R76" s="146">
        <f>SUM(Д402[[#This Row],[Лоджия 1]:[Лоджия 3]])</f>
        <v>3.15</v>
      </c>
      <c r="S76" s="149">
        <f>ROUND(SUM(Д402[[#This Row],[Площадь по проекту жилая]:[Лоджия 3]]),2)</f>
        <v>61.3</v>
      </c>
      <c r="T76" s="149">
        <f>ROUND(Д402[[#This Row],[Площадь по проекту(общая)]]-Д402[[#This Row],[Летние]],2)</f>
        <v>58.15</v>
      </c>
      <c r="U76" s="149">
        <f>ROUND(Д402[[#This Row],[Площадь по проекту(общая)]]-(SUM(Д402[[#This Row],[Лоджия 1]:[Лоджия 3]])/2),2)</f>
        <v>59.73</v>
      </c>
      <c r="V76" s="149">
        <f>VLOOKUP(Д402[[#This Row],[№]],наценка7[],COLUMN(наценка7[[#This Row],[Цена м2 с учетом всех K]]),0)</f>
        <v>117551.2</v>
      </c>
      <c r="W76" s="159"/>
      <c r="X76" s="149">
        <f>Д402[[#This Row],[м2 после К]]+Д402[[#This Row],[02.12.2024]]</f>
        <v>117551.2</v>
      </c>
      <c r="Y76" s="149">
        <v>1000</v>
      </c>
      <c r="Z76" s="149">
        <f>Д402[[#This Row],[Фикс 20.12.24]]+Д402[[#This Row],[23.12.24 СП +1000]]</f>
        <v>118551.2</v>
      </c>
      <c r="AA76" s="149">
        <v>215</v>
      </c>
      <c r="AB76" s="149">
        <f>Д402[[#This Row],[Фикс 23.12.24]]+Д402[[#This Row],[Повышение 20.02.25]]</f>
        <v>118766.2</v>
      </c>
      <c r="AC76" s="149">
        <v>17.5</v>
      </c>
      <c r="AD76" s="149">
        <f>Д402[[#This Row],[Фикс 20.02.25]]+Д402[[#This Row],[Повышение 24.02.2025]]</f>
        <v>118783.7</v>
      </c>
      <c r="AE76" s="149">
        <f>Д402[[#This Row],[Фикс 24.02.25]]*0.5%</f>
        <v>593.91849999999999</v>
      </c>
      <c r="AF76" s="149">
        <f>Д402[[#This Row],[Фикс 24.02.25]]+Д402[[#This Row],[Повышение 05.03.2025
1К: до 40м - 1,5%, 40+ 0,5%
2К - 0,5% ]]</f>
        <v>119377.6185</v>
      </c>
      <c r="AG76" s="149"/>
      <c r="AH76" s="149">
        <f>Д402[[#This Row],[Фикс 05.03.25]]+Д402[[#This Row],[повышение 14.03.25 1К-1%]]</f>
        <v>119377.6185</v>
      </c>
      <c r="AI76" s="149"/>
      <c r="AJ76" s="149">
        <f>Д402[[#This Row],[Фикс 14.03.25]]+Д402[[#This Row],[повышение 28.03.25 1К-1%]]</f>
        <v>119377.6185</v>
      </c>
      <c r="AK76" s="10">
        <f>Д402[[#This Row],[Фикс 28.03.25]]*3%</f>
        <v>3581.3285549999996</v>
      </c>
      <c r="AL76" s="149">
        <f>Д402[[#This Row],[Фикс 28.03.25]]+Д402[[#This Row],[Повышение 23.07.25
1К 43-46м2 - 2%
2К 55-58 - 2%; 58-64 - 3%
3К 76-79 - 2%
]]</f>
        <v>122958.947055</v>
      </c>
      <c r="AM76" s="149">
        <f>ROUND(Д402[[#This Row],[Фикс 23.07.25]],2)</f>
        <v>122958.95</v>
      </c>
      <c r="AN76" s="149">
        <f>ROUNDUP(Д402[[#This Row],[утв цена м2]]*Д402[[#This Row],[Расчетная проектная площадь]],-2)</f>
        <v>7344400</v>
      </c>
      <c r="AO76" s="151"/>
      <c r="AP76" s="152"/>
      <c r="AQ76" s="151">
        <f>Д402[[#This Row],[Стоимость до скидки]]*Д402[[#This Row],[Скидка %]]+Д402[[#This Row],[Скидка фиксированная]]</f>
        <v>0</v>
      </c>
      <c r="AR76" s="3">
        <f>Д402[[#This Row],[Стоимость ОН без отделки со скидкой]]/Д402[[#This Row],[Расчетная проектная площадь]]</f>
        <v>122959.98660639545</v>
      </c>
      <c r="AS76" s="3">
        <f>Д402[[#This Row],[Стоимость до скидки]]-Д402[[#This Row],[Итоговая сумма скидки]]</f>
        <v>7344400</v>
      </c>
      <c r="AT7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6" s="153"/>
      <c r="AV76" s="153"/>
      <c r="AW76" s="3">
        <f>Д402[[#This Row],[Цена м2 без отделки со скидкой]]+Д402[[#This Row],[Стоимость отделки]]</f>
        <v>122959.98660639545</v>
      </c>
      <c r="AX76" s="3">
        <f>Д402[[#This Row],[Стоимость квартиры с отделкой]]-Д402[[#This Row],[Стоимость ОН без отделки со скидкой]]</f>
        <v>0</v>
      </c>
      <c r="AY76" s="3">
        <f>Д402[[#This Row],[Цена м2 с отделкой]]*Д402[[#This Row],[Расчетная проектная площадь]]</f>
        <v>7344400</v>
      </c>
      <c r="AZ76" s="161"/>
      <c r="BA76" s="155" t="s">
        <v>12</v>
      </c>
      <c r="BB76" s="156" t="str" cm="1">
        <f t="array" ref="BB7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76" s="161" t="s">
        <v>738</v>
      </c>
      <c r="BD76" s="161" t="s">
        <v>739</v>
      </c>
      <c r="BE76" s="161" t="s">
        <v>737</v>
      </c>
      <c r="BF76" s="161" t="s">
        <v>744</v>
      </c>
      <c r="BG76" s="161" t="b">
        <f>EXACT(Д402[[#This Row],[Статусы CRM]],Д402[[#This Row],[Статус]])</f>
        <v>1</v>
      </c>
      <c r="BH76" s="3">
        <f>IF(Д402[[#This Row],[ПС]]=0,IF(Д402[[#This Row],[ДС]]=0,Д402[[#This Row],[ТС]],Д402[[#This Row],[ДС]]),Д402[[#This Row],[ПС]])</f>
        <v>7344400</v>
      </c>
      <c r="BI76" s="3">
        <v>7344400</v>
      </c>
      <c r="BJ76" s="3">
        <v>0</v>
      </c>
      <c r="BK76" s="3">
        <v>0</v>
      </c>
      <c r="BL76" s="273">
        <f>Д402[[#This Row],[Стоимость CRM]]-Д402[[#This Row],[Стоимость до скидки]]</f>
        <v>0</v>
      </c>
      <c r="BM76" s="161" t="s">
        <v>9</v>
      </c>
      <c r="BN76" s="161" t="b">
        <f>Д402[[#This Row],[Отделка CRM]]=Д402[[#This Row],[Отделка]]</f>
        <v>1</v>
      </c>
      <c r="BO76" s="275" t="s">
        <v>208</v>
      </c>
      <c r="BP76" s="69"/>
    </row>
    <row r="77" spans="1:68" ht="12" customHeight="1" x14ac:dyDescent="0.25">
      <c r="A77" s="140">
        <v>75</v>
      </c>
      <c r="B77" s="15">
        <v>1</v>
      </c>
      <c r="C77" s="141">
        <f t="shared" si="2"/>
        <v>14</v>
      </c>
      <c r="D77" s="142">
        <v>3</v>
      </c>
      <c r="E77" s="141">
        <v>2</v>
      </c>
      <c r="F77" s="143">
        <v>16.41</v>
      </c>
      <c r="G77" s="143">
        <v>12.19</v>
      </c>
      <c r="H77" s="143"/>
      <c r="I77" s="144">
        <f>SUM(Д402[[#This Row],[Комната 1]:[Комната 3]])</f>
        <v>28.6</v>
      </c>
      <c r="J77" s="145">
        <v>14.24</v>
      </c>
      <c r="K77" s="145">
        <v>3.86</v>
      </c>
      <c r="L77" s="145"/>
      <c r="M77" s="145">
        <v>6.1</v>
      </c>
      <c r="N77" s="145"/>
      <c r="O77" s="145">
        <v>3.33</v>
      </c>
      <c r="P77" s="146"/>
      <c r="Q77" s="146"/>
      <c r="R77" s="146">
        <f>SUM(Д402[[#This Row],[Лоджия 1]:[Лоджия 3]])</f>
        <v>3.33</v>
      </c>
      <c r="S77" s="149">
        <f>ROUND(SUM(Д402[[#This Row],[Площадь по проекту жилая]:[Лоджия 3]]),2)</f>
        <v>56.13</v>
      </c>
      <c r="T77" s="149">
        <f>ROUND(Д402[[#This Row],[Площадь по проекту(общая)]]-Д402[[#This Row],[Летние]],2)</f>
        <v>52.8</v>
      </c>
      <c r="U77" s="149">
        <f>ROUND(Д402[[#This Row],[Площадь по проекту(общая)]]-(SUM(Д402[[#This Row],[Лоджия 1]:[Лоджия 3]])/2),2)</f>
        <v>54.47</v>
      </c>
      <c r="V77" s="149">
        <f>VLOOKUP(Д402[[#This Row],[№]],наценка7[],COLUMN(наценка7[[#This Row],[Цена м2 с учетом всех K]]),0)</f>
        <v>118681.5</v>
      </c>
      <c r="W77" s="159"/>
      <c r="X77" s="149">
        <f>Д402[[#This Row],[м2 после К]]+Д402[[#This Row],[02.12.2024]]</f>
        <v>118681.5</v>
      </c>
      <c r="Y77" s="149">
        <v>1000</v>
      </c>
      <c r="Z77" s="149">
        <f>Д402[[#This Row],[Фикс 20.12.24]]+Д402[[#This Row],[23.12.24 СП +1000]]</f>
        <v>119681.5</v>
      </c>
      <c r="AA77" s="149">
        <v>215</v>
      </c>
      <c r="AB77" s="149">
        <f>Д402[[#This Row],[Фикс 23.12.24]]+Д402[[#This Row],[Повышение 20.02.25]]</f>
        <v>119896.5</v>
      </c>
      <c r="AC77" s="149">
        <v>17.5</v>
      </c>
      <c r="AD77" s="149">
        <f>Д402[[#This Row],[Фикс 20.02.25]]+Д402[[#This Row],[Повышение 24.02.2025]]</f>
        <v>119914</v>
      </c>
      <c r="AE77" s="149">
        <f>Д402[[#This Row],[Фикс 24.02.25]]*0.5%</f>
        <v>599.57000000000005</v>
      </c>
      <c r="AF77" s="149">
        <f>Д402[[#This Row],[Фикс 24.02.25]]+Д402[[#This Row],[Повышение 05.03.2025
1К: до 40м - 1,5%, 40+ 0,5%
2К - 0,5% ]]</f>
        <v>120513.57</v>
      </c>
      <c r="AG77" s="149"/>
      <c r="AH77" s="149">
        <f>Д402[[#This Row],[Фикс 05.03.25]]+Д402[[#This Row],[повышение 14.03.25 1К-1%]]</f>
        <v>120513.57</v>
      </c>
      <c r="AI77" s="149"/>
      <c r="AJ77" s="149">
        <f>Д402[[#This Row],[Фикс 14.03.25]]+Д402[[#This Row],[повышение 28.03.25 1К-1%]]</f>
        <v>120513.57</v>
      </c>
      <c r="AK77" s="149"/>
      <c r="AL77" s="149">
        <f>Д402[[#This Row],[Фикс 28.03.25]]+Д402[[#This Row],[Повышение 23.07.25
1К 43-46м2 - 2%
2К 55-58 - 2%; 58-64 - 3%
3К 76-79 - 2%
]]</f>
        <v>120513.57</v>
      </c>
      <c r="AM77" s="149">
        <f>ROUND(Д402[[#This Row],[Фикс 23.07.25]],2)</f>
        <v>120513.57</v>
      </c>
      <c r="AN77" s="149">
        <f>ROUNDUP(Д402[[#This Row],[утв цена м2]]*Д402[[#This Row],[Расчетная проектная площадь]],-2)</f>
        <v>6564400</v>
      </c>
      <c r="AO77" s="151"/>
      <c r="AP77" s="152"/>
      <c r="AQ77" s="151">
        <f>Д402[[#This Row],[Стоимость до скидки]]*Д402[[#This Row],[Скидка %]]+Д402[[#This Row],[Скидка фиксированная]]</f>
        <v>0</v>
      </c>
      <c r="AR77" s="3">
        <f>Д402[[#This Row],[Стоимость ОН без отделки со скидкой]]/Д402[[#This Row],[Расчетная проектная площадь]]</f>
        <v>120514.04442812558</v>
      </c>
      <c r="AS77" s="3">
        <f>Д402[[#This Row],[Стоимость до скидки]]-Д402[[#This Row],[Итоговая сумма скидки]]</f>
        <v>6564400</v>
      </c>
      <c r="AT7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7" s="153"/>
      <c r="AV77" s="153"/>
      <c r="AW77" s="3">
        <f>Д402[[#This Row],[Цена м2 без отделки со скидкой]]+Д402[[#This Row],[Стоимость отделки]]</f>
        <v>120514.04442812558</v>
      </c>
      <c r="AX77" s="3">
        <f>Д402[[#This Row],[Стоимость квартиры с отделкой]]-Д402[[#This Row],[Стоимость ОН без отделки со скидкой]]</f>
        <v>0</v>
      </c>
      <c r="AY77" s="3">
        <f>Д402[[#This Row],[Цена м2 с отделкой]]*Д402[[#This Row],[Расчетная проектная площадь]]</f>
        <v>6564400</v>
      </c>
      <c r="AZ77" s="161"/>
      <c r="BA77" s="155" t="s">
        <v>12</v>
      </c>
      <c r="BB77" s="156" t="str" cm="1">
        <f t="array" ref="BB7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77" s="161" t="s">
        <v>738</v>
      </c>
      <c r="BD77" s="161" t="s">
        <v>739</v>
      </c>
      <c r="BE77" s="161" t="s">
        <v>737</v>
      </c>
      <c r="BF77" s="161" t="s">
        <v>744</v>
      </c>
      <c r="BG77" s="161" t="b">
        <f>EXACT(Д402[[#This Row],[Статусы CRM]],Д402[[#This Row],[Статус]])</f>
        <v>1</v>
      </c>
      <c r="BH77" s="3">
        <f>IF(Д402[[#This Row],[ПС]]=0,IF(Д402[[#This Row],[ДС]]=0,Д402[[#This Row],[ТС]],Д402[[#This Row],[ДС]]),Д402[[#This Row],[ПС]])</f>
        <v>6564400</v>
      </c>
      <c r="BI77" s="3">
        <v>6564400</v>
      </c>
      <c r="BJ77" s="3">
        <v>0</v>
      </c>
      <c r="BK77" s="3">
        <v>0</v>
      </c>
      <c r="BL77" s="273">
        <f>Д402[[#This Row],[Стоимость CRM]]-Д402[[#This Row],[Стоимость до скидки]]</f>
        <v>0</v>
      </c>
      <c r="BM77" s="161" t="s">
        <v>9</v>
      </c>
      <c r="BN77" s="161" t="b">
        <f>Д402[[#This Row],[Отделка CRM]]=Д402[[#This Row],[Отделка]]</f>
        <v>1</v>
      </c>
      <c r="BO77" s="275" t="s">
        <v>209</v>
      </c>
      <c r="BP77" s="69"/>
    </row>
    <row r="78" spans="1:68" ht="12" customHeight="1" x14ac:dyDescent="0.25">
      <c r="A78" s="140">
        <v>76</v>
      </c>
      <c r="B78" s="15">
        <v>1</v>
      </c>
      <c r="C78" s="141">
        <f t="shared" si="2"/>
        <v>14</v>
      </c>
      <c r="D78" s="142">
        <v>4</v>
      </c>
      <c r="E78" s="141">
        <v>2</v>
      </c>
      <c r="F78" s="143">
        <v>14.98</v>
      </c>
      <c r="G78" s="143">
        <v>12.28</v>
      </c>
      <c r="H78" s="143"/>
      <c r="I78" s="144">
        <f>SUM(Д402[[#This Row],[Комната 1]:[Комната 3]])</f>
        <v>27.259999999999998</v>
      </c>
      <c r="J78" s="145">
        <v>14.78</v>
      </c>
      <c r="K78" s="145">
        <v>4.4400000000000004</v>
      </c>
      <c r="L78" s="145"/>
      <c r="M78" s="145">
        <v>6.25</v>
      </c>
      <c r="N78" s="145"/>
      <c r="O78" s="145">
        <v>3.33</v>
      </c>
      <c r="P78" s="146"/>
      <c r="Q78" s="146"/>
      <c r="R78" s="146">
        <f>SUM(Д402[[#This Row],[Лоджия 1]:[Лоджия 3]])</f>
        <v>3.33</v>
      </c>
      <c r="S78" s="10">
        <f>ROUND(SUM(Д402[[#This Row],[Площадь по проекту жилая]:[Лоджия 3]]),2)</f>
        <v>56.06</v>
      </c>
      <c r="T78" s="10">
        <f>ROUND(Д402[[#This Row],[Площадь по проекту(общая)]]-Д402[[#This Row],[Летние]],2)</f>
        <v>52.73</v>
      </c>
      <c r="U78" s="10">
        <f>ROUND(Д402[[#This Row],[Площадь по проекту(общая)]]-(SUM(Д402[[#This Row],[Лоджия 1]:[Лоджия 3]])/2),2)</f>
        <v>54.4</v>
      </c>
      <c r="V78" s="10">
        <f>VLOOKUP(Д402[[#This Row],[№]],наценка7[],COLUMN(наценка7[[#This Row],[Цена м2 с учетом всех K]]),0)</f>
        <v>120942.1</v>
      </c>
      <c r="W78" s="162"/>
      <c r="X78" s="10">
        <f>Д402[[#This Row],[м2 после К]]+Д402[[#This Row],[02.12.2024]]</f>
        <v>120942.1</v>
      </c>
      <c r="Y78" s="149">
        <v>1000</v>
      </c>
      <c r="Z78" s="10">
        <f>Д402[[#This Row],[Фикс 20.12.24]]+Д402[[#This Row],[23.12.24 СП +1000]]</f>
        <v>121942.1</v>
      </c>
      <c r="AA78" s="149">
        <v>215</v>
      </c>
      <c r="AB78" s="10">
        <f>Д402[[#This Row],[Фикс 23.12.24]]+Д402[[#This Row],[Повышение 20.02.25]]</f>
        <v>122157.1</v>
      </c>
      <c r="AC78" s="149">
        <v>17.5</v>
      </c>
      <c r="AD78" s="10">
        <f>Д402[[#This Row],[Фикс 20.02.25]]+Д402[[#This Row],[Повышение 24.02.2025]]</f>
        <v>122174.6</v>
      </c>
      <c r="AE78" s="149">
        <f>Д402[[#This Row],[Фикс 24.02.25]]*0.5%</f>
        <v>610.87300000000005</v>
      </c>
      <c r="AF78" s="10">
        <f>Д402[[#This Row],[Фикс 24.02.25]]+Д402[[#This Row],[Повышение 05.03.2025
1К: до 40м - 1,5%, 40+ 0,5%
2К - 0,5% ]]</f>
        <v>122785.47300000001</v>
      </c>
      <c r="AG78" s="10"/>
      <c r="AH78" s="10">
        <f>Д402[[#This Row],[Фикс 05.03.25]]+Д402[[#This Row],[повышение 14.03.25 1К-1%]]</f>
        <v>122785.47300000001</v>
      </c>
      <c r="AI78" s="10"/>
      <c r="AJ78" s="10">
        <f>Д402[[#This Row],[Фикс 14.03.25]]+Д402[[#This Row],[повышение 28.03.25 1К-1%]]</f>
        <v>122785.47300000001</v>
      </c>
      <c r="AK78" s="10"/>
      <c r="AL78" s="10">
        <f>Д402[[#This Row],[Фикс 28.03.25]]+Д402[[#This Row],[Повышение 23.07.25
1К 43-46м2 - 2%
2К 55-58 - 2%; 58-64 - 3%
3К 76-79 - 2%
]]</f>
        <v>122785.47300000001</v>
      </c>
      <c r="AM78" s="149">
        <f>ROUND(Д402[[#This Row],[Фикс 23.07.25]],2)</f>
        <v>122785.47</v>
      </c>
      <c r="AN78" s="149">
        <f>ROUNDUP(Д402[[#This Row],[утв цена м2]]*Д402[[#This Row],[Расчетная проектная площадь]],-2)</f>
        <v>6679600</v>
      </c>
      <c r="AO78" s="151"/>
      <c r="AP78" s="152"/>
      <c r="AQ78" s="151">
        <f>Д402[[#This Row],[Стоимость до скидки]]*Д402[[#This Row],[Скидка %]]+Д402[[#This Row],[Скидка фиксированная]]</f>
        <v>0</v>
      </c>
      <c r="AR78" s="3">
        <f>Д402[[#This Row],[Стоимость ОН без отделки со скидкой]]/Д402[[#This Row],[Расчетная проектная площадь]]</f>
        <v>122786.76470588235</v>
      </c>
      <c r="AS78" s="3">
        <f>Д402[[#This Row],[Стоимость до скидки]]-Д402[[#This Row],[Итоговая сумма скидки]]</f>
        <v>6679600</v>
      </c>
      <c r="AT7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8" s="153"/>
      <c r="AV78" s="153"/>
      <c r="AW78" s="3">
        <f>Д402[[#This Row],[Цена м2 без отделки со скидкой]]+Д402[[#This Row],[Стоимость отделки]]</f>
        <v>122786.76470588235</v>
      </c>
      <c r="AX78" s="3">
        <f>Д402[[#This Row],[Стоимость квартиры с отделкой]]-Д402[[#This Row],[Стоимость ОН без отделки со скидкой]]</f>
        <v>0</v>
      </c>
      <c r="AY78" s="3">
        <f>Д402[[#This Row],[Цена м2 с отделкой]]*Д402[[#This Row],[Расчетная проектная площадь]]</f>
        <v>6679600</v>
      </c>
      <c r="AZ78" s="161"/>
      <c r="BA78" s="269" t="s">
        <v>128</v>
      </c>
      <c r="BB78" s="156" t="str" cm="1">
        <f t="array" ref="BB7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78" s="161" t="s">
        <v>740</v>
      </c>
      <c r="BD78" s="161" t="s">
        <v>506</v>
      </c>
      <c r="BE78" s="161" t="s">
        <v>737</v>
      </c>
      <c r="BF78" s="161" t="s">
        <v>744</v>
      </c>
      <c r="BG78" s="161" t="b">
        <f>EXACT(Д402[[#This Row],[Статусы CRM]],Д402[[#This Row],[Статус]])</f>
        <v>1</v>
      </c>
      <c r="BH78" s="3">
        <f>IF(Д402[[#This Row],[ПС]]=0,IF(Д402[[#This Row],[ДС]]=0,Д402[[#This Row],[ТС]],Д402[[#This Row],[ДС]]),Д402[[#This Row],[ПС]])</f>
        <v>6679600</v>
      </c>
      <c r="BI78" s="3">
        <v>6679600</v>
      </c>
      <c r="BJ78" s="3">
        <v>0</v>
      </c>
      <c r="BK78" s="3">
        <v>0</v>
      </c>
      <c r="BL78" s="273">
        <f>Д402[[#This Row],[Стоимость CRM]]-Д402[[#This Row],[Стоимость до скидки]]</f>
        <v>0</v>
      </c>
      <c r="BM78" s="161" t="s">
        <v>9</v>
      </c>
      <c r="BN78" s="161" t="b">
        <f>Д402[[#This Row],[Отделка CRM]]=Д402[[#This Row],[Отделка]]</f>
        <v>1</v>
      </c>
      <c r="BO78" s="275" t="s">
        <v>210</v>
      </c>
      <c r="BP78" s="69"/>
    </row>
    <row r="79" spans="1:68" ht="12" customHeight="1" x14ac:dyDescent="0.25">
      <c r="A79" s="140">
        <v>77</v>
      </c>
      <c r="B79" s="15">
        <v>1</v>
      </c>
      <c r="C79" s="141">
        <f t="shared" si="2"/>
        <v>14</v>
      </c>
      <c r="D79" s="142">
        <v>5</v>
      </c>
      <c r="E79" s="141">
        <v>1</v>
      </c>
      <c r="F79" s="143">
        <v>13.06</v>
      </c>
      <c r="G79" s="143"/>
      <c r="H79" s="143"/>
      <c r="I79" s="144">
        <f>SUM(Д402[[#This Row],[Комната 1]:[Комната 3]])</f>
        <v>13.06</v>
      </c>
      <c r="J79" s="145">
        <v>14.73</v>
      </c>
      <c r="K79" s="145">
        <v>4.4400000000000004</v>
      </c>
      <c r="L79" s="145"/>
      <c r="M79" s="145">
        <v>2.9</v>
      </c>
      <c r="N79" s="145"/>
      <c r="O79" s="145">
        <v>3.02</v>
      </c>
      <c r="P79" s="146"/>
      <c r="Q79" s="146"/>
      <c r="R79" s="146">
        <f>SUM(Д402[[#This Row],[Лоджия 1]:[Лоджия 3]])</f>
        <v>3.02</v>
      </c>
      <c r="S79" s="10">
        <f>ROUND(SUM(Д402[[#This Row],[Площадь по проекту жилая]:[Лоджия 3]]),2)</f>
        <v>38.15</v>
      </c>
      <c r="T79" s="10">
        <f>ROUND(Д402[[#This Row],[Площадь по проекту(общая)]]-Д402[[#This Row],[Летние]],2)</f>
        <v>35.130000000000003</v>
      </c>
      <c r="U79" s="10">
        <f>ROUND(Д402[[#This Row],[Площадь по проекту(общая)]]-(SUM(Д402[[#This Row],[Лоджия 1]:[Лоджия 3]])/2),2)</f>
        <v>36.64</v>
      </c>
      <c r="V79" s="10">
        <f>VLOOKUP(Д402[[#This Row],[№]],наценка7[],COLUMN(наценка7[[#This Row],[Цена м2 с учетом всех K]]),0)</f>
        <v>126415.6</v>
      </c>
      <c r="W79" s="159">
        <f>2%*Д402[[#This Row],[м2 после К]]</f>
        <v>2528.3120000000004</v>
      </c>
      <c r="X79" s="10">
        <f>Д402[[#This Row],[м2 после К]]+Д402[[#This Row],[02.12.2024]]</f>
        <v>128943.91200000001</v>
      </c>
      <c r="Y79" s="149">
        <v>1000</v>
      </c>
      <c r="Z79" s="10">
        <f>Д402[[#This Row],[Фикс 20.12.24]]+Д402[[#This Row],[23.12.24 СП +1000]]</f>
        <v>129943.91200000001</v>
      </c>
      <c r="AA79" s="149">
        <v>215</v>
      </c>
      <c r="AB79" s="10">
        <f>Д402[[#This Row],[Фикс 23.12.24]]+Д402[[#This Row],[Повышение 20.02.25]]</f>
        <v>130158.91200000001</v>
      </c>
      <c r="AC79" s="149">
        <v>17.5</v>
      </c>
      <c r="AD79" s="10">
        <f>Д402[[#This Row],[Фикс 20.02.25]]+Д402[[#This Row],[Повышение 24.02.2025]]</f>
        <v>130176.41200000001</v>
      </c>
      <c r="AE79" s="10"/>
      <c r="AF79" s="10">
        <f>Д402[[#This Row],[Фикс 24.02.25]]+Д402[[#This Row],[Повышение 05.03.2025
1К: до 40м - 1,5%, 40+ 0,5%
2К - 0,5% ]]</f>
        <v>130176.41200000001</v>
      </c>
      <c r="AG79" s="10"/>
      <c r="AH79" s="10">
        <f>Д402[[#This Row],[Фикс 05.03.25]]+Д402[[#This Row],[повышение 14.03.25 1К-1%]]</f>
        <v>130176.41200000001</v>
      </c>
      <c r="AI79" s="10"/>
      <c r="AJ79" s="10">
        <f>Д402[[#This Row],[Фикс 14.03.25]]+Д402[[#This Row],[повышение 28.03.25 1К-1%]]</f>
        <v>130176.41200000001</v>
      </c>
      <c r="AK79" s="10"/>
      <c r="AL79" s="10">
        <f>Д402[[#This Row],[Фикс 28.03.25]]+Д402[[#This Row],[Повышение 23.07.25
1К 43-46м2 - 2%
2К 55-58 - 2%; 58-64 - 3%
3К 76-79 - 2%
]]</f>
        <v>130176.41200000001</v>
      </c>
      <c r="AM79" s="149">
        <f>ROUND(Д402[[#This Row],[Фикс 23.07.25]],2)</f>
        <v>130176.41</v>
      </c>
      <c r="AN79" s="149">
        <f>ROUNDUP(Д402[[#This Row],[утв цена м2]]*Д402[[#This Row],[Расчетная проектная площадь]],-2)</f>
        <v>4769700</v>
      </c>
      <c r="AO79" s="151"/>
      <c r="AP79" s="152"/>
      <c r="AQ79" s="151">
        <f>Д402[[#This Row],[Стоимость до скидки]]*Д402[[#This Row],[Скидка %]]+Д402[[#This Row],[Скидка фиксированная]]</f>
        <v>0</v>
      </c>
      <c r="AR79" s="3">
        <f>Д402[[#This Row],[Стоимость ОН без отделки со скидкой]]/Д402[[#This Row],[Расчетная проектная площадь]]</f>
        <v>130177.40174672489</v>
      </c>
      <c r="AS79" s="3">
        <f>Д402[[#This Row],[Стоимость до скидки]]-Д402[[#This Row],[Итоговая сумма скидки]]</f>
        <v>4769700</v>
      </c>
      <c r="AT7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79" s="153"/>
      <c r="AV79" s="153"/>
      <c r="AW79" s="3">
        <f>Д402[[#This Row],[Цена м2 без отделки со скидкой]]+Д402[[#This Row],[Стоимость отделки]]</f>
        <v>130177.40174672489</v>
      </c>
      <c r="AX79" s="3">
        <f>Д402[[#This Row],[Стоимость квартиры с отделкой]]-Д402[[#This Row],[Стоимость ОН без отделки со скидкой]]</f>
        <v>0</v>
      </c>
      <c r="AY79" s="3">
        <f>Д402[[#This Row],[Цена м2 с отделкой]]*Д402[[#This Row],[Расчетная проектная площадь]]</f>
        <v>4769700</v>
      </c>
      <c r="AZ79" s="161"/>
      <c r="BA79" s="269" t="s">
        <v>426</v>
      </c>
      <c r="BB79" s="269" t="str" cm="1">
        <f t="array" ref="BB7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79" s="161" t="s">
        <v>741</v>
      </c>
      <c r="BD79" s="161" t="s">
        <v>506</v>
      </c>
      <c r="BE79" s="161" t="s">
        <v>737</v>
      </c>
      <c r="BF79" s="161" t="s">
        <v>745</v>
      </c>
      <c r="BG79" s="161" t="b">
        <f>EXACT(Д402[[#This Row],[Статусы CRM]],Д402[[#This Row],[Статус]])</f>
        <v>1</v>
      </c>
      <c r="BH79" s="3">
        <f>IF(Д402[[#This Row],[ПС]]=0,IF(Д402[[#This Row],[ДС]]=0,Д402[[#This Row],[ТС]],Д402[[#This Row],[ДС]]),Д402[[#This Row],[ПС]])</f>
        <v>4769700</v>
      </c>
      <c r="BI79" s="3" t="s">
        <v>749</v>
      </c>
      <c r="BJ79" s="3">
        <v>0</v>
      </c>
      <c r="BK79" s="3">
        <v>4769700</v>
      </c>
      <c r="BL79" s="273">
        <f>Д402[[#This Row],[Стоимость CRM]]-Д402[[#This Row],[Стоимость до скидки]]</f>
        <v>0</v>
      </c>
      <c r="BM79" s="161" t="s">
        <v>9</v>
      </c>
      <c r="BN79" s="161" t="b">
        <f>Д402[[#This Row],[Отделка CRM]]=Д402[[#This Row],[Отделка]]</f>
        <v>1</v>
      </c>
      <c r="BO79" s="275" t="s">
        <v>211</v>
      </c>
      <c r="BP79" s="69"/>
    </row>
    <row r="80" spans="1:68" ht="12" customHeight="1" x14ac:dyDescent="0.25">
      <c r="A80" s="140">
        <v>78</v>
      </c>
      <c r="B80" s="15">
        <v>1</v>
      </c>
      <c r="C80" s="141">
        <f t="shared" si="2"/>
        <v>14</v>
      </c>
      <c r="D80" s="142">
        <v>6</v>
      </c>
      <c r="E80" s="141">
        <v>1</v>
      </c>
      <c r="F80" s="143">
        <v>14.57</v>
      </c>
      <c r="G80" s="143"/>
      <c r="H80" s="143"/>
      <c r="I80" s="144">
        <f>SUM(Д402[[#This Row],[Комната 1]:[Комната 3]])</f>
        <v>14.57</v>
      </c>
      <c r="J80" s="145">
        <v>16.57</v>
      </c>
      <c r="K80" s="145">
        <v>4.46</v>
      </c>
      <c r="L80" s="145"/>
      <c r="M80" s="145">
        <v>7.75</v>
      </c>
      <c r="N80" s="145"/>
      <c r="O80" s="145">
        <v>3.1</v>
      </c>
      <c r="P80" s="146"/>
      <c r="Q80" s="146"/>
      <c r="R80" s="146">
        <f>SUM(Д402[[#This Row],[Лоджия 1]:[Лоджия 3]])</f>
        <v>3.1</v>
      </c>
      <c r="S80" s="10">
        <f>ROUND(SUM(Д402[[#This Row],[Площадь по проекту жилая]:[Лоджия 3]]),2)</f>
        <v>46.45</v>
      </c>
      <c r="T80" s="10">
        <f>ROUND(Д402[[#This Row],[Площадь по проекту(общая)]]-Д402[[#This Row],[Летние]],2)</f>
        <v>43.35</v>
      </c>
      <c r="U80" s="10">
        <f>ROUND(Д402[[#This Row],[Площадь по проекту(общая)]]-(SUM(Д402[[#This Row],[Лоджия 1]:[Лоджия 3]])/2),2)</f>
        <v>44.9</v>
      </c>
      <c r="V80" s="10">
        <f>VLOOKUP(Д402[[#This Row],[№]],наценка7[],COLUMN(наценка7[[#This Row],[Цена м2 с учетом всех K]]),0)</f>
        <v>120452.6</v>
      </c>
      <c r="W80" s="162"/>
      <c r="X80" s="10">
        <f>Д402[[#This Row],[м2 после К]]+Д402[[#This Row],[02.12.2024]]</f>
        <v>120452.6</v>
      </c>
      <c r="Y80" s="149">
        <v>1000</v>
      </c>
      <c r="Z80" s="10">
        <f>Д402[[#This Row],[Фикс 20.12.24]]+Д402[[#This Row],[23.12.24 СП +1000]]</f>
        <v>121452.6</v>
      </c>
      <c r="AA80" s="149">
        <v>215</v>
      </c>
      <c r="AB80" s="10">
        <f>Д402[[#This Row],[Фикс 23.12.24]]+Д402[[#This Row],[Повышение 20.02.25]]</f>
        <v>121667.6</v>
      </c>
      <c r="AC80" s="149">
        <v>17.5</v>
      </c>
      <c r="AD80" s="10">
        <f>Д402[[#This Row],[Фикс 20.02.25]]+Д402[[#This Row],[Повышение 24.02.2025]]</f>
        <v>121685.1</v>
      </c>
      <c r="AE80" s="149">
        <f>Д402[[#This Row],[Фикс 24.02.25]]*0.5%</f>
        <v>608.42550000000006</v>
      </c>
      <c r="AF80" s="10">
        <f>Д402[[#This Row],[Фикс 24.02.25]]+Д402[[#This Row],[Повышение 05.03.2025
1К: до 40м - 1,5%, 40+ 0,5%
2К - 0,5% ]]</f>
        <v>122293.5255</v>
      </c>
      <c r="AG80" s="149">
        <f>Д402[[#This Row],[Фикс 05.03.25]]*1%</f>
        <v>1222.9352550000001</v>
      </c>
      <c r="AH80" s="10">
        <f>Д402[[#This Row],[Фикс 05.03.25]]+Д402[[#This Row],[повышение 14.03.25 1К-1%]]</f>
        <v>123516.46075500001</v>
      </c>
      <c r="AI80" s="149">
        <f>Д402[[#This Row],[Фикс 14.03.25]]*1%</f>
        <v>1235.16460755</v>
      </c>
      <c r="AJ80" s="10">
        <f>Д402[[#This Row],[Фикс 14.03.25]]+Д402[[#This Row],[повышение 28.03.25 1К-1%]]</f>
        <v>124751.62536255001</v>
      </c>
      <c r="AK80" s="149">
        <f>Д402[[#This Row],[Фикс 28.03.25]]*2%</f>
        <v>2495.0325072510004</v>
      </c>
      <c r="AL80" s="10">
        <f>Д402[[#This Row],[Фикс 28.03.25]]+Д402[[#This Row],[Повышение 23.07.25
1К 43-46м2 - 2%
2К 55-58 - 2%; 58-64 - 3%
3К 76-79 - 2%
]]</f>
        <v>127246.65786980101</v>
      </c>
      <c r="AM80" s="149">
        <f>ROUND(Д402[[#This Row],[Фикс 23.07.25]],2)</f>
        <v>127246.66</v>
      </c>
      <c r="AN80" s="149">
        <f>ROUNDUP(Д402[[#This Row],[утв цена м2]]*Д402[[#This Row],[Расчетная проектная площадь]],-2)</f>
        <v>5713400</v>
      </c>
      <c r="AO80" s="151"/>
      <c r="AP80" s="152"/>
      <c r="AQ80" s="151">
        <f>Д402[[#This Row],[Стоимость до скидки]]*Д402[[#This Row],[Скидка %]]+Д402[[#This Row],[Скидка фиксированная]]</f>
        <v>0</v>
      </c>
      <c r="AR80" s="3">
        <f>Д402[[#This Row],[Стоимость ОН без отделки со скидкой]]/Д402[[#This Row],[Расчетная проектная площадь]]</f>
        <v>127247.21603563474</v>
      </c>
      <c r="AS80" s="3">
        <f>Д402[[#This Row],[Стоимость до скидки]]-Д402[[#This Row],[Итоговая сумма скидки]]</f>
        <v>5713400</v>
      </c>
      <c r="AT8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0" s="153"/>
      <c r="AV80" s="153"/>
      <c r="AW80" s="3">
        <f>Д402[[#This Row],[Цена м2 без отделки со скидкой]]+Д402[[#This Row],[Стоимость отделки]]</f>
        <v>127247.21603563474</v>
      </c>
      <c r="AX80" s="3">
        <f>Д402[[#This Row],[Стоимость квартиры с отделкой]]-Д402[[#This Row],[Стоимость ОН без отделки со скидкой]]</f>
        <v>0</v>
      </c>
      <c r="AY80" s="3">
        <f>Д402[[#This Row],[Цена м2 с отделкой]]*Д402[[#This Row],[Расчетная проектная площадь]]</f>
        <v>5713400</v>
      </c>
      <c r="AZ80" s="161"/>
      <c r="BA80" s="155" t="s">
        <v>12</v>
      </c>
      <c r="BB80" s="156" t="str" cm="1">
        <f t="array" ref="BB8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80" s="161" t="s">
        <v>738</v>
      </c>
      <c r="BD80" s="161" t="s">
        <v>739</v>
      </c>
      <c r="BE80" s="161" t="s">
        <v>737</v>
      </c>
      <c r="BF80" s="161" t="s">
        <v>745</v>
      </c>
      <c r="BG80" s="161" t="b">
        <f>EXACT(Д402[[#This Row],[Статусы CRM]],Д402[[#This Row],[Статус]])</f>
        <v>1</v>
      </c>
      <c r="BH80" s="3">
        <f>IF(Д402[[#This Row],[ПС]]=0,IF(Д402[[#This Row],[ДС]]=0,Д402[[#This Row],[ТС]],Д402[[#This Row],[ДС]]),Д402[[#This Row],[ПС]])</f>
        <v>5713400</v>
      </c>
      <c r="BI80" s="3">
        <v>5713400</v>
      </c>
      <c r="BJ80" s="3">
        <v>0</v>
      </c>
      <c r="BK80" s="3">
        <v>0</v>
      </c>
      <c r="BL80" s="273">
        <f>Д402[[#This Row],[Стоимость CRM]]-Д402[[#This Row],[Стоимость до скидки]]</f>
        <v>0</v>
      </c>
      <c r="BM80" s="161" t="s">
        <v>9</v>
      </c>
      <c r="BN80" s="161" t="b">
        <f>Д402[[#This Row],[Отделка CRM]]=Д402[[#This Row],[Отделка]]</f>
        <v>1</v>
      </c>
      <c r="BO80" s="275" t="s">
        <v>212</v>
      </c>
      <c r="BP80" s="69"/>
    </row>
    <row r="81" spans="1:68" ht="12" customHeight="1" x14ac:dyDescent="0.25">
      <c r="A81" s="140">
        <v>79</v>
      </c>
      <c r="B81" s="15">
        <v>1</v>
      </c>
      <c r="C81" s="141">
        <f t="shared" si="2"/>
        <v>15</v>
      </c>
      <c r="D81" s="142">
        <v>1</v>
      </c>
      <c r="E81" s="141">
        <v>0</v>
      </c>
      <c r="F81" s="143">
        <v>14.66</v>
      </c>
      <c r="G81" s="143"/>
      <c r="H81" s="143"/>
      <c r="I81" s="144">
        <f>SUM(Д402[[#This Row],[Комната 1]:[Комната 3]])</f>
        <v>14.66</v>
      </c>
      <c r="J81" s="145">
        <v>6.15</v>
      </c>
      <c r="K81" s="145">
        <v>4.7300000000000004</v>
      </c>
      <c r="L81" s="145"/>
      <c r="M81" s="145">
        <v>3.86</v>
      </c>
      <c r="N81" s="145"/>
      <c r="O81" s="145"/>
      <c r="P81" s="146"/>
      <c r="Q81" s="146"/>
      <c r="R81" s="146">
        <f>SUM(Д402[[#This Row],[Лоджия 1]:[Лоджия 3]])</f>
        <v>0</v>
      </c>
      <c r="S81" s="10">
        <f>ROUND(SUM(Д402[[#This Row],[Площадь по проекту жилая]:[Лоджия 3]]),2)</f>
        <v>29.4</v>
      </c>
      <c r="T81" s="10">
        <f>ROUND(Д402[[#This Row],[Площадь по проекту(общая)]]-Д402[[#This Row],[Летние]],2)</f>
        <v>29.4</v>
      </c>
      <c r="U81" s="10">
        <f>ROUND(Д402[[#This Row],[Площадь по проекту(общая)]]-(SUM(Д402[[#This Row],[Лоджия 1]:[Лоджия 3]])/2),2)</f>
        <v>29.4</v>
      </c>
      <c r="V81" s="10">
        <f>VLOOKUP(Д402[[#This Row],[№]],наценка7[],COLUMN(наценка7[[#This Row],[Цена м2 с учетом всех K]]),0)</f>
        <v>139730</v>
      </c>
      <c r="W81" s="159">
        <v>200</v>
      </c>
      <c r="X81" s="10">
        <f>Д402[[#This Row],[м2 после К]]+Д402[[#This Row],[02.12.2024]]</f>
        <v>139930</v>
      </c>
      <c r="Y81" s="149">
        <v>1000</v>
      </c>
      <c r="Z81" s="10">
        <f>Д402[[#This Row],[Фикс 20.12.24]]+Д402[[#This Row],[23.12.24 СП +1000]]</f>
        <v>140930</v>
      </c>
      <c r="AA81" s="10"/>
      <c r="AB81" s="10">
        <f>Д402[[#This Row],[Фикс 23.12.24]]+Д402[[#This Row],[Повышение 20.02.25]]</f>
        <v>140930</v>
      </c>
      <c r="AC81" s="10"/>
      <c r="AD81" s="10">
        <f>Д402[[#This Row],[Фикс 20.02.25]]+Д402[[#This Row],[Повышение 24.02.2025]]</f>
        <v>140930</v>
      </c>
      <c r="AE81" s="10"/>
      <c r="AF81" s="10">
        <f>Д402[[#This Row],[Фикс 24.02.25]]+Д402[[#This Row],[Повышение 05.03.2025
1К: до 40м - 1,5%, 40+ 0,5%
2К - 0,5% ]]</f>
        <v>140930</v>
      </c>
      <c r="AG81" s="10"/>
      <c r="AH81" s="10">
        <f>Д402[[#This Row],[Фикс 05.03.25]]+Д402[[#This Row],[повышение 14.03.25 1К-1%]]</f>
        <v>140930</v>
      </c>
      <c r="AI81" s="10"/>
      <c r="AJ81" s="10">
        <f>Д402[[#This Row],[Фикс 14.03.25]]+Д402[[#This Row],[повышение 28.03.25 1К-1%]]</f>
        <v>140930</v>
      </c>
      <c r="AK81" s="10"/>
      <c r="AL81" s="10">
        <f>Д402[[#This Row],[Фикс 28.03.25]]+Д402[[#This Row],[Повышение 23.07.25
1К 43-46м2 - 2%
2К 55-58 - 2%; 58-64 - 3%
3К 76-79 - 2%
]]</f>
        <v>140930</v>
      </c>
      <c r="AM81" s="149">
        <f>ROUND(Д402[[#This Row],[Фикс 23.07.25]],2)</f>
        <v>140930</v>
      </c>
      <c r="AN81" s="149">
        <f>ROUNDUP(Д402[[#This Row],[утв цена м2]]*Д402[[#This Row],[Расчетная проектная площадь]],-2)</f>
        <v>4143400</v>
      </c>
      <c r="AO81" s="151"/>
      <c r="AP81" s="152">
        <v>0.02</v>
      </c>
      <c r="AQ81" s="151">
        <f>Д402[[#This Row],[Стоимость до скидки]]*Д402[[#This Row],[Скидка %]]+Д402[[#This Row],[Скидка фиксированная]]</f>
        <v>82868</v>
      </c>
      <c r="AR81" s="3">
        <f>Д402[[#This Row],[Стоимость ОН без отделки со скидкой]]/Д402[[#This Row],[Расчетная проектная площадь]]</f>
        <v>138113.33333333334</v>
      </c>
      <c r="AS81" s="3">
        <f>Д402[[#This Row],[Стоимость до скидки]]-Д402[[#This Row],[Итоговая сумма скидки]]</f>
        <v>4060532</v>
      </c>
      <c r="AT8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1" s="153"/>
      <c r="AV81" s="153"/>
      <c r="AW81" s="3">
        <f>Д402[[#This Row],[Цена м2 без отделки со скидкой]]+Д402[[#This Row],[Стоимость отделки]]</f>
        <v>138113.33333333334</v>
      </c>
      <c r="AX81" s="3">
        <f>Д402[[#This Row],[Стоимость квартиры с отделкой]]-Д402[[#This Row],[Стоимость ОН без отделки со скидкой]]</f>
        <v>0</v>
      </c>
      <c r="AY81" s="3">
        <f>Д402[[#This Row],[Цена м2 с отделкой]]*Д402[[#This Row],[Расчетная проектная площадь]]</f>
        <v>4060532</v>
      </c>
      <c r="AZ81" s="161" t="s">
        <v>437</v>
      </c>
      <c r="BA81" s="277" t="s">
        <v>426</v>
      </c>
      <c r="BB81" s="269" t="str" cm="1">
        <f t="array" ref="BB8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81" s="161" t="s">
        <v>741</v>
      </c>
      <c r="BD81" s="161" t="s">
        <v>506</v>
      </c>
      <c r="BE81" s="161" t="s">
        <v>737</v>
      </c>
      <c r="BF81" s="161" t="s">
        <v>743</v>
      </c>
      <c r="BG81" s="161" t="b">
        <f>EXACT(Д402[[#This Row],[Статусы CRM]],Д402[[#This Row],[Статус]])</f>
        <v>1</v>
      </c>
      <c r="BH81" s="3">
        <f>IF(Д402[[#This Row],[ПС]]=0,IF(Д402[[#This Row],[ДС]]=0,Д402[[#This Row],[ТС]],Д402[[#This Row],[ДС]]),Д402[[#This Row],[ПС]])</f>
        <v>4143400</v>
      </c>
      <c r="BI81" s="3" t="s">
        <v>749</v>
      </c>
      <c r="BJ81" s="3">
        <v>0</v>
      </c>
      <c r="BK81" s="3">
        <v>4143400</v>
      </c>
      <c r="BL81" s="273">
        <f>Д402[[#This Row],[Стоимость CRM]]-Д402[[#This Row],[Стоимость до скидки]]</f>
        <v>0</v>
      </c>
      <c r="BM81" s="161" t="s">
        <v>9</v>
      </c>
      <c r="BN81" s="161" t="b">
        <f>Д402[[#This Row],[Отделка CRM]]=Д402[[#This Row],[Отделка]]</f>
        <v>1</v>
      </c>
      <c r="BO81" s="275" t="s">
        <v>213</v>
      </c>
      <c r="BP81" s="69"/>
    </row>
    <row r="82" spans="1:68" ht="12" customHeight="1" x14ac:dyDescent="0.25">
      <c r="A82" s="140">
        <v>80</v>
      </c>
      <c r="B82" s="15">
        <v>1</v>
      </c>
      <c r="C82" s="141">
        <f t="shared" si="2"/>
        <v>15</v>
      </c>
      <c r="D82" s="142">
        <v>2</v>
      </c>
      <c r="E82" s="141">
        <v>2</v>
      </c>
      <c r="F82" s="143">
        <v>16.100000000000001</v>
      </c>
      <c r="G82" s="143">
        <v>10.8</v>
      </c>
      <c r="H82" s="143"/>
      <c r="I82" s="144">
        <f>SUM(Д402[[#This Row],[Комната 1]:[Комната 3]])</f>
        <v>26.900000000000002</v>
      </c>
      <c r="J82" s="145">
        <v>17.32</v>
      </c>
      <c r="K82" s="145">
        <v>4.25</v>
      </c>
      <c r="L82" s="145"/>
      <c r="M82" s="145">
        <v>9.68</v>
      </c>
      <c r="N82" s="145"/>
      <c r="O82" s="145">
        <v>3.15</v>
      </c>
      <c r="P82" s="146"/>
      <c r="Q82" s="146"/>
      <c r="R82" s="146">
        <f>SUM(Д402[[#This Row],[Лоджия 1]:[Лоджия 3]])</f>
        <v>3.15</v>
      </c>
      <c r="S82" s="10">
        <f>ROUND(SUM(Д402[[#This Row],[Площадь по проекту жилая]:[Лоджия 3]]),2)</f>
        <v>61.3</v>
      </c>
      <c r="T82" s="10">
        <f>ROUND(Д402[[#This Row],[Площадь по проекту(общая)]]-Д402[[#This Row],[Летние]],2)</f>
        <v>58.15</v>
      </c>
      <c r="U82" s="10">
        <f>ROUND(Д402[[#This Row],[Площадь по проекту(общая)]]-(SUM(Д402[[#This Row],[Лоджия 1]:[Лоджия 3]])/2),2)</f>
        <v>59.73</v>
      </c>
      <c r="V82" s="10">
        <f>VLOOKUP(Д402[[#This Row],[№]],наценка7[],COLUMN(наценка7[[#This Row],[Цена м2 с учетом всех K]]),0)</f>
        <v>119811.8</v>
      </c>
      <c r="W82" s="162"/>
      <c r="X82" s="10">
        <f>Д402[[#This Row],[м2 после К]]+Д402[[#This Row],[02.12.2024]]</f>
        <v>119811.8</v>
      </c>
      <c r="Y82" s="149">
        <v>1000</v>
      </c>
      <c r="Z82" s="10">
        <f>Д402[[#This Row],[Фикс 20.12.24]]+Д402[[#This Row],[23.12.24 СП +1000]]</f>
        <v>120811.8</v>
      </c>
      <c r="AA82" s="149">
        <v>215</v>
      </c>
      <c r="AB82" s="10">
        <f>Д402[[#This Row],[Фикс 23.12.24]]+Д402[[#This Row],[Повышение 20.02.25]]</f>
        <v>121026.8</v>
      </c>
      <c r="AC82" s="149">
        <v>17.5</v>
      </c>
      <c r="AD82" s="10">
        <f>Д402[[#This Row],[Фикс 20.02.25]]+Д402[[#This Row],[Повышение 24.02.2025]]</f>
        <v>121044.3</v>
      </c>
      <c r="AE82" s="149">
        <f>Д402[[#This Row],[Фикс 24.02.25]]*0.5%</f>
        <v>605.22149999999999</v>
      </c>
      <c r="AF82" s="10">
        <f>Д402[[#This Row],[Фикс 24.02.25]]+Д402[[#This Row],[Повышение 05.03.2025
1К: до 40м - 1,5%, 40+ 0,5%
2К - 0,5% ]]</f>
        <v>121649.5215</v>
      </c>
      <c r="AG82" s="10"/>
      <c r="AH82" s="10">
        <f>Д402[[#This Row],[Фикс 05.03.25]]+Д402[[#This Row],[повышение 14.03.25 1К-1%]]</f>
        <v>121649.5215</v>
      </c>
      <c r="AI82" s="10"/>
      <c r="AJ82" s="10">
        <f>Д402[[#This Row],[Фикс 14.03.25]]+Д402[[#This Row],[повышение 28.03.25 1К-1%]]</f>
        <v>121649.5215</v>
      </c>
      <c r="AK82" s="10">
        <f>Д402[[#This Row],[Фикс 28.03.25]]*3%</f>
        <v>3649.4856449999997</v>
      </c>
      <c r="AL82" s="10">
        <f>Д402[[#This Row],[Фикс 28.03.25]]+Д402[[#This Row],[Повышение 23.07.25
1К 43-46м2 - 2%
2К 55-58 - 2%; 58-64 - 3%
3К 76-79 - 2%
]]</f>
        <v>125299.007145</v>
      </c>
      <c r="AM82" s="149">
        <f>ROUND(Д402[[#This Row],[Фикс 23.07.25]],2)</f>
        <v>125299.01</v>
      </c>
      <c r="AN82" s="149">
        <f>ROUNDUP(Д402[[#This Row],[утв цена м2]]*Д402[[#This Row],[Расчетная проектная площадь]],-2)</f>
        <v>7484200</v>
      </c>
      <c r="AO82" s="151"/>
      <c r="AP82" s="152"/>
      <c r="AQ82" s="151">
        <f>Д402[[#This Row],[Стоимость до скидки]]*Д402[[#This Row],[Скидка %]]+Д402[[#This Row],[Скидка фиксированная]]</f>
        <v>0</v>
      </c>
      <c r="AR82" s="3">
        <f>Д402[[#This Row],[Стоимость ОН без отделки со скидкой]]/Д402[[#This Row],[Расчетная проектная площадь]]</f>
        <v>125300.51900217647</v>
      </c>
      <c r="AS82" s="3">
        <f>Д402[[#This Row],[Стоимость до скидки]]-Д402[[#This Row],[Итоговая сумма скидки]]</f>
        <v>7484200</v>
      </c>
      <c r="AT8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2" s="153"/>
      <c r="AV82" s="153"/>
      <c r="AW82" s="3">
        <f>Д402[[#This Row],[Цена м2 без отделки со скидкой]]+Д402[[#This Row],[Стоимость отделки]]</f>
        <v>125300.51900217647</v>
      </c>
      <c r="AX82" s="3">
        <f>Д402[[#This Row],[Стоимость квартиры с отделкой]]-Д402[[#This Row],[Стоимость ОН без отделки со скидкой]]</f>
        <v>0</v>
      </c>
      <c r="AY82" s="3">
        <f>Д402[[#This Row],[Цена м2 с отделкой]]*Д402[[#This Row],[Расчетная проектная площадь]]</f>
        <v>7484200</v>
      </c>
      <c r="AZ82" s="161"/>
      <c r="BA82" s="269" t="s">
        <v>128</v>
      </c>
      <c r="BB82" s="156" t="str" cm="1">
        <f t="array" ref="BB8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82" s="161" t="s">
        <v>740</v>
      </c>
      <c r="BD82" s="161" t="s">
        <v>506</v>
      </c>
      <c r="BE82" s="161" t="s">
        <v>737</v>
      </c>
      <c r="BF82" s="161" t="s">
        <v>744</v>
      </c>
      <c r="BG82" s="161" t="b">
        <f>EXACT(Д402[[#This Row],[Статусы CRM]],Д402[[#This Row],[Статус]])</f>
        <v>1</v>
      </c>
      <c r="BH82" s="3">
        <f>IF(Д402[[#This Row],[ПС]]=0,IF(Д402[[#This Row],[ДС]]=0,Д402[[#This Row],[ТС]],Д402[[#This Row],[ДС]]),Д402[[#This Row],[ПС]])</f>
        <v>7484200</v>
      </c>
      <c r="BI82" s="3">
        <v>7484200</v>
      </c>
      <c r="BJ82" s="3">
        <v>0</v>
      </c>
      <c r="BK82" s="3">
        <v>0</v>
      </c>
      <c r="BL82" s="273">
        <f>Д402[[#This Row],[Стоимость CRM]]-Д402[[#This Row],[Стоимость до скидки]]</f>
        <v>0</v>
      </c>
      <c r="BM82" s="161" t="s">
        <v>9</v>
      </c>
      <c r="BN82" s="161" t="b">
        <f>Д402[[#This Row],[Отделка CRM]]=Д402[[#This Row],[Отделка]]</f>
        <v>1</v>
      </c>
      <c r="BO82" s="275" t="s">
        <v>214</v>
      </c>
      <c r="BP82" s="69"/>
    </row>
    <row r="83" spans="1:68" ht="12" customHeight="1" x14ac:dyDescent="0.25">
      <c r="A83" s="140">
        <v>81</v>
      </c>
      <c r="B83" s="15">
        <v>1</v>
      </c>
      <c r="C83" s="141">
        <f t="shared" si="2"/>
        <v>15</v>
      </c>
      <c r="D83" s="142">
        <v>3</v>
      </c>
      <c r="E83" s="141">
        <v>2</v>
      </c>
      <c r="F83" s="143">
        <v>16.41</v>
      </c>
      <c r="G83" s="143">
        <v>12.19</v>
      </c>
      <c r="H83" s="143"/>
      <c r="I83" s="144">
        <f>SUM(Д402[[#This Row],[Комната 1]:[Комната 3]])</f>
        <v>28.6</v>
      </c>
      <c r="J83" s="145">
        <v>14.24</v>
      </c>
      <c r="K83" s="145">
        <v>3.86</v>
      </c>
      <c r="L83" s="145"/>
      <c r="M83" s="145">
        <v>6.1</v>
      </c>
      <c r="N83" s="145"/>
      <c r="O83" s="145">
        <v>3.33</v>
      </c>
      <c r="P83" s="146"/>
      <c r="Q83" s="146"/>
      <c r="R83" s="146">
        <f>SUM(Д402[[#This Row],[Лоджия 1]:[Лоджия 3]])</f>
        <v>3.33</v>
      </c>
      <c r="S83" s="149">
        <f>ROUND(SUM(Д402[[#This Row],[Площадь по проекту жилая]:[Лоджия 3]]),2)</f>
        <v>56.13</v>
      </c>
      <c r="T83" s="149">
        <f>ROUND(Д402[[#This Row],[Площадь по проекту(общая)]]-Д402[[#This Row],[Летние]],2)</f>
        <v>52.8</v>
      </c>
      <c r="U83" s="149">
        <f>ROUND(Д402[[#This Row],[Площадь по проекту(общая)]]-(SUM(Д402[[#This Row],[Лоджия 1]:[Лоджия 3]])/2),2)</f>
        <v>54.47</v>
      </c>
      <c r="V83" s="149">
        <f>VLOOKUP(Д402[[#This Row],[№]],наценка7[],COLUMN(наценка7[[#This Row],[Цена м2 с учетом всех K]]),0)</f>
        <v>118681.5</v>
      </c>
      <c r="W83" s="159"/>
      <c r="X83" s="149">
        <f>Д402[[#This Row],[м2 после К]]+Д402[[#This Row],[02.12.2024]]</f>
        <v>118681.5</v>
      </c>
      <c r="Y83" s="149">
        <v>1000</v>
      </c>
      <c r="Z83" s="149">
        <f>Д402[[#This Row],[Фикс 20.12.24]]+Д402[[#This Row],[23.12.24 СП +1000]]</f>
        <v>119681.5</v>
      </c>
      <c r="AA83" s="149">
        <v>215</v>
      </c>
      <c r="AB83" s="149">
        <f>Д402[[#This Row],[Фикс 23.12.24]]+Д402[[#This Row],[Повышение 20.02.25]]</f>
        <v>119896.5</v>
      </c>
      <c r="AC83" s="149">
        <v>17.5</v>
      </c>
      <c r="AD83" s="149">
        <f>Д402[[#This Row],[Фикс 20.02.25]]+Д402[[#This Row],[Повышение 24.02.2025]]</f>
        <v>119914</v>
      </c>
      <c r="AE83" s="149">
        <f>Д402[[#This Row],[Фикс 24.02.25]]*0.5%</f>
        <v>599.57000000000005</v>
      </c>
      <c r="AF83" s="149">
        <f>Д402[[#This Row],[Фикс 24.02.25]]+Д402[[#This Row],[Повышение 05.03.2025
1К: до 40м - 1,5%, 40+ 0,5%
2К - 0,5% ]]</f>
        <v>120513.57</v>
      </c>
      <c r="AG83" s="149"/>
      <c r="AH83" s="149">
        <f>Д402[[#This Row],[Фикс 05.03.25]]+Д402[[#This Row],[повышение 14.03.25 1К-1%]]</f>
        <v>120513.57</v>
      </c>
      <c r="AI83" s="149"/>
      <c r="AJ83" s="149">
        <f>Д402[[#This Row],[Фикс 14.03.25]]+Д402[[#This Row],[повышение 28.03.25 1К-1%]]</f>
        <v>120513.57</v>
      </c>
      <c r="AK83" s="149"/>
      <c r="AL83" s="149">
        <f>Д402[[#This Row],[Фикс 28.03.25]]+Д402[[#This Row],[Повышение 23.07.25
1К 43-46м2 - 2%
2К 55-58 - 2%; 58-64 - 3%
3К 76-79 - 2%
]]</f>
        <v>120513.57</v>
      </c>
      <c r="AM83" s="149">
        <f>ROUND(Д402[[#This Row],[Фикс 23.07.25]],2)</f>
        <v>120513.57</v>
      </c>
      <c r="AN83" s="149">
        <f>ROUNDUP(Д402[[#This Row],[утв цена м2]]*Д402[[#This Row],[Расчетная проектная площадь]],-2)</f>
        <v>6564400</v>
      </c>
      <c r="AO83" s="151"/>
      <c r="AP83" s="152"/>
      <c r="AQ83" s="151">
        <f>Д402[[#This Row],[Стоимость до скидки]]*Д402[[#This Row],[Скидка %]]+Д402[[#This Row],[Скидка фиксированная]]</f>
        <v>0</v>
      </c>
      <c r="AR83" s="3">
        <f>Д402[[#This Row],[Стоимость ОН без отделки со скидкой]]/Д402[[#This Row],[Расчетная проектная площадь]]</f>
        <v>120514.04442812558</v>
      </c>
      <c r="AS83" s="3">
        <f>Д402[[#This Row],[Стоимость до скидки]]-Д402[[#This Row],[Итоговая сумма скидки]]</f>
        <v>6564400</v>
      </c>
      <c r="AT8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83" s="153">
        <v>30000</v>
      </c>
      <c r="AV83" s="153" t="s">
        <v>722</v>
      </c>
      <c r="AW83" s="3">
        <f>Д402[[#This Row],[Цена м2 без отделки со скидкой]]+Д402[[#This Row],[Стоимость отделки]]</f>
        <v>150514.04442812558</v>
      </c>
      <c r="AX83" s="3">
        <f>Д402[[#This Row],[Стоимость квартиры с отделкой]]-Д402[[#This Row],[Стоимость ОН без отделки со скидкой]]</f>
        <v>1634100</v>
      </c>
      <c r="AY83" s="3">
        <f>Д402[[#This Row],[Цена м2 с отделкой]]*Д402[[#This Row],[Расчетная проектная площадь]]</f>
        <v>8198500</v>
      </c>
      <c r="AZ83" s="161"/>
      <c r="BA83" s="155" t="s">
        <v>12</v>
      </c>
      <c r="BB83" s="156" t="str" cm="1">
        <f t="array" ref="BB8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83" s="161" t="s">
        <v>738</v>
      </c>
      <c r="BD83" s="161" t="s">
        <v>739</v>
      </c>
      <c r="BE83" s="161" t="s">
        <v>737</v>
      </c>
      <c r="BF83" s="161" t="s">
        <v>744</v>
      </c>
      <c r="BG83" s="161" t="b">
        <f>EXACT(Д402[[#This Row],[Статусы CRM]],Д402[[#This Row],[Статус]])</f>
        <v>1</v>
      </c>
      <c r="BH83" s="3">
        <f>IF(Д402[[#This Row],[ПС]]=0,IF(Д402[[#This Row],[ДС]]=0,Д402[[#This Row],[ТС]],Д402[[#This Row],[ДС]]),Д402[[#This Row],[ПС]])</f>
        <v>6564400</v>
      </c>
      <c r="BI83" s="3">
        <v>6564400</v>
      </c>
      <c r="BJ83" s="3">
        <v>0</v>
      </c>
      <c r="BK83" s="3">
        <v>0</v>
      </c>
      <c r="BL83" s="273">
        <f>Д402[[#This Row],[Стоимость CRM]]-Д402[[#This Row],[Стоимость до скидки]]</f>
        <v>0</v>
      </c>
      <c r="BM83" s="161" t="s">
        <v>11</v>
      </c>
      <c r="BN83" s="161" t="b">
        <f>Д402[[#This Row],[Отделка CRM]]=Д402[[#This Row],[Отделка]]</f>
        <v>1</v>
      </c>
      <c r="BO83" s="275" t="s">
        <v>215</v>
      </c>
      <c r="BP83" s="69"/>
    </row>
    <row r="84" spans="1:68" ht="12" customHeight="1" x14ac:dyDescent="0.25">
      <c r="A84" s="140">
        <v>82</v>
      </c>
      <c r="B84" s="15">
        <v>1</v>
      </c>
      <c r="C84" s="141">
        <f t="shared" si="2"/>
        <v>15</v>
      </c>
      <c r="D84" s="142">
        <v>4</v>
      </c>
      <c r="E84" s="141">
        <v>2</v>
      </c>
      <c r="F84" s="143">
        <v>14.98</v>
      </c>
      <c r="G84" s="143">
        <v>12.28</v>
      </c>
      <c r="H84" s="143"/>
      <c r="I84" s="144">
        <f>SUM(Д402[[#This Row],[Комната 1]:[Комната 3]])</f>
        <v>27.259999999999998</v>
      </c>
      <c r="J84" s="145">
        <v>14.78</v>
      </c>
      <c r="K84" s="145">
        <v>4.4400000000000004</v>
      </c>
      <c r="L84" s="145"/>
      <c r="M84" s="145">
        <v>6.25</v>
      </c>
      <c r="N84" s="145"/>
      <c r="O84" s="145">
        <v>3.33</v>
      </c>
      <c r="P84" s="146"/>
      <c r="Q84" s="146"/>
      <c r="R84" s="146">
        <f>SUM(Д402[[#This Row],[Лоджия 1]:[Лоджия 3]])</f>
        <v>3.33</v>
      </c>
      <c r="S84" s="149">
        <f>ROUND(SUM(Д402[[#This Row],[Площадь по проекту жилая]:[Лоджия 3]]),2)</f>
        <v>56.06</v>
      </c>
      <c r="T84" s="149">
        <f>ROUND(Д402[[#This Row],[Площадь по проекту(общая)]]-Д402[[#This Row],[Летние]],2)</f>
        <v>52.73</v>
      </c>
      <c r="U84" s="149">
        <f>ROUND(Д402[[#This Row],[Площадь по проекту(общая)]]-(SUM(Д402[[#This Row],[Лоджия 1]:[Лоджия 3]])/2),2)</f>
        <v>54.4</v>
      </c>
      <c r="V84" s="149">
        <f>VLOOKUP(Д402[[#This Row],[№]],наценка7[],COLUMN(наценка7[[#This Row],[Цена м2 с учетом всех K]]),0)</f>
        <v>120942.1</v>
      </c>
      <c r="W84" s="159"/>
      <c r="X84" s="149">
        <f>Д402[[#This Row],[м2 после К]]+Д402[[#This Row],[02.12.2024]]</f>
        <v>120942.1</v>
      </c>
      <c r="Y84" s="149">
        <v>1000</v>
      </c>
      <c r="Z84" s="149">
        <f>Д402[[#This Row],[Фикс 20.12.24]]+Д402[[#This Row],[23.12.24 СП +1000]]</f>
        <v>121942.1</v>
      </c>
      <c r="AA84" s="149">
        <v>215</v>
      </c>
      <c r="AB84" s="149">
        <f>Д402[[#This Row],[Фикс 23.12.24]]+Д402[[#This Row],[Повышение 20.02.25]]</f>
        <v>122157.1</v>
      </c>
      <c r="AC84" s="149">
        <v>17.5</v>
      </c>
      <c r="AD84" s="149">
        <f>Д402[[#This Row],[Фикс 20.02.25]]+Д402[[#This Row],[Повышение 24.02.2025]]</f>
        <v>122174.6</v>
      </c>
      <c r="AE84" s="149">
        <f>Д402[[#This Row],[Фикс 24.02.25]]*0.5%</f>
        <v>610.87300000000005</v>
      </c>
      <c r="AF84" s="149">
        <f>Д402[[#This Row],[Фикс 24.02.25]]+Д402[[#This Row],[Повышение 05.03.2025
1К: до 40м - 1,5%, 40+ 0,5%
2К - 0,5% ]]</f>
        <v>122785.47300000001</v>
      </c>
      <c r="AG84" s="149"/>
      <c r="AH84" s="149">
        <f>Д402[[#This Row],[Фикс 05.03.25]]+Д402[[#This Row],[повышение 14.03.25 1К-1%]]</f>
        <v>122785.47300000001</v>
      </c>
      <c r="AI84" s="149"/>
      <c r="AJ84" s="149">
        <f>Д402[[#This Row],[Фикс 14.03.25]]+Д402[[#This Row],[повышение 28.03.25 1К-1%]]</f>
        <v>122785.47300000001</v>
      </c>
      <c r="AK84" s="149"/>
      <c r="AL84" s="149">
        <f>Д402[[#This Row],[Фикс 28.03.25]]+Д402[[#This Row],[Повышение 23.07.25
1К 43-46м2 - 2%
2К 55-58 - 2%; 58-64 - 3%
3К 76-79 - 2%
]]</f>
        <v>122785.47300000001</v>
      </c>
      <c r="AM84" s="149">
        <f>ROUND(Д402[[#This Row],[Фикс 23.07.25]],2)</f>
        <v>122785.47</v>
      </c>
      <c r="AN84" s="149">
        <f>ROUNDUP(Д402[[#This Row],[утв цена м2]]*Д402[[#This Row],[Расчетная проектная площадь]],-2)</f>
        <v>6679600</v>
      </c>
      <c r="AO84" s="151"/>
      <c r="AP84" s="152"/>
      <c r="AQ84" s="151">
        <f>Д402[[#This Row],[Стоимость до скидки]]*Д402[[#This Row],[Скидка %]]+Д402[[#This Row],[Скидка фиксированная]]</f>
        <v>0</v>
      </c>
      <c r="AR84" s="3">
        <f>Д402[[#This Row],[Стоимость ОН без отделки со скидкой]]/Д402[[#This Row],[Расчетная проектная площадь]]</f>
        <v>122786.76470588235</v>
      </c>
      <c r="AS84" s="3">
        <f>Д402[[#This Row],[Стоимость до скидки]]-Д402[[#This Row],[Итоговая сумма скидки]]</f>
        <v>6679600</v>
      </c>
      <c r="AT8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4" s="153"/>
      <c r="AV84" s="153"/>
      <c r="AW84" s="3">
        <f>Д402[[#This Row],[Цена м2 без отделки со скидкой]]+Д402[[#This Row],[Стоимость отделки]]</f>
        <v>122786.76470588235</v>
      </c>
      <c r="AX84" s="3">
        <f>Д402[[#This Row],[Стоимость квартиры с отделкой]]-Д402[[#This Row],[Стоимость ОН без отделки со скидкой]]</f>
        <v>0</v>
      </c>
      <c r="AY84" s="3">
        <f>Д402[[#This Row],[Цена м2 с отделкой]]*Д402[[#This Row],[Расчетная проектная площадь]]</f>
        <v>6679600</v>
      </c>
      <c r="AZ84" s="161"/>
      <c r="BA84" s="155" t="s">
        <v>12</v>
      </c>
      <c r="BB84" s="156" t="str" cm="1">
        <f t="array" ref="BB8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84" s="161" t="s">
        <v>738</v>
      </c>
      <c r="BD84" s="161" t="s">
        <v>739</v>
      </c>
      <c r="BE84" s="161" t="s">
        <v>737</v>
      </c>
      <c r="BF84" s="161" t="s">
        <v>744</v>
      </c>
      <c r="BG84" s="161" t="b">
        <f>EXACT(Д402[[#This Row],[Статусы CRM]],Д402[[#This Row],[Статус]])</f>
        <v>1</v>
      </c>
      <c r="BH84" s="3">
        <f>IF(Д402[[#This Row],[ПС]]=0,IF(Д402[[#This Row],[ДС]]=0,Д402[[#This Row],[ТС]],Д402[[#This Row],[ДС]]),Д402[[#This Row],[ПС]])</f>
        <v>6679600</v>
      </c>
      <c r="BI84" s="3">
        <v>6679600</v>
      </c>
      <c r="BJ84" s="3">
        <v>0</v>
      </c>
      <c r="BK84" s="3">
        <v>0</v>
      </c>
      <c r="BL84" s="273">
        <f>Д402[[#This Row],[Стоимость CRM]]-Д402[[#This Row],[Стоимость до скидки]]</f>
        <v>0</v>
      </c>
      <c r="BM84" s="161" t="s">
        <v>9</v>
      </c>
      <c r="BN84" s="161" t="b">
        <f>Д402[[#This Row],[Отделка CRM]]=Д402[[#This Row],[Отделка]]</f>
        <v>1</v>
      </c>
      <c r="BO84" s="275" t="s">
        <v>216</v>
      </c>
      <c r="BP84" s="69"/>
    </row>
    <row r="85" spans="1:68" ht="12" customHeight="1" x14ac:dyDescent="0.25">
      <c r="A85" s="140">
        <v>83</v>
      </c>
      <c r="B85" s="15">
        <v>1</v>
      </c>
      <c r="C85" s="141">
        <f t="shared" si="2"/>
        <v>15</v>
      </c>
      <c r="D85" s="142">
        <v>5</v>
      </c>
      <c r="E85" s="141">
        <v>1</v>
      </c>
      <c r="F85" s="143">
        <v>13.06</v>
      </c>
      <c r="G85" s="143"/>
      <c r="H85" s="143"/>
      <c r="I85" s="144">
        <f>SUM(Д402[[#This Row],[Комната 1]:[Комната 3]])</f>
        <v>13.06</v>
      </c>
      <c r="J85" s="145">
        <v>14.73</v>
      </c>
      <c r="K85" s="145">
        <v>4.4400000000000004</v>
      </c>
      <c r="L85" s="145"/>
      <c r="M85" s="145">
        <v>2.9</v>
      </c>
      <c r="N85" s="145"/>
      <c r="O85" s="145">
        <v>3.02</v>
      </c>
      <c r="P85" s="146"/>
      <c r="Q85" s="146"/>
      <c r="R85" s="146">
        <f>SUM(Д402[[#This Row],[Лоджия 1]:[Лоджия 3]])</f>
        <v>3.02</v>
      </c>
      <c r="S85" s="10">
        <f>ROUND(SUM(Д402[[#This Row],[Площадь по проекту жилая]:[Лоджия 3]]),2)</f>
        <v>38.15</v>
      </c>
      <c r="T85" s="10">
        <f>ROUND(Д402[[#This Row],[Площадь по проекту(общая)]]-Д402[[#This Row],[Летние]],2)</f>
        <v>35.130000000000003</v>
      </c>
      <c r="U85" s="10">
        <f>ROUND(Д402[[#This Row],[Площадь по проекту(общая)]]-(SUM(Д402[[#This Row],[Лоджия 1]:[Лоджия 3]])/2),2)</f>
        <v>36.64</v>
      </c>
      <c r="V85" s="10">
        <f>VLOOKUP(Д402[[#This Row],[№]],наценка7[],COLUMN(наценка7[[#This Row],[Цена м2 с учетом всех K]]),0)</f>
        <v>126415.6</v>
      </c>
      <c r="W85" s="159">
        <f>2%*Д402[[#This Row],[м2 после К]]</f>
        <v>2528.3120000000004</v>
      </c>
      <c r="X85" s="10">
        <f>Д402[[#This Row],[м2 после К]]+Д402[[#This Row],[02.12.2024]]</f>
        <v>128943.91200000001</v>
      </c>
      <c r="Y85" s="149">
        <v>1000</v>
      </c>
      <c r="Z85" s="10">
        <f>Д402[[#This Row],[Фикс 20.12.24]]+Д402[[#This Row],[23.12.24 СП +1000]]</f>
        <v>129943.91200000001</v>
      </c>
      <c r="AA85" s="149">
        <v>215</v>
      </c>
      <c r="AB85" s="10">
        <f>Д402[[#This Row],[Фикс 23.12.24]]+Д402[[#This Row],[Повышение 20.02.25]]</f>
        <v>130158.91200000001</v>
      </c>
      <c r="AC85" s="10"/>
      <c r="AD85" s="10">
        <f>Д402[[#This Row],[Фикс 20.02.25]]+Д402[[#This Row],[Повышение 24.02.2025]]</f>
        <v>130158.91200000001</v>
      </c>
      <c r="AE85" s="10"/>
      <c r="AF85" s="10">
        <f>Д402[[#This Row],[Фикс 24.02.25]]+Д402[[#This Row],[Повышение 05.03.2025
1К: до 40м - 1,5%, 40+ 0,5%
2К - 0,5% ]]</f>
        <v>130158.91200000001</v>
      </c>
      <c r="AG85" s="10"/>
      <c r="AH85" s="10">
        <f>Д402[[#This Row],[Фикс 05.03.25]]+Д402[[#This Row],[повышение 14.03.25 1К-1%]]</f>
        <v>130158.91200000001</v>
      </c>
      <c r="AI85" s="10"/>
      <c r="AJ85" s="10">
        <f>Д402[[#This Row],[Фикс 14.03.25]]+Д402[[#This Row],[повышение 28.03.25 1К-1%]]</f>
        <v>130158.91200000001</v>
      </c>
      <c r="AK85" s="10"/>
      <c r="AL85" s="10">
        <f>Д402[[#This Row],[Фикс 28.03.25]]+Д402[[#This Row],[Повышение 23.07.25
1К 43-46м2 - 2%
2К 55-58 - 2%; 58-64 - 3%
3К 76-79 - 2%
]]</f>
        <v>130158.91200000001</v>
      </c>
      <c r="AM85" s="149">
        <f>ROUND(Д402[[#This Row],[Фикс 23.07.25]],2)</f>
        <v>130158.91</v>
      </c>
      <c r="AN85" s="149">
        <f>ROUNDUP(Д402[[#This Row],[утв цена м2]]*Д402[[#This Row],[Расчетная проектная площадь]],-2)</f>
        <v>4769100</v>
      </c>
      <c r="AO85" s="151"/>
      <c r="AP85" s="152">
        <v>0.02</v>
      </c>
      <c r="AQ85" s="151">
        <f>Д402[[#This Row],[Стоимость до скидки]]*Д402[[#This Row],[Скидка %]]+Д402[[#This Row],[Скидка фиксированная]]</f>
        <v>95382</v>
      </c>
      <c r="AR85" s="3">
        <f>Д402[[#This Row],[Стоимость ОН без отделки со скидкой]]/Д402[[#This Row],[Расчетная проектная площадь]]</f>
        <v>127557.80567685589</v>
      </c>
      <c r="AS85" s="3">
        <f>Д402[[#This Row],[Стоимость до скидки]]-Д402[[#This Row],[Итоговая сумма скидки]]</f>
        <v>4673718</v>
      </c>
      <c r="AT8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5" s="153"/>
      <c r="AV85" s="153"/>
      <c r="AW85" s="3">
        <f>Д402[[#This Row],[Цена м2 без отделки со скидкой]]+Д402[[#This Row],[Стоимость отделки]]</f>
        <v>127557.80567685589</v>
      </c>
      <c r="AX85" s="3">
        <f>Д402[[#This Row],[Стоимость квартиры с отделкой]]-Д402[[#This Row],[Стоимость ОН без отделки со скидкой]]</f>
        <v>0</v>
      </c>
      <c r="AY85" s="3">
        <f>Д402[[#This Row],[Цена м2 с отделкой]]*Д402[[#This Row],[Расчетная проектная площадь]]</f>
        <v>4673718</v>
      </c>
      <c r="AZ85" s="161" t="s">
        <v>436</v>
      </c>
      <c r="BA85" s="277" t="s">
        <v>426</v>
      </c>
      <c r="BB85" s="269" t="str" cm="1">
        <f t="array" ref="BB8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85" s="161" t="s">
        <v>741</v>
      </c>
      <c r="BD85" s="161" t="s">
        <v>506</v>
      </c>
      <c r="BE85" s="161" t="s">
        <v>737</v>
      </c>
      <c r="BF85" s="161" t="s">
        <v>745</v>
      </c>
      <c r="BG85" s="161" t="b">
        <f>EXACT(Д402[[#This Row],[Статусы CRM]],Д402[[#This Row],[Статус]])</f>
        <v>1</v>
      </c>
      <c r="BH85" s="3">
        <f>IF(Д402[[#This Row],[ПС]]=0,IF(Д402[[#This Row],[ДС]]=0,Д402[[#This Row],[ТС]],Д402[[#This Row],[ДС]]),Д402[[#This Row],[ПС]])</f>
        <v>4769100</v>
      </c>
      <c r="BI85" s="3" t="s">
        <v>749</v>
      </c>
      <c r="BJ85" s="3">
        <v>4769100</v>
      </c>
      <c r="BK85" s="3">
        <v>4769100</v>
      </c>
      <c r="BL85" s="273">
        <f>Д402[[#This Row],[Стоимость CRM]]-Д402[[#This Row],[Стоимость до скидки]]</f>
        <v>0</v>
      </c>
      <c r="BM85" s="161" t="s">
        <v>9</v>
      </c>
      <c r="BN85" s="161" t="b">
        <f>Д402[[#This Row],[Отделка CRM]]=Д402[[#This Row],[Отделка]]</f>
        <v>1</v>
      </c>
      <c r="BO85" s="275" t="s">
        <v>217</v>
      </c>
      <c r="BP85" s="69"/>
    </row>
    <row r="86" spans="1:68" ht="12" customHeight="1" x14ac:dyDescent="0.25">
      <c r="A86" s="140">
        <v>84</v>
      </c>
      <c r="B86" s="15">
        <v>1</v>
      </c>
      <c r="C86" s="141">
        <f t="shared" si="2"/>
        <v>15</v>
      </c>
      <c r="D86" s="142">
        <v>6</v>
      </c>
      <c r="E86" s="141">
        <v>1</v>
      </c>
      <c r="F86" s="143">
        <v>14.57</v>
      </c>
      <c r="G86" s="143"/>
      <c r="H86" s="143"/>
      <c r="I86" s="144">
        <f>SUM(Д402[[#This Row],[Комната 1]:[Комната 3]])</f>
        <v>14.57</v>
      </c>
      <c r="J86" s="145">
        <v>16.57</v>
      </c>
      <c r="K86" s="145">
        <v>4.46</v>
      </c>
      <c r="L86" s="145"/>
      <c r="M86" s="145">
        <v>7.75</v>
      </c>
      <c r="N86" s="145"/>
      <c r="O86" s="145">
        <v>3.1</v>
      </c>
      <c r="P86" s="146"/>
      <c r="Q86" s="146"/>
      <c r="R86" s="146">
        <f>SUM(Д402[[#This Row],[Лоджия 1]:[Лоджия 3]])</f>
        <v>3.1</v>
      </c>
      <c r="S86" s="10">
        <f>ROUND(SUM(Д402[[#This Row],[Площадь по проекту жилая]:[Лоджия 3]]),2)</f>
        <v>46.45</v>
      </c>
      <c r="T86" s="10">
        <f>ROUND(Д402[[#This Row],[Площадь по проекту(общая)]]-Д402[[#This Row],[Летние]],2)</f>
        <v>43.35</v>
      </c>
      <c r="U86" s="10">
        <f>ROUND(Д402[[#This Row],[Площадь по проекту(общая)]]-(SUM(Д402[[#This Row],[Лоджия 1]:[Лоджия 3]])/2),2)</f>
        <v>44.9</v>
      </c>
      <c r="V86" s="10">
        <f>VLOOKUP(Д402[[#This Row],[№]],наценка7[],COLUMN(наценка7[[#This Row],[Цена м2 с учетом всех K]]),0)</f>
        <v>122837.8</v>
      </c>
      <c r="W86" s="162"/>
      <c r="X86" s="10">
        <f>Д402[[#This Row],[м2 после К]]+Д402[[#This Row],[02.12.2024]]</f>
        <v>122837.8</v>
      </c>
      <c r="Y86" s="149">
        <v>1000</v>
      </c>
      <c r="Z86" s="10">
        <f>Д402[[#This Row],[Фикс 20.12.24]]+Д402[[#This Row],[23.12.24 СП +1000]]</f>
        <v>123837.8</v>
      </c>
      <c r="AA86" s="149">
        <v>215</v>
      </c>
      <c r="AB86" s="10">
        <f>Д402[[#This Row],[Фикс 23.12.24]]+Д402[[#This Row],[Повышение 20.02.25]]</f>
        <v>124052.8</v>
      </c>
      <c r="AC86" s="149">
        <v>17.5</v>
      </c>
      <c r="AD86" s="10">
        <f>Д402[[#This Row],[Фикс 20.02.25]]+Д402[[#This Row],[Повышение 24.02.2025]]</f>
        <v>124070.3</v>
      </c>
      <c r="AE86" s="149">
        <f>Д402[[#This Row],[Фикс 24.02.25]]*0.5%</f>
        <v>620.35149999999999</v>
      </c>
      <c r="AF86" s="10">
        <f>Д402[[#This Row],[Фикс 24.02.25]]+Д402[[#This Row],[Повышение 05.03.2025
1К: до 40м - 1,5%, 40+ 0,5%
2К - 0,5% ]]</f>
        <v>124690.65150000001</v>
      </c>
      <c r="AG86" s="149">
        <f>Д402[[#This Row],[Фикс 05.03.25]]*1%</f>
        <v>1246.9065150000001</v>
      </c>
      <c r="AH86" s="10">
        <f>Д402[[#This Row],[Фикс 05.03.25]]+Д402[[#This Row],[повышение 14.03.25 1К-1%]]</f>
        <v>125937.558015</v>
      </c>
      <c r="AI86" s="149">
        <f>Д402[[#This Row],[Фикс 14.03.25]]*1%</f>
        <v>1259.3755801500001</v>
      </c>
      <c r="AJ86" s="10">
        <f>Д402[[#This Row],[Фикс 14.03.25]]+Д402[[#This Row],[повышение 28.03.25 1К-1%]]</f>
        <v>127196.93359515</v>
      </c>
      <c r="AK86" s="10"/>
      <c r="AL86" s="10">
        <f>Д402[[#This Row],[Фикс 28.03.25]]+Д402[[#This Row],[Повышение 23.07.25
1К 43-46м2 - 2%
2К 55-58 - 2%; 58-64 - 3%
3К 76-79 - 2%
]]</f>
        <v>127196.93359515</v>
      </c>
      <c r="AM86" s="149">
        <f>ROUND(Д402[[#This Row],[Фикс 23.07.25]],2)</f>
        <v>127196.93</v>
      </c>
      <c r="AN86" s="149">
        <f>ROUNDUP(Д402[[#This Row],[утв цена м2]]*Д402[[#This Row],[Расчетная проектная площадь]],-2)</f>
        <v>5711200</v>
      </c>
      <c r="AO86" s="151"/>
      <c r="AP86" s="152">
        <v>0.02</v>
      </c>
      <c r="AQ86" s="151">
        <f>Д402[[#This Row],[Стоимость до скидки]]*Д402[[#This Row],[Скидка %]]+Д402[[#This Row],[Скидка фиксированная]]</f>
        <v>114224</v>
      </c>
      <c r="AR86" s="3">
        <f>Д402[[#This Row],[Стоимость ОН без отделки со скидкой]]/Д402[[#This Row],[Расчетная проектная площадь]]</f>
        <v>124654.25389755011</v>
      </c>
      <c r="AS86" s="3">
        <f>Д402[[#This Row],[Стоимость до скидки]]-Д402[[#This Row],[Итоговая сумма скидки]]</f>
        <v>5596976</v>
      </c>
      <c r="AT8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6" s="153"/>
      <c r="AV86" s="153"/>
      <c r="AW86" s="3">
        <f>Д402[[#This Row],[Цена м2 без отделки со скидкой]]+Д402[[#This Row],[Стоимость отделки]]</f>
        <v>124654.25389755011</v>
      </c>
      <c r="AX86" s="3">
        <f>Д402[[#This Row],[Стоимость квартиры с отделкой]]-Д402[[#This Row],[Стоимость ОН без отделки со скидкой]]</f>
        <v>0</v>
      </c>
      <c r="AY86" s="3">
        <f>Д402[[#This Row],[Цена м2 с отделкой]]*Д402[[#This Row],[Расчетная проектная площадь]]</f>
        <v>5596976</v>
      </c>
      <c r="AZ86" s="161" t="s">
        <v>433</v>
      </c>
      <c r="BA86" s="156" t="s">
        <v>426</v>
      </c>
      <c r="BB86" s="156" t="str" cm="1">
        <f t="array" ref="BB8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86" s="161" t="s">
        <v>741</v>
      </c>
      <c r="BD86" s="161" t="s">
        <v>506</v>
      </c>
      <c r="BE86" s="161" t="s">
        <v>737</v>
      </c>
      <c r="BF86" s="161" t="s">
        <v>745</v>
      </c>
      <c r="BG86" s="161" t="b">
        <f>EXACT(Д402[[#This Row],[Статусы CRM]],Д402[[#This Row],[Статус]])</f>
        <v>1</v>
      </c>
      <c r="BH86" s="3">
        <f>IF(Д402[[#This Row],[ПС]]=0,IF(Д402[[#This Row],[ДС]]=0,Д402[[#This Row],[ТС]],Д402[[#This Row],[ДС]]),Д402[[#This Row],[ПС]])</f>
        <v>5711200</v>
      </c>
      <c r="BI86" s="3" t="s">
        <v>749</v>
      </c>
      <c r="BJ86" s="3">
        <v>0</v>
      </c>
      <c r="BK86" s="3">
        <v>5711200</v>
      </c>
      <c r="BL86" s="273">
        <f>Д402[[#This Row],[Стоимость CRM]]-Д402[[#This Row],[Стоимость до скидки]]</f>
        <v>0</v>
      </c>
      <c r="BM86" s="161" t="s">
        <v>9</v>
      </c>
      <c r="BN86" s="161" t="b">
        <f>Д402[[#This Row],[Отделка CRM]]=Д402[[#This Row],[Отделка]]</f>
        <v>1</v>
      </c>
      <c r="BO86" s="275" t="s">
        <v>218</v>
      </c>
      <c r="BP86" s="69"/>
    </row>
    <row r="87" spans="1:68" ht="12" customHeight="1" x14ac:dyDescent="0.25">
      <c r="A87" s="140">
        <v>85</v>
      </c>
      <c r="B87" s="15">
        <v>1</v>
      </c>
      <c r="C87" s="141">
        <f t="shared" si="2"/>
        <v>16</v>
      </c>
      <c r="D87" s="142">
        <v>1</v>
      </c>
      <c r="E87" s="141">
        <v>0</v>
      </c>
      <c r="F87" s="143">
        <v>14.66</v>
      </c>
      <c r="G87" s="143"/>
      <c r="H87" s="143"/>
      <c r="I87" s="144">
        <f>SUM(Д402[[#This Row],[Комната 1]:[Комната 3]])</f>
        <v>14.66</v>
      </c>
      <c r="J87" s="145">
        <v>6.15</v>
      </c>
      <c r="K87" s="145">
        <v>4.7300000000000004</v>
      </c>
      <c r="L87" s="145"/>
      <c r="M87" s="145">
        <v>3.86</v>
      </c>
      <c r="N87" s="145"/>
      <c r="O87" s="145"/>
      <c r="P87" s="146"/>
      <c r="Q87" s="146"/>
      <c r="R87" s="146">
        <f>SUM(Д402[[#This Row],[Лоджия 1]:[Лоджия 3]])</f>
        <v>0</v>
      </c>
      <c r="S87" s="10">
        <f>ROUND(SUM(Д402[[#This Row],[Площадь по проекту жилая]:[Лоджия 3]]),2)</f>
        <v>29.4</v>
      </c>
      <c r="T87" s="10">
        <f>ROUND(Д402[[#This Row],[Площадь по проекту(общая)]]-Д402[[#This Row],[Летние]],2)</f>
        <v>29.4</v>
      </c>
      <c r="U87" s="10">
        <f>ROUND(Д402[[#This Row],[Площадь по проекту(общая)]]-(SUM(Д402[[#This Row],[Лоджия 1]:[Лоджия 3]])/2),2)</f>
        <v>29.4</v>
      </c>
      <c r="V87" s="10">
        <f>VLOOKUP(Д402[[#This Row],[№]],наценка7[],COLUMN(наценка7[[#This Row],[Цена м2 с учетом всех K]]),0)</f>
        <v>139730</v>
      </c>
      <c r="W87" s="159">
        <v>200</v>
      </c>
      <c r="X87" s="10">
        <f>Д402[[#This Row],[м2 после К]]+Д402[[#This Row],[02.12.2024]]</f>
        <v>139930</v>
      </c>
      <c r="Y87" s="149">
        <v>1000</v>
      </c>
      <c r="Z87" s="10">
        <f>Д402[[#This Row],[Фикс 20.12.24]]+Д402[[#This Row],[23.12.24 СП +1000]]</f>
        <v>140930</v>
      </c>
      <c r="AA87" s="149">
        <v>215</v>
      </c>
      <c r="AB87" s="10">
        <f>Д402[[#This Row],[Фикс 23.12.24]]+Д402[[#This Row],[Повышение 20.02.25]]</f>
        <v>141145</v>
      </c>
      <c r="AC87" s="149">
        <v>17.5</v>
      </c>
      <c r="AD87" s="10">
        <f>Д402[[#This Row],[Фикс 20.02.25]]+Д402[[#This Row],[Повышение 24.02.2025]]</f>
        <v>141162.5</v>
      </c>
      <c r="AE87" s="10"/>
      <c r="AF87" s="10">
        <f>Д402[[#This Row],[Фикс 24.02.25]]+Д402[[#This Row],[Повышение 05.03.2025
1К: до 40м - 1,5%, 40+ 0,5%
2К - 0,5% ]]</f>
        <v>141162.5</v>
      </c>
      <c r="AG87" s="10"/>
      <c r="AH87" s="10">
        <f>Д402[[#This Row],[Фикс 05.03.25]]+Д402[[#This Row],[повышение 14.03.25 1К-1%]]</f>
        <v>141162.5</v>
      </c>
      <c r="AI87" s="10"/>
      <c r="AJ87" s="10">
        <f>Д402[[#This Row],[Фикс 14.03.25]]+Д402[[#This Row],[повышение 28.03.25 1К-1%]]</f>
        <v>141162.5</v>
      </c>
      <c r="AK87" s="10"/>
      <c r="AL87" s="10">
        <f>Д402[[#This Row],[Фикс 28.03.25]]+Д402[[#This Row],[Повышение 23.07.25
1К 43-46м2 - 2%
2К 55-58 - 2%; 58-64 - 3%
3К 76-79 - 2%
]]</f>
        <v>141162.5</v>
      </c>
      <c r="AM87" s="149">
        <f>ROUND(Д402[[#This Row],[Фикс 23.07.25]],2)</f>
        <v>141162.5</v>
      </c>
      <c r="AN87" s="149">
        <f>ROUNDUP(Д402[[#This Row],[утв цена м2]]*Д402[[#This Row],[Расчетная проектная площадь]],-2)</f>
        <v>4150200</v>
      </c>
      <c r="AO87" s="151"/>
      <c r="AP87" s="152"/>
      <c r="AQ87" s="151">
        <f>Д402[[#This Row],[Стоимость до скидки]]*Д402[[#This Row],[Скидка %]]+Д402[[#This Row],[Скидка фиксированная]]</f>
        <v>0</v>
      </c>
      <c r="AR87" s="3">
        <f>Д402[[#This Row],[Стоимость ОН без отделки со скидкой]]/Д402[[#This Row],[Расчетная проектная площадь]]</f>
        <v>141163.26530612246</v>
      </c>
      <c r="AS87" s="3">
        <f>Д402[[#This Row],[Стоимость до скидки]]-Д402[[#This Row],[Итоговая сумма скидки]]</f>
        <v>4150200</v>
      </c>
      <c r="AT8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87" s="153">
        <v>30000</v>
      </c>
      <c r="AV87" s="153" t="s">
        <v>722</v>
      </c>
      <c r="AW87" s="3">
        <f>Д402[[#This Row],[Цена м2 без отделки со скидкой]]+Д402[[#This Row],[Стоимость отделки]]</f>
        <v>171163.26530612246</v>
      </c>
      <c r="AX87" s="3">
        <f>Д402[[#This Row],[Стоимость квартиры с отделкой]]-Д402[[#This Row],[Стоимость ОН без отделки со скидкой]]</f>
        <v>882000</v>
      </c>
      <c r="AY87" s="3">
        <f>Д402[[#This Row],[Цена м2 с отделкой]]*Д402[[#This Row],[Расчетная проектная площадь]]</f>
        <v>5032200</v>
      </c>
      <c r="AZ87" s="161"/>
      <c r="BA87" s="269" t="s">
        <v>128</v>
      </c>
      <c r="BB87" s="269" t="str" cm="1">
        <f t="array" ref="BB8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87" s="161" t="s">
        <v>740</v>
      </c>
      <c r="BD87" s="161" t="s">
        <v>506</v>
      </c>
      <c r="BE87" s="161" t="s">
        <v>737</v>
      </c>
      <c r="BF87" s="161" t="s">
        <v>743</v>
      </c>
      <c r="BG87" s="161" t="b">
        <f>EXACT(Д402[[#This Row],[Статусы CRM]],Д402[[#This Row],[Статус]])</f>
        <v>1</v>
      </c>
      <c r="BH87" s="3">
        <f>IF(Д402[[#This Row],[ПС]]=0,IF(Д402[[#This Row],[ДС]]=0,Д402[[#This Row],[ТС]],Д402[[#This Row],[ДС]]),Д402[[#This Row],[ПС]])</f>
        <v>4150200</v>
      </c>
      <c r="BI87" s="3">
        <v>4150200</v>
      </c>
      <c r="BJ87" s="3">
        <v>0</v>
      </c>
      <c r="BK87" s="3">
        <v>0</v>
      </c>
      <c r="BL87" s="273">
        <f>Д402[[#This Row],[Стоимость CRM]]-Д402[[#This Row],[Стоимость до скидки]]</f>
        <v>0</v>
      </c>
      <c r="BM87" s="161" t="s">
        <v>11</v>
      </c>
      <c r="BN87" s="161" t="b">
        <f>Д402[[#This Row],[Отделка CRM]]=Д402[[#This Row],[Отделка]]</f>
        <v>1</v>
      </c>
      <c r="BO87" s="275" t="s">
        <v>219</v>
      </c>
      <c r="BP87" s="69"/>
    </row>
    <row r="88" spans="1:68" ht="12" customHeight="1" x14ac:dyDescent="0.25">
      <c r="A88" s="140">
        <v>86</v>
      </c>
      <c r="B88" s="15">
        <v>1</v>
      </c>
      <c r="C88" s="141">
        <f t="shared" si="2"/>
        <v>16</v>
      </c>
      <c r="D88" s="142">
        <v>2</v>
      </c>
      <c r="E88" s="141">
        <v>2</v>
      </c>
      <c r="F88" s="143">
        <v>16.100000000000001</v>
      </c>
      <c r="G88" s="143">
        <v>10.8</v>
      </c>
      <c r="H88" s="143"/>
      <c r="I88" s="144">
        <f>SUM(Д402[[#This Row],[Комната 1]:[Комната 3]])</f>
        <v>26.900000000000002</v>
      </c>
      <c r="J88" s="145">
        <v>17.32</v>
      </c>
      <c r="K88" s="145">
        <v>4.25</v>
      </c>
      <c r="L88" s="145"/>
      <c r="M88" s="145">
        <v>9.68</v>
      </c>
      <c r="N88" s="145"/>
      <c r="O88" s="145">
        <v>3.15</v>
      </c>
      <c r="P88" s="146"/>
      <c r="Q88" s="146"/>
      <c r="R88" s="146">
        <f>SUM(Д402[[#This Row],[Лоджия 1]:[Лоджия 3]])</f>
        <v>3.15</v>
      </c>
      <c r="S88" s="10">
        <f>ROUND(SUM(Д402[[#This Row],[Площадь по проекту жилая]:[Лоджия 3]]),2)</f>
        <v>61.3</v>
      </c>
      <c r="T88" s="10">
        <f>ROUND(Д402[[#This Row],[Площадь по проекту(общая)]]-Д402[[#This Row],[Летние]],2)</f>
        <v>58.15</v>
      </c>
      <c r="U88" s="10">
        <f>ROUND(Д402[[#This Row],[Площадь по проекту(общая)]]-(SUM(Д402[[#This Row],[Лоджия 1]:[Лоджия 3]])/2),2)</f>
        <v>59.73</v>
      </c>
      <c r="V88" s="10">
        <f>VLOOKUP(Д402[[#This Row],[№]],наценка7[],COLUMN(наценка7[[#This Row],[Цена м2 с учетом всех K]]),0)</f>
        <v>119811.8</v>
      </c>
      <c r="W88" s="162"/>
      <c r="X88" s="10">
        <f>Д402[[#This Row],[м2 после К]]+Д402[[#This Row],[02.12.2024]]</f>
        <v>119811.8</v>
      </c>
      <c r="Y88" s="149">
        <v>1000</v>
      </c>
      <c r="Z88" s="10">
        <f>Д402[[#This Row],[Фикс 20.12.24]]+Д402[[#This Row],[23.12.24 СП +1000]]</f>
        <v>120811.8</v>
      </c>
      <c r="AA88" s="149">
        <v>215</v>
      </c>
      <c r="AB88" s="10">
        <f>Д402[[#This Row],[Фикс 23.12.24]]+Д402[[#This Row],[Повышение 20.02.25]]</f>
        <v>121026.8</v>
      </c>
      <c r="AC88" s="149">
        <v>17.5</v>
      </c>
      <c r="AD88" s="10">
        <f>Д402[[#This Row],[Фикс 20.02.25]]+Д402[[#This Row],[Повышение 24.02.2025]]</f>
        <v>121044.3</v>
      </c>
      <c r="AE88" s="149">
        <f>Д402[[#This Row],[Фикс 24.02.25]]*0.5%</f>
        <v>605.22149999999999</v>
      </c>
      <c r="AF88" s="10">
        <f>Д402[[#This Row],[Фикс 24.02.25]]+Д402[[#This Row],[Повышение 05.03.2025
1К: до 40м - 1,5%, 40+ 0,5%
2К - 0,5% ]]</f>
        <v>121649.5215</v>
      </c>
      <c r="AG88" s="10"/>
      <c r="AH88" s="10">
        <f>Д402[[#This Row],[Фикс 05.03.25]]+Д402[[#This Row],[повышение 14.03.25 1К-1%]]</f>
        <v>121649.5215</v>
      </c>
      <c r="AI88" s="10"/>
      <c r="AJ88" s="10">
        <f>Д402[[#This Row],[Фикс 14.03.25]]+Д402[[#This Row],[повышение 28.03.25 1К-1%]]</f>
        <v>121649.5215</v>
      </c>
      <c r="AK88" s="10">
        <f>Д402[[#This Row],[Фикс 28.03.25]]*3%</f>
        <v>3649.4856449999997</v>
      </c>
      <c r="AL88" s="10">
        <f>Д402[[#This Row],[Фикс 28.03.25]]+Д402[[#This Row],[Повышение 23.07.25
1К 43-46м2 - 2%
2К 55-58 - 2%; 58-64 - 3%
3К 76-79 - 2%
]]</f>
        <v>125299.007145</v>
      </c>
      <c r="AM88" s="149">
        <f>ROUND(Д402[[#This Row],[Фикс 23.07.25]],2)</f>
        <v>125299.01</v>
      </c>
      <c r="AN88" s="149">
        <f>ROUNDUP(Д402[[#This Row],[утв цена м2]]*Д402[[#This Row],[Расчетная проектная площадь]],-2)</f>
        <v>7484200</v>
      </c>
      <c r="AO88" s="151"/>
      <c r="AP88" s="152"/>
      <c r="AQ88" s="151">
        <f>Д402[[#This Row],[Стоимость до скидки]]*Д402[[#This Row],[Скидка %]]+Д402[[#This Row],[Скидка фиксированная]]</f>
        <v>0</v>
      </c>
      <c r="AR88" s="3">
        <f>Д402[[#This Row],[Стоимость ОН без отделки со скидкой]]/Д402[[#This Row],[Расчетная проектная площадь]]</f>
        <v>125300.51900217647</v>
      </c>
      <c r="AS88" s="3">
        <f>Д402[[#This Row],[Стоимость до скидки]]-Д402[[#This Row],[Итоговая сумма скидки]]</f>
        <v>7484200</v>
      </c>
      <c r="AT8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8" s="153"/>
      <c r="AV88" s="153"/>
      <c r="AW88" s="3">
        <f>Д402[[#This Row],[Цена м2 без отделки со скидкой]]+Д402[[#This Row],[Стоимость отделки]]</f>
        <v>125300.51900217647</v>
      </c>
      <c r="AX88" s="3">
        <f>Д402[[#This Row],[Стоимость квартиры с отделкой]]-Д402[[#This Row],[Стоимость ОН без отделки со скидкой]]</f>
        <v>0</v>
      </c>
      <c r="AY88" s="3">
        <f>Д402[[#This Row],[Цена м2 с отделкой]]*Д402[[#This Row],[Расчетная проектная площадь]]</f>
        <v>7484200</v>
      </c>
      <c r="AZ88" s="161"/>
      <c r="BA88" s="155" t="s">
        <v>12</v>
      </c>
      <c r="BB88" s="156" t="str" cm="1">
        <f t="array" ref="BB8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88" s="161" t="s">
        <v>738</v>
      </c>
      <c r="BD88" s="161" t="s">
        <v>739</v>
      </c>
      <c r="BE88" s="161" t="s">
        <v>737</v>
      </c>
      <c r="BF88" s="161" t="s">
        <v>744</v>
      </c>
      <c r="BG88" s="161" t="b">
        <f>EXACT(Д402[[#This Row],[Статусы CRM]],Д402[[#This Row],[Статус]])</f>
        <v>1</v>
      </c>
      <c r="BH88" s="3">
        <f>IF(Д402[[#This Row],[ПС]]=0,IF(Д402[[#This Row],[ДС]]=0,Д402[[#This Row],[ТС]],Д402[[#This Row],[ДС]]),Д402[[#This Row],[ПС]])</f>
        <v>7484200</v>
      </c>
      <c r="BI88" s="3">
        <v>7484200</v>
      </c>
      <c r="BJ88" s="3">
        <v>0</v>
      </c>
      <c r="BK88" s="3">
        <v>0</v>
      </c>
      <c r="BL88" s="273">
        <f>Д402[[#This Row],[Стоимость CRM]]-Д402[[#This Row],[Стоимость до скидки]]</f>
        <v>0</v>
      </c>
      <c r="BM88" s="161" t="s">
        <v>9</v>
      </c>
      <c r="BN88" s="161" t="b">
        <f>Д402[[#This Row],[Отделка CRM]]=Д402[[#This Row],[Отделка]]</f>
        <v>1</v>
      </c>
      <c r="BO88" s="275" t="s">
        <v>220</v>
      </c>
      <c r="BP88" s="69"/>
    </row>
    <row r="89" spans="1:68" ht="12" customHeight="1" x14ac:dyDescent="0.25">
      <c r="A89" s="140">
        <v>87</v>
      </c>
      <c r="B89" s="15">
        <v>1</v>
      </c>
      <c r="C89" s="141">
        <f t="shared" si="2"/>
        <v>16</v>
      </c>
      <c r="D89" s="142">
        <v>3</v>
      </c>
      <c r="E89" s="141">
        <v>2</v>
      </c>
      <c r="F89" s="143">
        <v>16.41</v>
      </c>
      <c r="G89" s="143">
        <v>12.19</v>
      </c>
      <c r="H89" s="143"/>
      <c r="I89" s="144">
        <f>SUM(Д402[[#This Row],[Комната 1]:[Комната 3]])</f>
        <v>28.6</v>
      </c>
      <c r="J89" s="145">
        <v>14.24</v>
      </c>
      <c r="K89" s="145">
        <v>3.86</v>
      </c>
      <c r="L89" s="145"/>
      <c r="M89" s="145">
        <v>6.1</v>
      </c>
      <c r="N89" s="145"/>
      <c r="O89" s="145">
        <v>3.33</v>
      </c>
      <c r="P89" s="146"/>
      <c r="Q89" s="146"/>
      <c r="R89" s="146">
        <f>SUM(Д402[[#This Row],[Лоджия 1]:[Лоджия 3]])</f>
        <v>3.33</v>
      </c>
      <c r="S89" s="10">
        <f>ROUND(SUM(Д402[[#This Row],[Площадь по проекту жилая]:[Лоджия 3]]),2)</f>
        <v>56.13</v>
      </c>
      <c r="T89" s="10">
        <f>ROUND(Д402[[#This Row],[Площадь по проекту(общая)]]-Д402[[#This Row],[Летние]],2)</f>
        <v>52.8</v>
      </c>
      <c r="U89" s="10">
        <f>ROUND(Д402[[#This Row],[Площадь по проекту(общая)]]-(SUM(Д402[[#This Row],[Лоджия 1]:[Лоджия 3]])/2),2)</f>
        <v>54.47</v>
      </c>
      <c r="V89" s="10">
        <f>VLOOKUP(Д402[[#This Row],[№]],наценка7[],COLUMN(наценка7[[#This Row],[Цена м2 с учетом всех K]]),0)</f>
        <v>116420.9</v>
      </c>
      <c r="W89" s="162"/>
      <c r="X89" s="10">
        <f>Д402[[#This Row],[м2 после К]]+Д402[[#This Row],[02.12.2024]]</f>
        <v>116420.9</v>
      </c>
      <c r="Y89" s="149">
        <v>1000</v>
      </c>
      <c r="Z89" s="10">
        <f>Д402[[#This Row],[Фикс 20.12.24]]+Д402[[#This Row],[23.12.24 СП +1000]]</f>
        <v>117420.9</v>
      </c>
      <c r="AA89" s="149">
        <v>215</v>
      </c>
      <c r="AB89" s="10">
        <f>Д402[[#This Row],[Фикс 23.12.24]]+Д402[[#This Row],[Повышение 20.02.25]]</f>
        <v>117635.9</v>
      </c>
      <c r="AC89" s="149">
        <v>17.5</v>
      </c>
      <c r="AD89" s="10">
        <f>Д402[[#This Row],[Фикс 20.02.25]]+Д402[[#This Row],[Повышение 24.02.2025]]</f>
        <v>117653.4</v>
      </c>
      <c r="AE89" s="149">
        <f>Д402[[#This Row],[Фикс 24.02.25]]*0.5%</f>
        <v>588.26699999999994</v>
      </c>
      <c r="AF89" s="10">
        <f>Д402[[#This Row],[Фикс 24.02.25]]+Д402[[#This Row],[Повышение 05.03.2025
1К: до 40м - 1,5%, 40+ 0,5%
2К - 0,5% ]]</f>
        <v>118241.667</v>
      </c>
      <c r="AG89" s="10"/>
      <c r="AH89" s="10">
        <f>Д402[[#This Row],[Фикс 05.03.25]]+Д402[[#This Row],[повышение 14.03.25 1К-1%]]</f>
        <v>118241.667</v>
      </c>
      <c r="AI89" s="10"/>
      <c r="AJ89" s="10">
        <f>Д402[[#This Row],[Фикс 14.03.25]]+Д402[[#This Row],[повышение 28.03.25 1К-1%]]</f>
        <v>118241.667</v>
      </c>
      <c r="AK89" s="10"/>
      <c r="AL89" s="10">
        <f>Д402[[#This Row],[Фикс 28.03.25]]+Д402[[#This Row],[Повышение 23.07.25
1К 43-46м2 - 2%
2К 55-58 - 2%; 58-64 - 3%
3К 76-79 - 2%
]]</f>
        <v>118241.667</v>
      </c>
      <c r="AM89" s="149">
        <f>ROUND(Д402[[#This Row],[Фикс 23.07.25]],2)</f>
        <v>118241.67</v>
      </c>
      <c r="AN89" s="149">
        <f>ROUNDUP(Д402[[#This Row],[утв цена м2]]*Д402[[#This Row],[Расчетная проектная площадь]],-2)</f>
        <v>6440700</v>
      </c>
      <c r="AO89" s="151"/>
      <c r="AP89" s="152"/>
      <c r="AQ89" s="151">
        <f>Д402[[#This Row],[Стоимость до скидки]]*Д402[[#This Row],[Скидка %]]+Д402[[#This Row],[Скидка фиксированная]]</f>
        <v>0</v>
      </c>
      <c r="AR89" s="3">
        <f>Д402[[#This Row],[Стоимость ОН без отделки со скидкой]]/Д402[[#This Row],[Расчетная проектная площадь]]</f>
        <v>118243.06957958509</v>
      </c>
      <c r="AS89" s="3">
        <f>Д402[[#This Row],[Стоимость до скидки]]-Д402[[#This Row],[Итоговая сумма скидки]]</f>
        <v>6440700</v>
      </c>
      <c r="AT8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89" s="153"/>
      <c r="AV89" s="153"/>
      <c r="AW89" s="3">
        <f>Д402[[#This Row],[Цена м2 без отделки со скидкой]]+Д402[[#This Row],[Стоимость отделки]]</f>
        <v>118243.06957958509</v>
      </c>
      <c r="AX89" s="3">
        <f>Д402[[#This Row],[Стоимость квартиры с отделкой]]-Д402[[#This Row],[Стоимость ОН без отделки со скидкой]]</f>
        <v>0</v>
      </c>
      <c r="AY89" s="3">
        <f>Д402[[#This Row],[Цена м2 с отделкой]]*Д402[[#This Row],[Расчетная проектная площадь]]</f>
        <v>6440700</v>
      </c>
      <c r="AZ89" s="161"/>
      <c r="BA89" s="155" t="s">
        <v>12</v>
      </c>
      <c r="BB89" s="156" t="str" cm="1">
        <f t="array" ref="BB8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89" s="161" t="s">
        <v>738</v>
      </c>
      <c r="BD89" s="161" t="s">
        <v>739</v>
      </c>
      <c r="BE89" s="161" t="s">
        <v>737</v>
      </c>
      <c r="BF89" s="161" t="s">
        <v>744</v>
      </c>
      <c r="BG89" s="161" t="b">
        <f>EXACT(Д402[[#This Row],[Статусы CRM]],Д402[[#This Row],[Статус]])</f>
        <v>1</v>
      </c>
      <c r="BH89" s="3">
        <f>IF(Д402[[#This Row],[ПС]]=0,IF(Д402[[#This Row],[ДС]]=0,Д402[[#This Row],[ТС]],Д402[[#This Row],[ДС]]),Д402[[#This Row],[ПС]])</f>
        <v>6440700</v>
      </c>
      <c r="BI89" s="3">
        <v>6440700</v>
      </c>
      <c r="BJ89" s="3">
        <v>0</v>
      </c>
      <c r="BK89" s="3">
        <v>0</v>
      </c>
      <c r="BL89" s="273">
        <f>Д402[[#This Row],[Стоимость CRM]]-Д402[[#This Row],[Стоимость до скидки]]</f>
        <v>0</v>
      </c>
      <c r="BM89" s="161" t="s">
        <v>9</v>
      </c>
      <c r="BN89" s="161" t="b">
        <f>Д402[[#This Row],[Отделка CRM]]=Д402[[#This Row],[Отделка]]</f>
        <v>1</v>
      </c>
      <c r="BO89" s="275" t="s">
        <v>221</v>
      </c>
      <c r="BP89" s="69"/>
    </row>
    <row r="90" spans="1:68" ht="12" customHeight="1" x14ac:dyDescent="0.25">
      <c r="A90" s="140">
        <v>88</v>
      </c>
      <c r="B90" s="15">
        <v>1</v>
      </c>
      <c r="C90" s="141">
        <f t="shared" si="2"/>
        <v>16</v>
      </c>
      <c r="D90" s="142">
        <v>4</v>
      </c>
      <c r="E90" s="141">
        <v>2</v>
      </c>
      <c r="F90" s="143">
        <v>14.98</v>
      </c>
      <c r="G90" s="143">
        <v>12.28</v>
      </c>
      <c r="H90" s="143"/>
      <c r="I90" s="144">
        <f>SUM(Д402[[#This Row],[Комната 1]:[Комната 3]])</f>
        <v>27.259999999999998</v>
      </c>
      <c r="J90" s="145">
        <v>14.78</v>
      </c>
      <c r="K90" s="145">
        <v>4.4400000000000004</v>
      </c>
      <c r="L90" s="145"/>
      <c r="M90" s="145">
        <v>6.25</v>
      </c>
      <c r="N90" s="145"/>
      <c r="O90" s="145">
        <v>3.33</v>
      </c>
      <c r="P90" s="146"/>
      <c r="Q90" s="146"/>
      <c r="R90" s="146">
        <f>SUM(Д402[[#This Row],[Лоджия 1]:[Лоджия 3]])</f>
        <v>3.33</v>
      </c>
      <c r="S90" s="149">
        <f>ROUND(SUM(Д402[[#This Row],[Площадь по проекту жилая]:[Лоджия 3]]),2)</f>
        <v>56.06</v>
      </c>
      <c r="T90" s="149">
        <f>ROUND(Д402[[#This Row],[Площадь по проекту(общая)]]-Д402[[#This Row],[Летние]],2)</f>
        <v>52.73</v>
      </c>
      <c r="U90" s="149">
        <f>ROUND(Д402[[#This Row],[Площадь по проекту(общая)]]-(SUM(Д402[[#This Row],[Лоджия 1]:[Лоджия 3]])/2),2)</f>
        <v>54.4</v>
      </c>
      <c r="V90" s="149">
        <f>VLOOKUP(Д402[[#This Row],[№]],наценка7[],COLUMN(наценка7[[#This Row],[Цена м2 с учетом всех K]]),0)</f>
        <v>118681.5</v>
      </c>
      <c r="W90" s="159"/>
      <c r="X90" s="149">
        <f>Д402[[#This Row],[м2 после К]]+Д402[[#This Row],[02.12.2024]]</f>
        <v>118681.5</v>
      </c>
      <c r="Y90" s="149">
        <v>1000</v>
      </c>
      <c r="Z90" s="149">
        <f>Д402[[#This Row],[Фикс 20.12.24]]+Д402[[#This Row],[23.12.24 СП +1000]]</f>
        <v>119681.5</v>
      </c>
      <c r="AA90" s="149">
        <v>215</v>
      </c>
      <c r="AB90" s="149">
        <f>Д402[[#This Row],[Фикс 23.12.24]]+Д402[[#This Row],[Повышение 20.02.25]]</f>
        <v>119896.5</v>
      </c>
      <c r="AC90" s="149">
        <v>17.5</v>
      </c>
      <c r="AD90" s="149">
        <f>Д402[[#This Row],[Фикс 20.02.25]]+Д402[[#This Row],[Повышение 24.02.2025]]</f>
        <v>119914</v>
      </c>
      <c r="AE90" s="149">
        <f>Д402[[#This Row],[Фикс 24.02.25]]*0.5%</f>
        <v>599.57000000000005</v>
      </c>
      <c r="AF90" s="149">
        <f>Д402[[#This Row],[Фикс 24.02.25]]+Д402[[#This Row],[Повышение 05.03.2025
1К: до 40м - 1,5%, 40+ 0,5%
2К - 0,5% ]]</f>
        <v>120513.57</v>
      </c>
      <c r="AG90" s="149"/>
      <c r="AH90" s="149">
        <f>Д402[[#This Row],[Фикс 05.03.25]]+Д402[[#This Row],[повышение 14.03.25 1К-1%]]</f>
        <v>120513.57</v>
      </c>
      <c r="AI90" s="149"/>
      <c r="AJ90" s="149">
        <f>Д402[[#This Row],[Фикс 14.03.25]]+Д402[[#This Row],[повышение 28.03.25 1К-1%]]</f>
        <v>120513.57</v>
      </c>
      <c r="AK90" s="149"/>
      <c r="AL90" s="149">
        <f>Д402[[#This Row],[Фикс 28.03.25]]+Д402[[#This Row],[Повышение 23.07.25
1К 43-46м2 - 2%
2К 55-58 - 2%; 58-64 - 3%
3К 76-79 - 2%
]]</f>
        <v>120513.57</v>
      </c>
      <c r="AM90" s="149">
        <f>ROUND(Д402[[#This Row],[Фикс 23.07.25]],2)</f>
        <v>120513.57</v>
      </c>
      <c r="AN90" s="149">
        <f>ROUNDUP(Д402[[#This Row],[утв цена м2]]*Д402[[#This Row],[Расчетная проектная площадь]],-2)</f>
        <v>6556000</v>
      </c>
      <c r="AO90" s="151"/>
      <c r="AP90" s="152"/>
      <c r="AQ90" s="151">
        <f>Д402[[#This Row],[Стоимость до скидки]]*Д402[[#This Row],[Скидка %]]+Д402[[#This Row],[Скидка фиксированная]]</f>
        <v>0</v>
      </c>
      <c r="AR90" s="3">
        <f>Д402[[#This Row],[Стоимость ОН без отделки со скидкой]]/Д402[[#This Row],[Расчетная проектная площадь]]</f>
        <v>120514.70588235295</v>
      </c>
      <c r="AS90" s="3">
        <f>Д402[[#This Row],[Стоимость до скидки]]-Д402[[#This Row],[Итоговая сумма скидки]]</f>
        <v>6556000</v>
      </c>
      <c r="AT9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0" s="153"/>
      <c r="AV90" s="153"/>
      <c r="AW90" s="3">
        <f>Д402[[#This Row],[Цена м2 без отделки со скидкой]]+Д402[[#This Row],[Стоимость отделки]]</f>
        <v>120514.70588235295</v>
      </c>
      <c r="AX90" s="3">
        <f>Д402[[#This Row],[Стоимость квартиры с отделкой]]-Д402[[#This Row],[Стоимость ОН без отделки со скидкой]]</f>
        <v>0</v>
      </c>
      <c r="AY90" s="3">
        <f>Д402[[#This Row],[Цена м2 с отделкой]]*Д402[[#This Row],[Расчетная проектная площадь]]</f>
        <v>6556000</v>
      </c>
      <c r="AZ90" s="161"/>
      <c r="BA90" s="155" t="s">
        <v>12</v>
      </c>
      <c r="BB90" s="156" t="str" cm="1">
        <f t="array" ref="BB9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90" s="161" t="s">
        <v>738</v>
      </c>
      <c r="BD90" s="161" t="s">
        <v>739</v>
      </c>
      <c r="BE90" s="161" t="s">
        <v>737</v>
      </c>
      <c r="BF90" s="161" t="s">
        <v>744</v>
      </c>
      <c r="BG90" s="161" t="b">
        <f>EXACT(Д402[[#This Row],[Статусы CRM]],Д402[[#This Row],[Статус]])</f>
        <v>1</v>
      </c>
      <c r="BH90" s="3">
        <f>IF(Д402[[#This Row],[ПС]]=0,IF(Д402[[#This Row],[ДС]]=0,Д402[[#This Row],[ТС]],Д402[[#This Row],[ДС]]),Д402[[#This Row],[ПС]])</f>
        <v>6556000</v>
      </c>
      <c r="BI90" s="3">
        <v>6556000</v>
      </c>
      <c r="BJ90" s="3">
        <v>0</v>
      </c>
      <c r="BK90" s="3">
        <v>0</v>
      </c>
      <c r="BL90" s="273">
        <f>Д402[[#This Row],[Стоимость CRM]]-Д402[[#This Row],[Стоимость до скидки]]</f>
        <v>0</v>
      </c>
      <c r="BM90" s="161" t="s">
        <v>9</v>
      </c>
      <c r="BN90" s="161" t="b">
        <f>Д402[[#This Row],[Отделка CRM]]=Д402[[#This Row],[Отделка]]</f>
        <v>1</v>
      </c>
      <c r="BO90" s="275" t="s">
        <v>222</v>
      </c>
      <c r="BP90" s="69"/>
    </row>
    <row r="91" spans="1:68" ht="12" customHeight="1" x14ac:dyDescent="0.25">
      <c r="A91" s="140">
        <v>89</v>
      </c>
      <c r="B91" s="15">
        <v>1</v>
      </c>
      <c r="C91" s="141">
        <f t="shared" si="2"/>
        <v>16</v>
      </c>
      <c r="D91" s="142">
        <v>5</v>
      </c>
      <c r="E91" s="141">
        <v>1</v>
      </c>
      <c r="F91" s="143">
        <v>13.06</v>
      </c>
      <c r="G91" s="143"/>
      <c r="H91" s="143"/>
      <c r="I91" s="144">
        <f>SUM(Д402[[#This Row],[Комната 1]:[Комната 3]])</f>
        <v>13.06</v>
      </c>
      <c r="J91" s="145">
        <v>14.73</v>
      </c>
      <c r="K91" s="145">
        <v>4.4400000000000004</v>
      </c>
      <c r="L91" s="145"/>
      <c r="M91" s="145">
        <v>2.9</v>
      </c>
      <c r="N91" s="145"/>
      <c r="O91" s="145">
        <v>3.02</v>
      </c>
      <c r="P91" s="146"/>
      <c r="Q91" s="146"/>
      <c r="R91" s="146">
        <f>SUM(Д402[[#This Row],[Лоджия 1]:[Лоджия 3]])</f>
        <v>3.02</v>
      </c>
      <c r="S91" s="149">
        <f>ROUND(SUM(Д402[[#This Row],[Площадь по проекту жилая]:[Лоджия 3]]),2)</f>
        <v>38.15</v>
      </c>
      <c r="T91" s="149">
        <f>ROUND(Д402[[#This Row],[Площадь по проекту(общая)]]-Д402[[#This Row],[Летние]],2)</f>
        <v>35.130000000000003</v>
      </c>
      <c r="U91" s="149">
        <f>ROUND(Д402[[#This Row],[Площадь по проекту(общая)]]-(SUM(Д402[[#This Row],[Лоджия 1]:[Лоджия 3]])/2),2)</f>
        <v>36.64</v>
      </c>
      <c r="V91" s="149">
        <f>VLOOKUP(Д402[[#This Row],[№]],наценка7[],COLUMN(наценка7[[#This Row],[Цена м2 с учетом всех K]]),0)</f>
        <v>124030.39999999999</v>
      </c>
      <c r="W91" s="159">
        <f>2%*Д402[[#This Row],[м2 после К]]</f>
        <v>2480.6079999999997</v>
      </c>
      <c r="X91" s="149">
        <f>Д402[[#This Row],[м2 после К]]+Д402[[#This Row],[02.12.2024]]</f>
        <v>126511.00799999999</v>
      </c>
      <c r="Y91" s="149">
        <v>1000</v>
      </c>
      <c r="Z91" s="149">
        <f>Д402[[#This Row],[Фикс 20.12.24]]+Д402[[#This Row],[23.12.24 СП +1000]]</f>
        <v>127511.00799999999</v>
      </c>
      <c r="AA91" s="149">
        <v>215</v>
      </c>
      <c r="AB91" s="149">
        <f>Д402[[#This Row],[Фикс 23.12.24]]+Д402[[#This Row],[Повышение 20.02.25]]</f>
        <v>127726.00799999999</v>
      </c>
      <c r="AC91" s="149">
        <v>17.5</v>
      </c>
      <c r="AD91" s="149">
        <f>Д402[[#This Row],[Фикс 20.02.25]]+Д402[[#This Row],[Повышение 24.02.2025]]</f>
        <v>127743.50799999999</v>
      </c>
      <c r="AE91" s="149">
        <f>Д402[[#This Row],[Фикс 24.02.25]]*1.5%</f>
        <v>1916.1526199999998</v>
      </c>
      <c r="AF91" s="149">
        <f>Д402[[#This Row],[Фикс 24.02.25]]+Д402[[#This Row],[Повышение 05.03.2025
1К: до 40м - 1,5%, 40+ 0,5%
2К - 0,5% ]]</f>
        <v>129659.66061999998</v>
      </c>
      <c r="AG91" s="149">
        <f>Д402[[#This Row],[Фикс 05.03.25]]*1%</f>
        <v>1296.5966061999998</v>
      </c>
      <c r="AH91" s="149">
        <f>Д402[[#This Row],[Фикс 05.03.25]]+Д402[[#This Row],[повышение 14.03.25 1К-1%]]</f>
        <v>130956.25722619997</v>
      </c>
      <c r="AI91" s="149">
        <f>Д402[[#This Row],[Фикс 14.03.25]]*1%</f>
        <v>1309.5625722619998</v>
      </c>
      <c r="AJ91" s="149">
        <f>Д402[[#This Row],[Фикс 14.03.25]]+Д402[[#This Row],[повышение 28.03.25 1К-1%]]</f>
        <v>132265.81979846198</v>
      </c>
      <c r="AK91" s="149"/>
      <c r="AL91" s="149">
        <f>Д402[[#This Row],[Фикс 28.03.25]]+Д402[[#This Row],[Повышение 23.07.25
1К 43-46м2 - 2%
2К 55-58 - 2%; 58-64 - 3%
3К 76-79 - 2%
]]</f>
        <v>132265.81979846198</v>
      </c>
      <c r="AM91" s="149">
        <f>ROUND(Д402[[#This Row],[Фикс 23.07.25]],2)</f>
        <v>132265.82</v>
      </c>
      <c r="AN91" s="149">
        <f>ROUNDUP(Д402[[#This Row],[утв цена м2]]*Д402[[#This Row],[Расчетная проектная площадь]],-2)</f>
        <v>4846300</v>
      </c>
      <c r="AO91" s="151"/>
      <c r="AP91" s="152">
        <v>0.02</v>
      </c>
      <c r="AQ91" s="151">
        <f>Д402[[#This Row],[Стоимость до скидки]]*Д402[[#This Row],[Скидка %]]+Д402[[#This Row],[Скидка фиксированная]]</f>
        <v>96926</v>
      </c>
      <c r="AR91" s="3">
        <f>Д402[[#This Row],[Стоимость ОН без отделки со скидкой]]/Д402[[#This Row],[Расчетная проектная площадь]]</f>
        <v>129622.65283842795</v>
      </c>
      <c r="AS91" s="3">
        <f>Д402[[#This Row],[Стоимость до скидки]]-Д402[[#This Row],[Итоговая сумма скидки]]</f>
        <v>4749374</v>
      </c>
      <c r="AT9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1" s="153"/>
      <c r="AV91" s="153"/>
      <c r="AW91" s="3">
        <f>Д402[[#This Row],[Цена м2 без отделки со скидкой]]+Д402[[#This Row],[Стоимость отделки]]</f>
        <v>129622.65283842795</v>
      </c>
      <c r="AX91" s="3">
        <f>Д402[[#This Row],[Стоимость квартиры с отделкой]]-Д402[[#This Row],[Стоимость ОН без отделки со скидкой]]</f>
        <v>0</v>
      </c>
      <c r="AY91" s="3">
        <f>Д402[[#This Row],[Цена м2 с отделкой]]*Д402[[#This Row],[Расчетная проектная площадь]]</f>
        <v>4749374</v>
      </c>
      <c r="AZ91" s="161" t="s">
        <v>436</v>
      </c>
      <c r="BA91" s="269" t="s">
        <v>426</v>
      </c>
      <c r="BB91" s="269" t="str" cm="1">
        <f t="array" ref="BB9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91" s="161" t="s">
        <v>741</v>
      </c>
      <c r="BD91" s="161" t="s">
        <v>506</v>
      </c>
      <c r="BE91" s="161" t="s">
        <v>737</v>
      </c>
      <c r="BF91" s="161" t="s">
        <v>745</v>
      </c>
      <c r="BG91" s="161" t="b">
        <f>EXACT(Д402[[#This Row],[Статусы CRM]],Д402[[#This Row],[Статус]])</f>
        <v>1</v>
      </c>
      <c r="BH91" s="3">
        <f>IF(Д402[[#This Row],[ПС]]=0,IF(Д402[[#This Row],[ДС]]=0,Д402[[#This Row],[ТС]],Д402[[#This Row],[ДС]]),Д402[[#This Row],[ПС]])</f>
        <v>4846300</v>
      </c>
      <c r="BI91" s="3" t="s">
        <v>749</v>
      </c>
      <c r="BJ91" s="3">
        <v>0</v>
      </c>
      <c r="BK91" s="3">
        <v>4846300</v>
      </c>
      <c r="BL91" s="273">
        <f>Д402[[#This Row],[Стоимость CRM]]-Д402[[#This Row],[Стоимость до скидки]]</f>
        <v>0</v>
      </c>
      <c r="BM91" s="161" t="s">
        <v>9</v>
      </c>
      <c r="BN91" s="161" t="b">
        <f>Д402[[#This Row],[Отделка CRM]]=Д402[[#This Row],[Отделка]]</f>
        <v>1</v>
      </c>
      <c r="BO91" s="275" t="s">
        <v>223</v>
      </c>
      <c r="BP91" s="69"/>
    </row>
    <row r="92" spans="1:68" ht="12" customHeight="1" x14ac:dyDescent="0.25">
      <c r="A92" s="140">
        <v>90</v>
      </c>
      <c r="B92" s="15">
        <v>1</v>
      </c>
      <c r="C92" s="141">
        <f t="shared" si="2"/>
        <v>16</v>
      </c>
      <c r="D92" s="142">
        <v>6</v>
      </c>
      <c r="E92" s="141">
        <v>1</v>
      </c>
      <c r="F92" s="143">
        <v>14.57</v>
      </c>
      <c r="G92" s="143"/>
      <c r="H92" s="143"/>
      <c r="I92" s="144">
        <f>SUM(Д402[[#This Row],[Комната 1]:[Комната 3]])</f>
        <v>14.57</v>
      </c>
      <c r="J92" s="145">
        <v>16.57</v>
      </c>
      <c r="K92" s="145">
        <v>4.46</v>
      </c>
      <c r="L92" s="145"/>
      <c r="M92" s="145">
        <v>7.75</v>
      </c>
      <c r="N92" s="145"/>
      <c r="O92" s="145">
        <v>3.1</v>
      </c>
      <c r="P92" s="146"/>
      <c r="Q92" s="146"/>
      <c r="R92" s="146">
        <f>SUM(Д402[[#This Row],[Лоджия 1]:[Лоджия 3]])</f>
        <v>3.1</v>
      </c>
      <c r="S92" s="10">
        <f>ROUND(SUM(Д402[[#This Row],[Площадь по проекту жилая]:[Лоджия 3]]),2)</f>
        <v>46.45</v>
      </c>
      <c r="T92" s="10">
        <f>ROUND(Д402[[#This Row],[Площадь по проекту(общая)]]-Д402[[#This Row],[Летние]],2)</f>
        <v>43.35</v>
      </c>
      <c r="U92" s="10">
        <f>ROUND(Д402[[#This Row],[Площадь по проекту(общая)]]-(SUM(Д402[[#This Row],[Лоджия 1]:[Лоджия 3]])/2),2)</f>
        <v>44.9</v>
      </c>
      <c r="V92" s="10">
        <f>VLOOKUP(Д402[[#This Row],[№]],наценка7[],COLUMN(наценка7[[#This Row],[Цена м2 с учетом всех K]]),0)</f>
        <v>122837.8</v>
      </c>
      <c r="W92" s="162"/>
      <c r="X92" s="10">
        <f>Д402[[#This Row],[м2 после К]]+Д402[[#This Row],[02.12.2024]]</f>
        <v>122837.8</v>
      </c>
      <c r="Y92" s="149">
        <v>1000</v>
      </c>
      <c r="Z92" s="10">
        <f>Д402[[#This Row],[Фикс 20.12.24]]+Д402[[#This Row],[23.12.24 СП +1000]]</f>
        <v>123837.8</v>
      </c>
      <c r="AA92" s="149">
        <v>215</v>
      </c>
      <c r="AB92" s="10">
        <f>Д402[[#This Row],[Фикс 23.12.24]]+Д402[[#This Row],[Повышение 20.02.25]]</f>
        <v>124052.8</v>
      </c>
      <c r="AC92" s="149">
        <v>17.5</v>
      </c>
      <c r="AD92" s="10">
        <f>Д402[[#This Row],[Фикс 20.02.25]]+Д402[[#This Row],[Повышение 24.02.2025]]</f>
        <v>124070.3</v>
      </c>
      <c r="AE92" s="149">
        <f>Д402[[#This Row],[Фикс 24.02.25]]*0.5%</f>
        <v>620.35149999999999</v>
      </c>
      <c r="AF92" s="10">
        <f>Д402[[#This Row],[Фикс 24.02.25]]+Д402[[#This Row],[Повышение 05.03.2025
1К: до 40м - 1,5%, 40+ 0,5%
2К - 0,5% ]]</f>
        <v>124690.65150000001</v>
      </c>
      <c r="AG92" s="149">
        <f>Д402[[#This Row],[Фикс 05.03.25]]*1%</f>
        <v>1246.9065150000001</v>
      </c>
      <c r="AH92" s="10">
        <f>Д402[[#This Row],[Фикс 05.03.25]]+Д402[[#This Row],[повышение 14.03.25 1К-1%]]</f>
        <v>125937.558015</v>
      </c>
      <c r="AI92" s="149">
        <f>Д402[[#This Row],[Фикс 14.03.25]]*1%</f>
        <v>1259.3755801500001</v>
      </c>
      <c r="AJ92" s="10">
        <f>Д402[[#This Row],[Фикс 14.03.25]]+Д402[[#This Row],[повышение 28.03.25 1К-1%]]</f>
        <v>127196.93359515</v>
      </c>
      <c r="AK92" s="149">
        <f>Д402[[#This Row],[Фикс 28.03.25]]*2%</f>
        <v>2543.9386719029999</v>
      </c>
      <c r="AL92" s="10">
        <f>Д402[[#This Row],[Фикс 28.03.25]]+Д402[[#This Row],[Повышение 23.07.25
1К 43-46м2 - 2%
2К 55-58 - 2%; 58-64 - 3%
3К 76-79 - 2%
]]</f>
        <v>129740.872267053</v>
      </c>
      <c r="AM92" s="149">
        <f>ROUND(Д402[[#This Row],[Фикс 23.07.25]],2)</f>
        <v>129740.87</v>
      </c>
      <c r="AN92" s="149">
        <f>ROUNDUP(Д402[[#This Row],[утв цена м2]]*Д402[[#This Row],[Расчетная проектная площадь]],-2)</f>
        <v>5825400</v>
      </c>
      <c r="AO92" s="151"/>
      <c r="AP92" s="152"/>
      <c r="AQ92" s="151">
        <f>Д402[[#This Row],[Стоимость до скидки]]*Д402[[#This Row],[Скидка %]]+Д402[[#This Row],[Скидка фиксированная]]</f>
        <v>0</v>
      </c>
      <c r="AR92" s="3">
        <f>Д402[[#This Row],[Стоимость ОН без отделки со скидкой]]/Д402[[#This Row],[Расчетная проектная площадь]]</f>
        <v>129741.64810690423</v>
      </c>
      <c r="AS92" s="3">
        <f>Д402[[#This Row],[Стоимость до скидки]]-Д402[[#This Row],[Итоговая сумма скидки]]</f>
        <v>5825400</v>
      </c>
      <c r="AT9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2" s="153"/>
      <c r="AV92" s="153"/>
      <c r="AW92" s="3">
        <f>Д402[[#This Row],[Цена м2 без отделки со скидкой]]+Д402[[#This Row],[Стоимость отделки]]</f>
        <v>129741.64810690423</v>
      </c>
      <c r="AX92" s="3">
        <f>Д402[[#This Row],[Стоимость квартиры с отделкой]]-Д402[[#This Row],[Стоимость ОН без отделки со скидкой]]</f>
        <v>0</v>
      </c>
      <c r="AY92" s="3">
        <f>Д402[[#This Row],[Цена м2 с отделкой]]*Д402[[#This Row],[Расчетная проектная площадь]]</f>
        <v>5825400</v>
      </c>
      <c r="AZ92" s="161"/>
      <c r="BA92" s="155" t="s">
        <v>12</v>
      </c>
      <c r="BB92" s="156" t="str" cm="1">
        <f t="array" ref="BB9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92" s="161" t="s">
        <v>738</v>
      </c>
      <c r="BD92" s="161" t="s">
        <v>739</v>
      </c>
      <c r="BE92" s="161" t="s">
        <v>737</v>
      </c>
      <c r="BF92" s="161" t="s">
        <v>745</v>
      </c>
      <c r="BG92" s="161" t="b">
        <f>EXACT(Д402[[#This Row],[Статусы CRM]],Д402[[#This Row],[Статус]])</f>
        <v>1</v>
      </c>
      <c r="BH92" s="3">
        <f>IF(Д402[[#This Row],[ПС]]=0,IF(Д402[[#This Row],[ДС]]=0,Д402[[#This Row],[ТС]],Д402[[#This Row],[ДС]]),Д402[[#This Row],[ПС]])</f>
        <v>5825400</v>
      </c>
      <c r="BI92" s="3">
        <v>5825400</v>
      </c>
      <c r="BJ92" s="3">
        <v>0</v>
      </c>
      <c r="BK92" s="3">
        <v>0</v>
      </c>
      <c r="BL92" s="273">
        <f>Д402[[#This Row],[Стоимость CRM]]-Д402[[#This Row],[Стоимость до скидки]]</f>
        <v>0</v>
      </c>
      <c r="BM92" s="161" t="s">
        <v>9</v>
      </c>
      <c r="BN92" s="161" t="b">
        <f>Д402[[#This Row],[Отделка CRM]]=Д402[[#This Row],[Отделка]]</f>
        <v>1</v>
      </c>
      <c r="BO92" s="275" t="s">
        <v>224</v>
      </c>
      <c r="BP92" s="69"/>
    </row>
    <row r="93" spans="1:68" s="319" customFormat="1" ht="12" customHeight="1" x14ac:dyDescent="0.25">
      <c r="A93" s="309">
        <v>91</v>
      </c>
      <c r="B93" s="310">
        <v>1</v>
      </c>
      <c r="C93" s="311">
        <f t="shared" si="2"/>
        <v>17</v>
      </c>
      <c r="D93" s="312">
        <v>1</v>
      </c>
      <c r="E93" s="311">
        <v>0</v>
      </c>
      <c r="F93" s="143">
        <v>14.66</v>
      </c>
      <c r="G93" s="143"/>
      <c r="H93" s="143"/>
      <c r="I93" s="144">
        <f>SUM(Д402[[#This Row],[Комната 1]:[Комната 3]])</f>
        <v>14.66</v>
      </c>
      <c r="J93" s="147">
        <v>6.15</v>
      </c>
      <c r="K93" s="145">
        <v>4.7300000000000004</v>
      </c>
      <c r="L93" s="145"/>
      <c r="M93" s="145">
        <v>3.86</v>
      </c>
      <c r="N93" s="145"/>
      <c r="O93" s="145"/>
      <c r="P93" s="146"/>
      <c r="Q93" s="146"/>
      <c r="R93" s="146">
        <f>SUM(Д402[[#This Row],[Лоджия 1]:[Лоджия 3]])</f>
        <v>0</v>
      </c>
      <c r="S93" s="10">
        <f>ROUND(SUM(Д402[[#This Row],[Площадь по проекту жилая]:[Лоджия 3]]),2)</f>
        <v>29.4</v>
      </c>
      <c r="T93" s="10">
        <f>ROUND(Д402[[#This Row],[Площадь по проекту(общая)]]-Д402[[#This Row],[Летние]],2)</f>
        <v>29.4</v>
      </c>
      <c r="U93" s="171">
        <f>ROUND(Д402[[#This Row],[Площадь по проекту(общая)]]-(SUM(Д402[[#This Row],[Лоджия 1]:[Лоджия 3]])/2),2)</f>
        <v>29.4</v>
      </c>
      <c r="V93" s="171">
        <f>VLOOKUP(Д402[[#This Row],[№]],наценка7[],COLUMN(наценка7[[#This Row],[Цена м2 с учетом всех K]]),0)</f>
        <v>139730</v>
      </c>
      <c r="W93" s="320">
        <v>200</v>
      </c>
      <c r="X93" s="171">
        <f>Д402[[#This Row],[м2 после К]]+Д402[[#This Row],[02.12.2024]]</f>
        <v>139930</v>
      </c>
      <c r="Y93" s="313">
        <v>1000</v>
      </c>
      <c r="Z93" s="171">
        <f>Д402[[#This Row],[Фикс 20.12.24]]+Д402[[#This Row],[23.12.24 СП +1000]]</f>
        <v>140930</v>
      </c>
      <c r="AA93" s="313">
        <v>215</v>
      </c>
      <c r="AB93" s="171">
        <f>Д402[[#This Row],[Фикс 23.12.24]]+Д402[[#This Row],[Повышение 20.02.25]]</f>
        <v>141145</v>
      </c>
      <c r="AC93" s="313">
        <v>17.5</v>
      </c>
      <c r="AD93" s="171">
        <f>Д402[[#This Row],[Фикс 20.02.25]]+Д402[[#This Row],[Повышение 24.02.2025]]</f>
        <v>141162.5</v>
      </c>
      <c r="AE93" s="171"/>
      <c r="AF93" s="171">
        <f>Д402[[#This Row],[Фикс 24.02.25]]+Д402[[#This Row],[Повышение 05.03.2025
1К: до 40м - 1,5%, 40+ 0,5%
2К - 0,5% ]]</f>
        <v>141162.5</v>
      </c>
      <c r="AG93" s="171"/>
      <c r="AH93" s="171">
        <f>Д402[[#This Row],[Фикс 05.03.25]]+Д402[[#This Row],[повышение 14.03.25 1К-1%]]</f>
        <v>141162.5</v>
      </c>
      <c r="AI93" s="171"/>
      <c r="AJ93" s="171">
        <f>Д402[[#This Row],[Фикс 14.03.25]]+Д402[[#This Row],[повышение 28.03.25 1К-1%]]</f>
        <v>141162.5</v>
      </c>
      <c r="AK93" s="171"/>
      <c r="AL93" s="171">
        <f>Д402[[#This Row],[Фикс 28.03.25]]+Д402[[#This Row],[Повышение 23.07.25
1К 43-46м2 - 2%
2К 55-58 - 2%; 58-64 - 3%
3К 76-79 - 2%
]]</f>
        <v>141162.5</v>
      </c>
      <c r="AM93" s="313">
        <f>ROUND(Д402[[#This Row],[Фикс 23.07.25]],2)</f>
        <v>141162.5</v>
      </c>
      <c r="AN93" s="313">
        <f>ROUNDUP(Д402[[#This Row],[утв цена м2]]*Д402[[#This Row],[Расчетная проектная площадь]],-2)</f>
        <v>4150200</v>
      </c>
      <c r="AO93" s="321"/>
      <c r="AP93" s="322"/>
      <c r="AQ93" s="321">
        <f>Д402[[#This Row],[Стоимость до скидки]]*Д402[[#This Row],[Скидка %]]+Д402[[#This Row],[Скидка фиксированная]]</f>
        <v>0</v>
      </c>
      <c r="AR93" s="314">
        <f>Д402[[#This Row],[Стоимость ОН без отделки со скидкой]]/Д402[[#This Row],[Расчетная проектная площадь]]</f>
        <v>141163.26530612246</v>
      </c>
      <c r="AS93" s="314">
        <f>Д402[[#This Row],[Стоимость до скидки]]-Д402[[#This Row],[Итоговая сумма скидки]]</f>
        <v>4150200</v>
      </c>
      <c r="AT93" s="314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3" s="315"/>
      <c r="AV93" s="315"/>
      <c r="AW93" s="314">
        <f>Д402[[#This Row],[Цена м2 без отделки со скидкой]]+Д402[[#This Row],[Стоимость отделки]]</f>
        <v>141163.26530612246</v>
      </c>
      <c r="AX93" s="314">
        <f>Д402[[#This Row],[Стоимость квартиры с отделкой]]-Д402[[#This Row],[Стоимость ОН без отделки со скидкой]]</f>
        <v>0</v>
      </c>
      <c r="AY93" s="314">
        <f>Д402[[#This Row],[Цена м2 с отделкой]]*Д402[[#This Row],[Расчетная проектная площадь]]</f>
        <v>4150200</v>
      </c>
      <c r="AZ93" s="316"/>
      <c r="BA93" s="269" t="s">
        <v>128</v>
      </c>
      <c r="BB93" s="317" t="str" cm="1">
        <f t="array" ref="BB9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93" s="316" t="s">
        <v>740</v>
      </c>
      <c r="BD93" s="316" t="s">
        <v>506</v>
      </c>
      <c r="BE93" s="161" t="s">
        <v>737</v>
      </c>
      <c r="BF93" s="161" t="s">
        <v>743</v>
      </c>
      <c r="BG93" s="316" t="b">
        <f>EXACT(Д402[[#This Row],[Статусы CRM]],Д402[[#This Row],[Статус]])</f>
        <v>1</v>
      </c>
      <c r="BH93" s="314">
        <f>IF(Д402[[#This Row],[ПС]]=0,IF(Д402[[#This Row],[ДС]]=0,Д402[[#This Row],[ТС]],Д402[[#This Row],[ДС]]),Д402[[#This Row],[ПС]])</f>
        <v>4150200</v>
      </c>
      <c r="BI93" s="314">
        <v>4150200</v>
      </c>
      <c r="BJ93" s="314">
        <v>0</v>
      </c>
      <c r="BK93" s="314">
        <v>0</v>
      </c>
      <c r="BL93" s="318">
        <f>Д402[[#This Row],[Стоимость CRM]]-Д402[[#This Row],[Стоимость до скидки]]</f>
        <v>0</v>
      </c>
      <c r="BM93" s="316" t="s">
        <v>718</v>
      </c>
      <c r="BN93" s="316" t="b">
        <f>Д402[[#This Row],[Отделка CRM]]=Д402[[#This Row],[Отделка]]</f>
        <v>0</v>
      </c>
      <c r="BO93" s="275" t="s">
        <v>225</v>
      </c>
      <c r="BP93" s="69"/>
    </row>
    <row r="94" spans="1:68" ht="12" customHeight="1" x14ac:dyDescent="0.25">
      <c r="A94" s="140">
        <v>92</v>
      </c>
      <c r="B94" s="15">
        <v>1</v>
      </c>
      <c r="C94" s="141">
        <f t="shared" si="2"/>
        <v>17</v>
      </c>
      <c r="D94" s="142">
        <v>2</v>
      </c>
      <c r="E94" s="141">
        <v>2</v>
      </c>
      <c r="F94" s="143">
        <v>16.100000000000001</v>
      </c>
      <c r="G94" s="143">
        <v>10.8</v>
      </c>
      <c r="H94" s="143"/>
      <c r="I94" s="144">
        <f>SUM(Д402[[#This Row],[Комната 1]:[Комната 3]])</f>
        <v>26.900000000000002</v>
      </c>
      <c r="J94" s="145">
        <v>17.32</v>
      </c>
      <c r="K94" s="145">
        <v>4.25</v>
      </c>
      <c r="L94" s="145"/>
      <c r="M94" s="145">
        <v>9.68</v>
      </c>
      <c r="N94" s="145"/>
      <c r="O94" s="145">
        <v>3.15</v>
      </c>
      <c r="P94" s="146"/>
      <c r="Q94" s="146"/>
      <c r="R94" s="146">
        <f>SUM(Д402[[#This Row],[Лоджия 1]:[Лоджия 3]])</f>
        <v>3.15</v>
      </c>
      <c r="S94" s="10">
        <f>ROUND(SUM(Д402[[#This Row],[Площадь по проекту жилая]:[Лоджия 3]]),2)</f>
        <v>61.3</v>
      </c>
      <c r="T94" s="10">
        <f>ROUND(Д402[[#This Row],[Площадь по проекту(общая)]]-Д402[[#This Row],[Летние]],2)</f>
        <v>58.15</v>
      </c>
      <c r="U94" s="10">
        <f>ROUND(Д402[[#This Row],[Площадь по проекту(общая)]]-(SUM(Д402[[#This Row],[Лоджия 1]:[Лоджия 3]])/2),2)</f>
        <v>59.73</v>
      </c>
      <c r="V94" s="10">
        <f>VLOOKUP(Д402[[#This Row],[№]],наценка7[],COLUMN(наценка7[[#This Row],[Цена м2 с учетом всех K]]),0)</f>
        <v>119811.8</v>
      </c>
      <c r="W94" s="162"/>
      <c r="X94" s="10">
        <f>Д402[[#This Row],[м2 после К]]+Д402[[#This Row],[02.12.2024]]</f>
        <v>119811.8</v>
      </c>
      <c r="Y94" s="149">
        <v>1000</v>
      </c>
      <c r="Z94" s="10">
        <f>Д402[[#This Row],[Фикс 20.12.24]]+Д402[[#This Row],[23.12.24 СП +1000]]</f>
        <v>120811.8</v>
      </c>
      <c r="AA94" s="149">
        <v>215</v>
      </c>
      <c r="AB94" s="10">
        <f>Д402[[#This Row],[Фикс 23.12.24]]+Д402[[#This Row],[Повышение 20.02.25]]</f>
        <v>121026.8</v>
      </c>
      <c r="AC94" s="149">
        <v>17.5</v>
      </c>
      <c r="AD94" s="10">
        <f>Д402[[#This Row],[Фикс 20.02.25]]+Д402[[#This Row],[Повышение 24.02.2025]]</f>
        <v>121044.3</v>
      </c>
      <c r="AE94" s="149">
        <f>Д402[[#This Row],[Фикс 24.02.25]]*0.5%</f>
        <v>605.22149999999999</v>
      </c>
      <c r="AF94" s="10">
        <f>Д402[[#This Row],[Фикс 24.02.25]]+Д402[[#This Row],[Повышение 05.03.2025
1К: до 40м - 1,5%, 40+ 0,5%
2К - 0,5% ]]</f>
        <v>121649.5215</v>
      </c>
      <c r="AG94" s="10"/>
      <c r="AH94" s="10">
        <f>Д402[[#This Row],[Фикс 05.03.25]]+Д402[[#This Row],[повышение 14.03.25 1К-1%]]</f>
        <v>121649.5215</v>
      </c>
      <c r="AI94" s="10"/>
      <c r="AJ94" s="10">
        <f>Д402[[#This Row],[Фикс 14.03.25]]+Д402[[#This Row],[повышение 28.03.25 1К-1%]]</f>
        <v>121649.5215</v>
      </c>
      <c r="AK94" s="10">
        <f>Д402[[#This Row],[Фикс 28.03.25]]*3%</f>
        <v>3649.4856449999997</v>
      </c>
      <c r="AL94" s="10">
        <f>Д402[[#This Row],[Фикс 28.03.25]]+Д402[[#This Row],[Повышение 23.07.25
1К 43-46м2 - 2%
2К 55-58 - 2%; 58-64 - 3%
3К 76-79 - 2%
]]</f>
        <v>125299.007145</v>
      </c>
      <c r="AM94" s="149">
        <f>ROUND(Д402[[#This Row],[Фикс 23.07.25]],2)</f>
        <v>125299.01</v>
      </c>
      <c r="AN94" s="149">
        <f>ROUNDUP(Д402[[#This Row],[утв цена м2]]*Д402[[#This Row],[Расчетная проектная площадь]],-2)</f>
        <v>7484200</v>
      </c>
      <c r="AO94" s="151"/>
      <c r="AP94" s="152"/>
      <c r="AQ94" s="151">
        <f>Д402[[#This Row],[Стоимость до скидки]]*Д402[[#This Row],[Скидка %]]+Д402[[#This Row],[Скидка фиксированная]]</f>
        <v>0</v>
      </c>
      <c r="AR94" s="3">
        <f>Д402[[#This Row],[Стоимость ОН без отделки со скидкой]]/Д402[[#This Row],[Расчетная проектная площадь]]</f>
        <v>125300.51900217647</v>
      </c>
      <c r="AS94" s="3">
        <f>Д402[[#This Row],[Стоимость до скидки]]-Д402[[#This Row],[Итоговая сумма скидки]]</f>
        <v>7484200</v>
      </c>
      <c r="AT9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94" s="153">
        <v>30000</v>
      </c>
      <c r="AV94" s="153" t="s">
        <v>722</v>
      </c>
      <c r="AW94" s="3">
        <f>Д402[[#This Row],[Цена м2 без отделки со скидкой]]+Д402[[#This Row],[Стоимость отделки]]</f>
        <v>155300.51900217647</v>
      </c>
      <c r="AX94" s="3">
        <f>Д402[[#This Row],[Стоимость квартиры с отделкой]]-Д402[[#This Row],[Стоимость ОН без отделки со скидкой]]</f>
        <v>1791900</v>
      </c>
      <c r="AY94" s="3">
        <f>Д402[[#This Row],[Цена м2 с отделкой]]*Д402[[#This Row],[Расчетная проектная площадь]]</f>
        <v>9276100</v>
      </c>
      <c r="AZ94" s="161"/>
      <c r="BA94" s="269" t="s">
        <v>128</v>
      </c>
      <c r="BB94" s="156" t="str" cm="1">
        <f t="array" ref="BB9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94" s="161" t="s">
        <v>740</v>
      </c>
      <c r="BD94" s="161" t="s">
        <v>506</v>
      </c>
      <c r="BE94" s="161" t="s">
        <v>737</v>
      </c>
      <c r="BF94" s="161" t="s">
        <v>744</v>
      </c>
      <c r="BG94" s="161" t="b">
        <f>EXACT(Д402[[#This Row],[Статусы CRM]],Д402[[#This Row],[Статус]])</f>
        <v>1</v>
      </c>
      <c r="BH94" s="3">
        <f>IF(Д402[[#This Row],[ПС]]=0,IF(Д402[[#This Row],[ДС]]=0,Д402[[#This Row],[ТС]],Д402[[#This Row],[ДС]]),Д402[[#This Row],[ПС]])</f>
        <v>7484200</v>
      </c>
      <c r="BI94" s="3">
        <v>7484200</v>
      </c>
      <c r="BJ94" s="3">
        <v>0</v>
      </c>
      <c r="BK94" s="3">
        <v>0</v>
      </c>
      <c r="BL94" s="273">
        <f>Д402[[#This Row],[Стоимость CRM]]-Д402[[#This Row],[Стоимость до скидки]]</f>
        <v>0</v>
      </c>
      <c r="BM94" s="161" t="s">
        <v>11</v>
      </c>
      <c r="BN94" s="161" t="b">
        <f>Д402[[#This Row],[Отделка CRM]]=Д402[[#This Row],[Отделка]]</f>
        <v>1</v>
      </c>
      <c r="BO94" s="275" t="s">
        <v>226</v>
      </c>
      <c r="BP94" s="69"/>
    </row>
    <row r="95" spans="1:68" ht="12" customHeight="1" x14ac:dyDescent="0.25">
      <c r="A95" s="140">
        <v>93</v>
      </c>
      <c r="B95" s="15">
        <v>1</v>
      </c>
      <c r="C95" s="141">
        <f t="shared" si="2"/>
        <v>17</v>
      </c>
      <c r="D95" s="142">
        <v>3</v>
      </c>
      <c r="E95" s="141">
        <v>2</v>
      </c>
      <c r="F95" s="143">
        <v>16.41</v>
      </c>
      <c r="G95" s="143">
        <v>12.19</v>
      </c>
      <c r="H95" s="143"/>
      <c r="I95" s="144">
        <f>SUM(Д402[[#This Row],[Комната 1]:[Комната 3]])</f>
        <v>28.6</v>
      </c>
      <c r="J95" s="145">
        <v>14.24</v>
      </c>
      <c r="K95" s="145">
        <v>3.86</v>
      </c>
      <c r="L95" s="145"/>
      <c r="M95" s="145">
        <v>6.1</v>
      </c>
      <c r="N95" s="145"/>
      <c r="O95" s="145">
        <v>3.33</v>
      </c>
      <c r="P95" s="146"/>
      <c r="Q95" s="146"/>
      <c r="R95" s="146">
        <f>SUM(Д402[[#This Row],[Лоджия 1]:[Лоджия 3]])</f>
        <v>3.33</v>
      </c>
      <c r="S95" s="10">
        <f>ROUND(SUM(Д402[[#This Row],[Площадь по проекту жилая]:[Лоджия 3]]),2)</f>
        <v>56.13</v>
      </c>
      <c r="T95" s="10">
        <f>ROUND(Д402[[#This Row],[Площадь по проекту(общая)]]-Д402[[#This Row],[Летние]],2)</f>
        <v>52.8</v>
      </c>
      <c r="U95" s="10">
        <f>ROUND(Д402[[#This Row],[Площадь по проекту(общая)]]-(SUM(Д402[[#This Row],[Лоджия 1]:[Лоджия 3]])/2),2)</f>
        <v>54.47</v>
      </c>
      <c r="V95" s="10">
        <f>VLOOKUP(Д402[[#This Row],[№]],наценка7[],COLUMN(наценка7[[#This Row],[Цена м2 с учетом всех K]]),0)</f>
        <v>117551.2</v>
      </c>
      <c r="W95" s="162"/>
      <c r="X95" s="10">
        <f>Д402[[#This Row],[м2 после К]]+Д402[[#This Row],[02.12.2024]]</f>
        <v>117551.2</v>
      </c>
      <c r="Y95" s="149">
        <v>1000</v>
      </c>
      <c r="Z95" s="10">
        <f>Д402[[#This Row],[Фикс 20.12.24]]+Д402[[#This Row],[23.12.24 СП +1000]]</f>
        <v>118551.2</v>
      </c>
      <c r="AA95" s="149">
        <v>215</v>
      </c>
      <c r="AB95" s="10">
        <f>Д402[[#This Row],[Фикс 23.12.24]]+Д402[[#This Row],[Повышение 20.02.25]]</f>
        <v>118766.2</v>
      </c>
      <c r="AC95" s="149">
        <v>17.5</v>
      </c>
      <c r="AD95" s="10">
        <f>Д402[[#This Row],[Фикс 20.02.25]]+Д402[[#This Row],[Повышение 24.02.2025]]</f>
        <v>118783.7</v>
      </c>
      <c r="AE95" s="149">
        <f>Д402[[#This Row],[Фикс 24.02.25]]*0.5%</f>
        <v>593.91849999999999</v>
      </c>
      <c r="AF95" s="10">
        <f>Д402[[#This Row],[Фикс 24.02.25]]+Д402[[#This Row],[Повышение 05.03.2025
1К: до 40м - 1,5%, 40+ 0,5%
2К - 0,5% ]]</f>
        <v>119377.6185</v>
      </c>
      <c r="AG95" s="10"/>
      <c r="AH95" s="10">
        <f>Д402[[#This Row],[Фикс 05.03.25]]+Д402[[#This Row],[повышение 14.03.25 1К-1%]]</f>
        <v>119377.6185</v>
      </c>
      <c r="AI95" s="10"/>
      <c r="AJ95" s="10">
        <f>Д402[[#This Row],[Фикс 14.03.25]]+Д402[[#This Row],[повышение 28.03.25 1К-1%]]</f>
        <v>119377.6185</v>
      </c>
      <c r="AK95" s="10"/>
      <c r="AL95" s="10">
        <f>Д402[[#This Row],[Фикс 28.03.25]]+Д402[[#This Row],[Повышение 23.07.25
1К 43-46м2 - 2%
2К 55-58 - 2%; 58-64 - 3%
3К 76-79 - 2%
]]</f>
        <v>119377.6185</v>
      </c>
      <c r="AM95" s="149">
        <f>ROUND(Д402[[#This Row],[Фикс 23.07.25]],2)</f>
        <v>119377.62</v>
      </c>
      <c r="AN95" s="149">
        <f>ROUNDUP(Д402[[#This Row],[утв цена м2]]*Д402[[#This Row],[Расчетная проектная площадь]],-2)</f>
        <v>6502500</v>
      </c>
      <c r="AO95" s="151"/>
      <c r="AP95" s="152"/>
      <c r="AQ95" s="151">
        <f>Д402[[#This Row],[Стоимость до скидки]]*Д402[[#This Row],[Скидка %]]+Д402[[#This Row],[Скидка фиксированная]]</f>
        <v>0</v>
      </c>
      <c r="AR95" s="3">
        <f>Д402[[#This Row],[Стоимость ОН без отделки со скидкой]]/Д402[[#This Row],[Расчетная проектная площадь]]</f>
        <v>119377.63906737654</v>
      </c>
      <c r="AS95" s="3">
        <f>Д402[[#This Row],[Стоимость до скидки]]-Д402[[#This Row],[Итоговая сумма скидки]]</f>
        <v>6502500</v>
      </c>
      <c r="AT9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5" s="153"/>
      <c r="AV95" s="153"/>
      <c r="AW95" s="3">
        <f>Д402[[#This Row],[Цена м2 без отделки со скидкой]]+Д402[[#This Row],[Стоимость отделки]]</f>
        <v>119377.63906737654</v>
      </c>
      <c r="AX95" s="3">
        <f>Д402[[#This Row],[Стоимость квартиры с отделкой]]-Д402[[#This Row],[Стоимость ОН без отделки со скидкой]]</f>
        <v>0</v>
      </c>
      <c r="AY95" s="3">
        <f>Д402[[#This Row],[Цена м2 с отделкой]]*Д402[[#This Row],[Расчетная проектная площадь]]</f>
        <v>6502500</v>
      </c>
      <c r="AZ95" s="161"/>
      <c r="BA95" s="155" t="s">
        <v>12</v>
      </c>
      <c r="BB95" s="156" t="str" cm="1">
        <f t="array" ref="BB9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95" s="161" t="s">
        <v>738</v>
      </c>
      <c r="BD95" s="161" t="s">
        <v>739</v>
      </c>
      <c r="BE95" s="161" t="s">
        <v>737</v>
      </c>
      <c r="BF95" s="161" t="s">
        <v>744</v>
      </c>
      <c r="BG95" s="161" t="b">
        <f>EXACT(Д402[[#This Row],[Статусы CRM]],Д402[[#This Row],[Статус]])</f>
        <v>1</v>
      </c>
      <c r="BH95" s="3">
        <f>IF(Д402[[#This Row],[ПС]]=0,IF(Д402[[#This Row],[ДС]]=0,Д402[[#This Row],[ТС]],Д402[[#This Row],[ДС]]),Д402[[#This Row],[ПС]])</f>
        <v>6502500</v>
      </c>
      <c r="BI95" s="3">
        <v>6502500</v>
      </c>
      <c r="BJ95" s="3">
        <v>0</v>
      </c>
      <c r="BK95" s="3">
        <v>0</v>
      </c>
      <c r="BL95" s="273">
        <f>Д402[[#This Row],[Стоимость CRM]]-Д402[[#This Row],[Стоимость до скидки]]</f>
        <v>0</v>
      </c>
      <c r="BM95" s="161" t="s">
        <v>9</v>
      </c>
      <c r="BN95" s="161" t="b">
        <f>Д402[[#This Row],[Отделка CRM]]=Д402[[#This Row],[Отделка]]</f>
        <v>1</v>
      </c>
      <c r="BO95" s="275" t="s">
        <v>227</v>
      </c>
      <c r="BP95" s="69"/>
    </row>
    <row r="96" spans="1:68" ht="12" customHeight="1" x14ac:dyDescent="0.25">
      <c r="A96" s="140">
        <v>94</v>
      </c>
      <c r="B96" s="15">
        <v>1</v>
      </c>
      <c r="C96" s="141">
        <f t="shared" si="2"/>
        <v>17</v>
      </c>
      <c r="D96" s="142">
        <v>4</v>
      </c>
      <c r="E96" s="141">
        <v>2</v>
      </c>
      <c r="F96" s="143">
        <v>14.98</v>
      </c>
      <c r="G96" s="143">
        <v>12.28</v>
      </c>
      <c r="H96" s="143"/>
      <c r="I96" s="144">
        <f>SUM(Д402[[#This Row],[Комната 1]:[Комната 3]])</f>
        <v>27.259999999999998</v>
      </c>
      <c r="J96" s="145">
        <v>14.78</v>
      </c>
      <c r="K96" s="145">
        <v>4.4400000000000004</v>
      </c>
      <c r="L96" s="145"/>
      <c r="M96" s="145">
        <v>6.25</v>
      </c>
      <c r="N96" s="145"/>
      <c r="O96" s="145">
        <v>3.33</v>
      </c>
      <c r="P96" s="146"/>
      <c r="Q96" s="146"/>
      <c r="R96" s="146">
        <f>SUM(Д402[[#This Row],[Лоджия 1]:[Лоджия 3]])</f>
        <v>3.33</v>
      </c>
      <c r="S96" s="10">
        <f>ROUND(SUM(Д402[[#This Row],[Площадь по проекту жилая]:[Лоджия 3]]),2)</f>
        <v>56.06</v>
      </c>
      <c r="T96" s="10">
        <f>ROUND(Д402[[#This Row],[Площадь по проекту(общая)]]-Д402[[#This Row],[Летние]],2)</f>
        <v>52.73</v>
      </c>
      <c r="U96" s="10">
        <f>ROUND(Д402[[#This Row],[Площадь по проекту(общая)]]-(SUM(Д402[[#This Row],[Лоджия 1]:[Лоджия 3]])/2),2)</f>
        <v>54.4</v>
      </c>
      <c r="V96" s="10">
        <f>VLOOKUP(Д402[[#This Row],[№]],наценка7[],COLUMN(наценка7[[#This Row],[Цена м2 с учетом всех K]]),0)</f>
        <v>119811.8</v>
      </c>
      <c r="W96" s="162"/>
      <c r="X96" s="10">
        <f>Д402[[#This Row],[м2 после К]]+Д402[[#This Row],[02.12.2024]]</f>
        <v>119811.8</v>
      </c>
      <c r="Y96" s="149">
        <v>1000</v>
      </c>
      <c r="Z96" s="10">
        <f>Д402[[#This Row],[Фикс 20.12.24]]+Д402[[#This Row],[23.12.24 СП +1000]]</f>
        <v>120811.8</v>
      </c>
      <c r="AA96" s="149">
        <v>215</v>
      </c>
      <c r="AB96" s="10">
        <f>Д402[[#This Row],[Фикс 23.12.24]]+Д402[[#This Row],[Повышение 20.02.25]]</f>
        <v>121026.8</v>
      </c>
      <c r="AC96" s="149">
        <v>17.5</v>
      </c>
      <c r="AD96" s="10">
        <f>Д402[[#This Row],[Фикс 20.02.25]]+Д402[[#This Row],[Повышение 24.02.2025]]</f>
        <v>121044.3</v>
      </c>
      <c r="AE96" s="149">
        <f>Д402[[#This Row],[Фикс 24.02.25]]*0.5%</f>
        <v>605.22149999999999</v>
      </c>
      <c r="AF96" s="10">
        <f>Д402[[#This Row],[Фикс 24.02.25]]+Д402[[#This Row],[Повышение 05.03.2025
1К: до 40м - 1,5%, 40+ 0,5%
2К - 0,5% ]]</f>
        <v>121649.5215</v>
      </c>
      <c r="AG96" s="10"/>
      <c r="AH96" s="10">
        <f>Д402[[#This Row],[Фикс 05.03.25]]+Д402[[#This Row],[повышение 14.03.25 1К-1%]]</f>
        <v>121649.5215</v>
      </c>
      <c r="AI96" s="10"/>
      <c r="AJ96" s="10">
        <f>Д402[[#This Row],[Фикс 14.03.25]]+Д402[[#This Row],[повышение 28.03.25 1К-1%]]</f>
        <v>121649.5215</v>
      </c>
      <c r="AK96" s="10"/>
      <c r="AL96" s="10">
        <f>Д402[[#This Row],[Фикс 28.03.25]]+Д402[[#This Row],[Повышение 23.07.25
1К 43-46м2 - 2%
2К 55-58 - 2%; 58-64 - 3%
3К 76-79 - 2%
]]</f>
        <v>121649.5215</v>
      </c>
      <c r="AM96" s="149">
        <f>ROUND(Д402[[#This Row],[Фикс 23.07.25]],2)</f>
        <v>121649.52</v>
      </c>
      <c r="AN96" s="149">
        <f>ROUNDUP(Д402[[#This Row],[утв цена м2]]*Д402[[#This Row],[Расчетная проектная площадь]],-2)</f>
        <v>6617800</v>
      </c>
      <c r="AO96" s="151"/>
      <c r="AP96" s="152"/>
      <c r="AQ96" s="151">
        <f>Д402[[#This Row],[Стоимость до скидки]]*Д402[[#This Row],[Скидка %]]+Д402[[#This Row],[Скидка фиксированная]]</f>
        <v>0</v>
      </c>
      <c r="AR96" s="3">
        <f>Д402[[#This Row],[Стоимость ОН без отделки со скидкой]]/Д402[[#This Row],[Расчетная проектная площадь]]</f>
        <v>121650.73529411765</v>
      </c>
      <c r="AS96" s="3">
        <f>Д402[[#This Row],[Стоимость до скидки]]-Д402[[#This Row],[Итоговая сумма скидки]]</f>
        <v>6617800</v>
      </c>
      <c r="AT9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6" s="153"/>
      <c r="AV96" s="153"/>
      <c r="AW96" s="3">
        <f>Д402[[#This Row],[Цена м2 без отделки со скидкой]]+Д402[[#This Row],[Стоимость отделки]]</f>
        <v>121650.73529411765</v>
      </c>
      <c r="AX96" s="3">
        <f>Д402[[#This Row],[Стоимость квартиры с отделкой]]-Д402[[#This Row],[Стоимость ОН без отделки со скидкой]]</f>
        <v>0</v>
      </c>
      <c r="AY96" s="3">
        <f>Д402[[#This Row],[Цена м2 с отделкой]]*Д402[[#This Row],[Расчетная проектная площадь]]</f>
        <v>6617800</v>
      </c>
      <c r="AZ96" s="161"/>
      <c r="BA96" s="155" t="s">
        <v>12</v>
      </c>
      <c r="BB96" s="156" t="str" cm="1">
        <f t="array" ref="BB9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96" s="161" t="s">
        <v>738</v>
      </c>
      <c r="BD96" s="161" t="s">
        <v>739</v>
      </c>
      <c r="BE96" s="161" t="s">
        <v>737</v>
      </c>
      <c r="BF96" s="161" t="s">
        <v>744</v>
      </c>
      <c r="BG96" s="161" t="b">
        <f>EXACT(Д402[[#This Row],[Статусы CRM]],Д402[[#This Row],[Статус]])</f>
        <v>1</v>
      </c>
      <c r="BH96" s="3">
        <f>IF(Д402[[#This Row],[ПС]]=0,IF(Д402[[#This Row],[ДС]]=0,Д402[[#This Row],[ТС]],Д402[[#This Row],[ДС]]),Д402[[#This Row],[ПС]])</f>
        <v>6617800</v>
      </c>
      <c r="BI96" s="3">
        <v>6617800</v>
      </c>
      <c r="BJ96" s="3">
        <v>0</v>
      </c>
      <c r="BK96" s="3">
        <v>0</v>
      </c>
      <c r="BL96" s="273">
        <f>Д402[[#This Row],[Стоимость CRM]]-Д402[[#This Row],[Стоимость до скидки]]</f>
        <v>0</v>
      </c>
      <c r="BM96" s="161" t="s">
        <v>9</v>
      </c>
      <c r="BN96" s="161" t="b">
        <f>Д402[[#This Row],[Отделка CRM]]=Д402[[#This Row],[Отделка]]</f>
        <v>1</v>
      </c>
      <c r="BO96" s="275" t="s">
        <v>228</v>
      </c>
      <c r="BP96" s="69"/>
    </row>
    <row r="97" spans="1:68" ht="12" customHeight="1" x14ac:dyDescent="0.25">
      <c r="A97" s="140">
        <v>95</v>
      </c>
      <c r="B97" s="15">
        <v>1</v>
      </c>
      <c r="C97" s="141">
        <f t="shared" si="2"/>
        <v>17</v>
      </c>
      <c r="D97" s="142">
        <v>5</v>
      </c>
      <c r="E97" s="141">
        <v>1</v>
      </c>
      <c r="F97" s="143">
        <v>13.06</v>
      </c>
      <c r="G97" s="143"/>
      <c r="H97" s="143"/>
      <c r="I97" s="144">
        <f>SUM(Д402[[#This Row],[Комната 1]:[Комната 3]])</f>
        <v>13.06</v>
      </c>
      <c r="J97" s="145">
        <v>14.73</v>
      </c>
      <c r="K97" s="145">
        <v>4.4400000000000004</v>
      </c>
      <c r="L97" s="145"/>
      <c r="M97" s="145">
        <v>2.9</v>
      </c>
      <c r="N97" s="145"/>
      <c r="O97" s="145">
        <v>3.02</v>
      </c>
      <c r="P97" s="146"/>
      <c r="Q97" s="146"/>
      <c r="R97" s="146">
        <f>SUM(Д402[[#This Row],[Лоджия 1]:[Лоджия 3]])</f>
        <v>3.02</v>
      </c>
      <c r="S97" s="10">
        <f>ROUND(SUM(Д402[[#This Row],[Площадь по проекту жилая]:[Лоджия 3]]),2)</f>
        <v>38.15</v>
      </c>
      <c r="T97" s="10">
        <f>ROUND(Д402[[#This Row],[Площадь по проекту(общая)]]-Д402[[#This Row],[Летние]],2)</f>
        <v>35.130000000000003</v>
      </c>
      <c r="U97" s="10">
        <f>ROUND(Д402[[#This Row],[Площадь по проекту(общая)]]-(SUM(Д402[[#This Row],[Лоджия 1]:[Лоджия 3]])/2),2)</f>
        <v>36.64</v>
      </c>
      <c r="V97" s="10">
        <f>VLOOKUP(Д402[[#This Row],[№]],наценка7[],COLUMN(наценка7[[#This Row],[Цена м2 с учетом всех K]]),0)</f>
        <v>126415.6</v>
      </c>
      <c r="W97" s="159">
        <f>2%*Д402[[#This Row],[м2 после К]]</f>
        <v>2528.3120000000004</v>
      </c>
      <c r="X97" s="10">
        <f>Д402[[#This Row],[м2 после К]]+Д402[[#This Row],[02.12.2024]]</f>
        <v>128943.91200000001</v>
      </c>
      <c r="Y97" s="149">
        <v>1000</v>
      </c>
      <c r="Z97" s="10">
        <f>Д402[[#This Row],[Фикс 20.12.24]]+Д402[[#This Row],[23.12.24 СП +1000]]</f>
        <v>129943.91200000001</v>
      </c>
      <c r="AA97" s="149">
        <v>215</v>
      </c>
      <c r="AB97" s="10">
        <f>Д402[[#This Row],[Фикс 23.12.24]]+Д402[[#This Row],[Повышение 20.02.25]]</f>
        <v>130158.91200000001</v>
      </c>
      <c r="AC97" s="149">
        <v>17.5</v>
      </c>
      <c r="AD97" s="10">
        <f>Д402[[#This Row],[Фикс 20.02.25]]+Д402[[#This Row],[Повышение 24.02.2025]]</f>
        <v>130176.41200000001</v>
      </c>
      <c r="AE97" s="10"/>
      <c r="AF97" s="10">
        <f>Д402[[#This Row],[Фикс 24.02.25]]+Д402[[#This Row],[Повышение 05.03.2025
1К: до 40м - 1,5%, 40+ 0,5%
2К - 0,5% ]]</f>
        <v>130176.41200000001</v>
      </c>
      <c r="AG97" s="10"/>
      <c r="AH97" s="10">
        <f>Д402[[#This Row],[Фикс 05.03.25]]+Д402[[#This Row],[повышение 14.03.25 1К-1%]]</f>
        <v>130176.41200000001</v>
      </c>
      <c r="AI97" s="10"/>
      <c r="AJ97" s="10">
        <f>Д402[[#This Row],[Фикс 14.03.25]]+Д402[[#This Row],[повышение 28.03.25 1К-1%]]</f>
        <v>130176.41200000001</v>
      </c>
      <c r="AK97" s="10"/>
      <c r="AL97" s="10">
        <f>Д402[[#This Row],[Фикс 28.03.25]]+Д402[[#This Row],[Повышение 23.07.25
1К 43-46м2 - 2%
2К 55-58 - 2%; 58-64 - 3%
3К 76-79 - 2%
]]</f>
        <v>130176.41200000001</v>
      </c>
      <c r="AM97" s="149">
        <f>ROUND(Д402[[#This Row],[Фикс 23.07.25]],2)</f>
        <v>130176.41</v>
      </c>
      <c r="AN97" s="149">
        <f>ROUNDUP(Д402[[#This Row],[утв цена м2]]*Д402[[#This Row],[Расчетная проектная площадь]],-2)</f>
        <v>4769700</v>
      </c>
      <c r="AO97" s="151"/>
      <c r="AP97" s="152">
        <v>0.02</v>
      </c>
      <c r="AQ97" s="151">
        <f>Д402[[#This Row],[Стоимость до скидки]]*Д402[[#This Row],[Скидка %]]+Д402[[#This Row],[Скидка фиксированная]]</f>
        <v>95394</v>
      </c>
      <c r="AR97" s="3">
        <f>Д402[[#This Row],[Стоимость ОН без отделки со скидкой]]/Д402[[#This Row],[Расчетная проектная площадь]]</f>
        <v>127573.85371179039</v>
      </c>
      <c r="AS97" s="3">
        <f>Д402[[#This Row],[Стоимость до скидки]]-Д402[[#This Row],[Итоговая сумма скидки]]</f>
        <v>4674306</v>
      </c>
      <c r="AT9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97" s="153">
        <v>10000</v>
      </c>
      <c r="AV97" s="153"/>
      <c r="AW97" s="3">
        <f>Д402[[#This Row],[Цена м2 без отделки со скидкой]]+Д402[[#This Row],[Стоимость отделки]]</f>
        <v>137573.85371179041</v>
      </c>
      <c r="AX97" s="3">
        <f>Д402[[#This Row],[Стоимость квартиры с отделкой]]-Д402[[#This Row],[Стоимость ОН без отделки со скидкой]]</f>
        <v>366400.00000000093</v>
      </c>
      <c r="AY97" s="3">
        <f>Д402[[#This Row],[Цена м2 с отделкой]]*Д402[[#This Row],[Расчетная проектная площадь]]</f>
        <v>5040706.0000000009</v>
      </c>
      <c r="AZ97" s="161" t="s">
        <v>436</v>
      </c>
      <c r="BA97" s="277" t="s">
        <v>426</v>
      </c>
      <c r="BB97" s="269" t="str" cm="1">
        <f t="array" ref="BB9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97" s="161" t="s">
        <v>741</v>
      </c>
      <c r="BD97" s="161" t="s">
        <v>506</v>
      </c>
      <c r="BE97" s="161" t="s">
        <v>737</v>
      </c>
      <c r="BF97" s="161" t="s">
        <v>745</v>
      </c>
      <c r="BG97" s="161" t="b">
        <f>EXACT(Д402[[#This Row],[Статусы CRM]],Д402[[#This Row],[Статус]])</f>
        <v>1</v>
      </c>
      <c r="BH97" s="3">
        <f>IF(Д402[[#This Row],[ПС]]=0,IF(Д402[[#This Row],[ДС]]=0,Д402[[#This Row],[ТС]],Д402[[#This Row],[ДС]]),Д402[[#This Row],[ПС]])</f>
        <v>4769700</v>
      </c>
      <c r="BI97" s="3" t="s">
        <v>749</v>
      </c>
      <c r="BJ97" s="3">
        <v>4769700</v>
      </c>
      <c r="BK97" s="3">
        <v>4769700</v>
      </c>
      <c r="BL97" s="273">
        <f>Д402[[#This Row],[Стоимость CRM]]-Д402[[#This Row],[Стоимость до скидки]]</f>
        <v>0</v>
      </c>
      <c r="BM97" s="161" t="s">
        <v>718</v>
      </c>
      <c r="BN97" s="161" t="b">
        <f>Д402[[#This Row],[Отделка CRM]]=Д402[[#This Row],[Отделка]]</f>
        <v>1</v>
      </c>
      <c r="BO97" s="275" t="s">
        <v>229</v>
      </c>
      <c r="BP97" s="69"/>
    </row>
    <row r="98" spans="1:68" ht="12" customHeight="1" x14ac:dyDescent="0.25">
      <c r="A98" s="140">
        <v>96</v>
      </c>
      <c r="B98" s="15">
        <v>1</v>
      </c>
      <c r="C98" s="141">
        <f t="shared" si="2"/>
        <v>17</v>
      </c>
      <c r="D98" s="142">
        <v>6</v>
      </c>
      <c r="E98" s="141">
        <v>1</v>
      </c>
      <c r="F98" s="143">
        <v>14.57</v>
      </c>
      <c r="G98" s="143"/>
      <c r="H98" s="143"/>
      <c r="I98" s="144">
        <f>SUM(Д402[[#This Row],[Комната 1]:[Комната 3]])</f>
        <v>14.57</v>
      </c>
      <c r="J98" s="145">
        <v>16.57</v>
      </c>
      <c r="K98" s="145">
        <v>4.46</v>
      </c>
      <c r="L98" s="145"/>
      <c r="M98" s="145">
        <v>7.75</v>
      </c>
      <c r="N98" s="145"/>
      <c r="O98" s="145">
        <v>3.1</v>
      </c>
      <c r="P98" s="146"/>
      <c r="Q98" s="146"/>
      <c r="R98" s="146">
        <f>SUM(Д402[[#This Row],[Лоджия 1]:[Лоджия 3]])</f>
        <v>3.1</v>
      </c>
      <c r="S98" s="10">
        <f>ROUND(SUM(Д402[[#This Row],[Площадь по проекту жилая]:[Лоджия 3]]),2)</f>
        <v>46.45</v>
      </c>
      <c r="T98" s="10">
        <f>ROUND(Д402[[#This Row],[Площадь по проекту(общая)]]-Д402[[#This Row],[Летние]],2)</f>
        <v>43.35</v>
      </c>
      <c r="U98" s="10">
        <f>ROUND(Д402[[#This Row],[Площадь по проекту(общая)]]-(SUM(Д402[[#This Row],[Лоджия 1]:[Лоджия 3]])/2),2)</f>
        <v>44.9</v>
      </c>
      <c r="V98" s="10">
        <f>VLOOKUP(Д402[[#This Row],[№]],наценка7[],COLUMN(наценка7[[#This Row],[Цена м2 с учетом всех K]]),0)</f>
        <v>120452.6</v>
      </c>
      <c r="W98" s="162"/>
      <c r="X98" s="10">
        <f>Д402[[#This Row],[м2 после К]]+Д402[[#This Row],[02.12.2024]]</f>
        <v>120452.6</v>
      </c>
      <c r="Y98" s="149">
        <v>1000</v>
      </c>
      <c r="Z98" s="10">
        <f>Д402[[#This Row],[Фикс 20.12.24]]+Д402[[#This Row],[23.12.24 СП +1000]]</f>
        <v>121452.6</v>
      </c>
      <c r="AA98" s="149">
        <v>215</v>
      </c>
      <c r="AB98" s="10">
        <f>Д402[[#This Row],[Фикс 23.12.24]]+Д402[[#This Row],[Повышение 20.02.25]]</f>
        <v>121667.6</v>
      </c>
      <c r="AC98" s="149">
        <v>17.5</v>
      </c>
      <c r="AD98" s="10">
        <f>Д402[[#This Row],[Фикс 20.02.25]]+Д402[[#This Row],[Повышение 24.02.2025]]</f>
        <v>121685.1</v>
      </c>
      <c r="AE98" s="149">
        <f>Д402[[#This Row],[Фикс 24.02.25]]*0.5%</f>
        <v>608.42550000000006</v>
      </c>
      <c r="AF98" s="10">
        <f>Д402[[#This Row],[Фикс 24.02.25]]+Д402[[#This Row],[Повышение 05.03.2025
1К: до 40м - 1,5%, 40+ 0,5%
2К - 0,5% ]]</f>
        <v>122293.5255</v>
      </c>
      <c r="AG98" s="149">
        <f>Д402[[#This Row],[Фикс 05.03.25]]*1%</f>
        <v>1222.9352550000001</v>
      </c>
      <c r="AH98" s="10">
        <f>Д402[[#This Row],[Фикс 05.03.25]]+Д402[[#This Row],[повышение 14.03.25 1К-1%]]</f>
        <v>123516.46075500001</v>
      </c>
      <c r="AI98" s="149">
        <f>Д402[[#This Row],[Фикс 14.03.25]]*1%</f>
        <v>1235.16460755</v>
      </c>
      <c r="AJ98" s="10">
        <f>Д402[[#This Row],[Фикс 14.03.25]]+Д402[[#This Row],[повышение 28.03.25 1К-1%]]</f>
        <v>124751.62536255001</v>
      </c>
      <c r="AK98" s="149">
        <f>Д402[[#This Row],[Фикс 28.03.25]]*2%</f>
        <v>2495.0325072510004</v>
      </c>
      <c r="AL98" s="10">
        <f>Д402[[#This Row],[Фикс 28.03.25]]+Д402[[#This Row],[Повышение 23.07.25
1К 43-46м2 - 2%
2К 55-58 - 2%; 58-64 - 3%
3К 76-79 - 2%
]]</f>
        <v>127246.65786980101</v>
      </c>
      <c r="AM98" s="149">
        <f>ROUND(Д402[[#This Row],[Фикс 23.07.25]],2)</f>
        <v>127246.66</v>
      </c>
      <c r="AN98" s="149">
        <f>ROUNDUP(Д402[[#This Row],[утв цена м2]]*Д402[[#This Row],[Расчетная проектная площадь]],-2)</f>
        <v>5713400</v>
      </c>
      <c r="AO98" s="151"/>
      <c r="AP98" s="152"/>
      <c r="AQ98" s="151">
        <f>Д402[[#This Row],[Стоимость до скидки]]*Д402[[#This Row],[Скидка %]]+Д402[[#This Row],[Скидка фиксированная]]</f>
        <v>0</v>
      </c>
      <c r="AR98" s="3">
        <f>Д402[[#This Row],[Стоимость ОН без отделки со скидкой]]/Д402[[#This Row],[Расчетная проектная площадь]]</f>
        <v>127247.21603563474</v>
      </c>
      <c r="AS98" s="3">
        <f>Д402[[#This Row],[Стоимость до скидки]]-Д402[[#This Row],[Итоговая сумма скидки]]</f>
        <v>5713400</v>
      </c>
      <c r="AT9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98" s="153">
        <v>30000</v>
      </c>
      <c r="AV98" s="153" t="s">
        <v>722</v>
      </c>
      <c r="AW98" s="3">
        <f>Д402[[#This Row],[Цена м2 без отделки со скидкой]]+Д402[[#This Row],[Стоимость отделки]]</f>
        <v>157247.21603563474</v>
      </c>
      <c r="AX98" s="3">
        <f>Д402[[#This Row],[Стоимость квартиры с отделкой]]-Д402[[#This Row],[Стоимость ОН без отделки со скидкой]]</f>
        <v>1347000</v>
      </c>
      <c r="AY98" s="3">
        <f>Д402[[#This Row],[Цена м2 с отделкой]]*Д402[[#This Row],[Расчетная проектная площадь]]</f>
        <v>7060400</v>
      </c>
      <c r="AZ98" s="161"/>
      <c r="BA98" s="269" t="s">
        <v>128</v>
      </c>
      <c r="BB98" s="156" t="str" cm="1">
        <f t="array" ref="BB9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98" s="161" t="s">
        <v>740</v>
      </c>
      <c r="BD98" s="161" t="s">
        <v>506</v>
      </c>
      <c r="BE98" s="161" t="s">
        <v>737</v>
      </c>
      <c r="BF98" s="161" t="s">
        <v>745</v>
      </c>
      <c r="BG98" s="161" t="b">
        <f>EXACT(Д402[[#This Row],[Статусы CRM]],Д402[[#This Row],[Статус]])</f>
        <v>1</v>
      </c>
      <c r="BH98" s="3">
        <f>IF(Д402[[#This Row],[ПС]]=0,IF(Д402[[#This Row],[ДС]]=0,Д402[[#This Row],[ТС]],Д402[[#This Row],[ДС]]),Д402[[#This Row],[ПС]])</f>
        <v>5713400</v>
      </c>
      <c r="BI98" s="3">
        <v>5713400</v>
      </c>
      <c r="BJ98" s="3">
        <v>0</v>
      </c>
      <c r="BK98" s="3">
        <v>0</v>
      </c>
      <c r="BL98" s="273">
        <f>Д402[[#This Row],[Стоимость CRM]]-Д402[[#This Row],[Стоимость до скидки]]</f>
        <v>0</v>
      </c>
      <c r="BM98" s="161" t="s">
        <v>11</v>
      </c>
      <c r="BN98" s="161" t="b">
        <f>Д402[[#This Row],[Отделка CRM]]=Д402[[#This Row],[Отделка]]</f>
        <v>1</v>
      </c>
      <c r="BO98" s="275" t="s">
        <v>230</v>
      </c>
      <c r="BP98" s="69"/>
    </row>
    <row r="99" spans="1:68" ht="12" customHeight="1" x14ac:dyDescent="0.25">
      <c r="A99" s="140">
        <v>97</v>
      </c>
      <c r="B99" s="15">
        <v>1</v>
      </c>
      <c r="C99" s="141">
        <f t="shared" si="2"/>
        <v>18</v>
      </c>
      <c r="D99" s="142">
        <v>1</v>
      </c>
      <c r="E99" s="141">
        <v>0</v>
      </c>
      <c r="F99" s="143">
        <v>14.66</v>
      </c>
      <c r="G99" s="143"/>
      <c r="H99" s="143"/>
      <c r="I99" s="144">
        <f>SUM(Д402[[#This Row],[Комната 1]:[Комната 3]])</f>
        <v>14.66</v>
      </c>
      <c r="J99" s="147">
        <v>6.15</v>
      </c>
      <c r="K99" s="145">
        <v>4.7300000000000004</v>
      </c>
      <c r="L99" s="145"/>
      <c r="M99" s="145">
        <v>3.86</v>
      </c>
      <c r="N99" s="145"/>
      <c r="O99" s="145"/>
      <c r="P99" s="146"/>
      <c r="Q99" s="146"/>
      <c r="R99" s="146">
        <f>SUM(Д402[[#This Row],[Лоджия 1]:[Лоджия 3]])</f>
        <v>0</v>
      </c>
      <c r="S99" s="10">
        <f>ROUND(SUM(Д402[[#This Row],[Площадь по проекту жилая]:[Лоджия 3]]),2)</f>
        <v>29.4</v>
      </c>
      <c r="T99" s="10">
        <f>ROUND(Д402[[#This Row],[Площадь по проекту(общая)]]-Д402[[#This Row],[Летние]],2)</f>
        <v>29.4</v>
      </c>
      <c r="U99" s="10">
        <f>ROUND(Д402[[#This Row],[Площадь по проекту(общая)]]-(SUM(Д402[[#This Row],[Лоджия 1]:[Лоджия 3]])/2),2)</f>
        <v>29.4</v>
      </c>
      <c r="V99" s="10">
        <f>VLOOKUP(Д402[[#This Row],[№]],наценка7[],COLUMN(наценка7[[#This Row],[Цена м2 с учетом всех K]]),0)</f>
        <v>142524.6</v>
      </c>
      <c r="W99" s="159">
        <v>200</v>
      </c>
      <c r="X99" s="10">
        <f>Д402[[#This Row],[м2 после К]]+Д402[[#This Row],[02.12.2024]]</f>
        <v>142724.6</v>
      </c>
      <c r="Y99" s="149">
        <v>1000</v>
      </c>
      <c r="Z99" s="10">
        <f>Д402[[#This Row],[Фикс 20.12.24]]+Д402[[#This Row],[23.12.24 СП +1000]]</f>
        <v>143724.6</v>
      </c>
      <c r="AA99" s="149">
        <v>215</v>
      </c>
      <c r="AB99" s="10">
        <f>Д402[[#This Row],[Фикс 23.12.24]]+Д402[[#This Row],[Повышение 20.02.25]]</f>
        <v>143939.6</v>
      </c>
      <c r="AC99" s="149">
        <v>17.5</v>
      </c>
      <c r="AD99" s="10">
        <f>Д402[[#This Row],[Фикс 20.02.25]]+Д402[[#This Row],[Повышение 24.02.2025]]</f>
        <v>143957.1</v>
      </c>
      <c r="AE99" s="10"/>
      <c r="AF99" s="10">
        <f>Д402[[#This Row],[Фикс 24.02.25]]+Д402[[#This Row],[Повышение 05.03.2025
1К: до 40м - 1,5%, 40+ 0,5%
2К - 0,5% ]]</f>
        <v>143957.1</v>
      </c>
      <c r="AG99" s="10"/>
      <c r="AH99" s="10">
        <f>Д402[[#This Row],[Фикс 05.03.25]]+Д402[[#This Row],[повышение 14.03.25 1К-1%]]</f>
        <v>143957.1</v>
      </c>
      <c r="AI99" s="10"/>
      <c r="AJ99" s="10">
        <f>Д402[[#This Row],[Фикс 14.03.25]]+Д402[[#This Row],[повышение 28.03.25 1К-1%]]</f>
        <v>143957.1</v>
      </c>
      <c r="AK99" s="10"/>
      <c r="AL99" s="10">
        <f>Д402[[#This Row],[Фикс 28.03.25]]+Д402[[#This Row],[Повышение 23.07.25
1К 43-46м2 - 2%
2К 55-58 - 2%; 58-64 - 3%
3К 76-79 - 2%
]]</f>
        <v>143957.1</v>
      </c>
      <c r="AM99" s="149">
        <f>ROUND(Д402[[#This Row],[Фикс 23.07.25]],2)</f>
        <v>143957.1</v>
      </c>
      <c r="AN99" s="149">
        <f>ROUNDUP(Д402[[#This Row],[утв цена м2]]*Д402[[#This Row],[Расчетная проектная площадь]],-2)</f>
        <v>4232400</v>
      </c>
      <c r="AO99" s="151"/>
      <c r="AP99" s="152"/>
      <c r="AQ99" s="151">
        <f>Д402[[#This Row],[Стоимость до скидки]]*Д402[[#This Row],[Скидка %]]+Д402[[#This Row],[Скидка фиксированная]]</f>
        <v>0</v>
      </c>
      <c r="AR99" s="3">
        <f>Д402[[#This Row],[Стоимость ОН без отделки со скидкой]]/Д402[[#This Row],[Расчетная проектная площадь]]</f>
        <v>143959.18367346941</v>
      </c>
      <c r="AS99" s="3">
        <f>Д402[[#This Row],[Стоимость до скидки]]-Д402[[#This Row],[Итоговая сумма скидки]]</f>
        <v>4232400</v>
      </c>
      <c r="AT9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99" s="153"/>
      <c r="AV99" s="153"/>
      <c r="AW99" s="3">
        <f>Д402[[#This Row],[Цена м2 без отделки со скидкой]]+Д402[[#This Row],[Стоимость отделки]]</f>
        <v>143959.18367346941</v>
      </c>
      <c r="AX99" s="3">
        <f>Д402[[#This Row],[Стоимость квартиры с отделкой]]-Д402[[#This Row],[Стоимость ОН без отделки со скидкой]]</f>
        <v>0</v>
      </c>
      <c r="AY99" s="3">
        <f>Д402[[#This Row],[Цена м2 с отделкой]]*Д402[[#This Row],[Расчетная проектная площадь]]</f>
        <v>4232400</v>
      </c>
      <c r="AZ99" s="161"/>
      <c r="BA99" s="269" t="s">
        <v>128</v>
      </c>
      <c r="BB99" s="269" t="str" cm="1">
        <f t="array" ref="BB9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99" s="161" t="s">
        <v>740</v>
      </c>
      <c r="BD99" s="161" t="s">
        <v>506</v>
      </c>
      <c r="BE99" s="161" t="s">
        <v>737</v>
      </c>
      <c r="BF99" s="161" t="s">
        <v>743</v>
      </c>
      <c r="BG99" s="161" t="b">
        <f>EXACT(Д402[[#This Row],[Статусы CRM]],Д402[[#This Row],[Статус]])</f>
        <v>1</v>
      </c>
      <c r="BH99" s="3">
        <f>IF(Д402[[#This Row],[ПС]]=0,IF(Д402[[#This Row],[ДС]]=0,Д402[[#This Row],[ТС]],Д402[[#This Row],[ДС]]),Д402[[#This Row],[ПС]])</f>
        <v>4232400</v>
      </c>
      <c r="BI99" s="3">
        <v>4232400</v>
      </c>
      <c r="BJ99" s="3">
        <v>0</v>
      </c>
      <c r="BK99" s="3">
        <v>0</v>
      </c>
      <c r="BL99" s="273">
        <f>Д402[[#This Row],[Стоимость CRM]]-Д402[[#This Row],[Стоимость до скидки]]</f>
        <v>0</v>
      </c>
      <c r="BM99" s="161" t="s">
        <v>9</v>
      </c>
      <c r="BN99" s="161" t="b">
        <f>Д402[[#This Row],[Отделка CRM]]=Д402[[#This Row],[Отделка]]</f>
        <v>1</v>
      </c>
      <c r="BO99" s="275" t="s">
        <v>231</v>
      </c>
      <c r="BP99" s="69"/>
    </row>
    <row r="100" spans="1:68" ht="12" customHeight="1" x14ac:dyDescent="0.25">
      <c r="A100" s="140">
        <v>98</v>
      </c>
      <c r="B100" s="15">
        <v>1</v>
      </c>
      <c r="C100" s="141">
        <f t="shared" si="2"/>
        <v>18</v>
      </c>
      <c r="D100" s="142">
        <v>2</v>
      </c>
      <c r="E100" s="141">
        <v>2</v>
      </c>
      <c r="F100" s="143">
        <v>16.100000000000001</v>
      </c>
      <c r="G100" s="143">
        <v>10.8</v>
      </c>
      <c r="H100" s="143"/>
      <c r="I100" s="144">
        <f>SUM(Д402[[#This Row],[Комната 1]:[Комната 3]])</f>
        <v>26.900000000000002</v>
      </c>
      <c r="J100" s="145">
        <v>17.32</v>
      </c>
      <c r="K100" s="145">
        <v>4.25</v>
      </c>
      <c r="L100" s="145"/>
      <c r="M100" s="145">
        <v>9.68</v>
      </c>
      <c r="N100" s="145"/>
      <c r="O100" s="145">
        <v>3.15</v>
      </c>
      <c r="P100" s="146"/>
      <c r="Q100" s="146"/>
      <c r="R100" s="146">
        <f>SUM(Д402[[#This Row],[Лоджия 1]:[Лоджия 3]])</f>
        <v>3.15</v>
      </c>
      <c r="S100" s="10">
        <f>ROUND(SUM(Д402[[#This Row],[Площадь по проекту жилая]:[Лоджия 3]]),2)</f>
        <v>61.3</v>
      </c>
      <c r="T100" s="10">
        <f>ROUND(Д402[[#This Row],[Площадь по проекту(общая)]]-Д402[[#This Row],[Летние]],2)</f>
        <v>58.15</v>
      </c>
      <c r="U100" s="10">
        <f>ROUND(Д402[[#This Row],[Площадь по проекту(общая)]]-(SUM(Д402[[#This Row],[Лоджия 1]:[Лоджия 3]])/2),2)</f>
        <v>59.73</v>
      </c>
      <c r="V100" s="10">
        <f>VLOOKUP(Д402[[#This Row],[№]],наценка7[],COLUMN(наценка7[[#This Row],[Цена м2 с учетом всех K]]),0)</f>
        <v>122072.4</v>
      </c>
      <c r="W100" s="162"/>
      <c r="X100" s="10">
        <f>Д402[[#This Row],[м2 после К]]+Д402[[#This Row],[02.12.2024]]</f>
        <v>122072.4</v>
      </c>
      <c r="Y100" s="149">
        <v>1000</v>
      </c>
      <c r="Z100" s="10">
        <f>Д402[[#This Row],[Фикс 20.12.24]]+Д402[[#This Row],[23.12.24 СП +1000]]</f>
        <v>123072.4</v>
      </c>
      <c r="AA100" s="149">
        <v>215</v>
      </c>
      <c r="AB100" s="10">
        <f>Д402[[#This Row],[Фикс 23.12.24]]+Д402[[#This Row],[Повышение 20.02.25]]</f>
        <v>123287.4</v>
      </c>
      <c r="AC100" s="149">
        <v>17.5</v>
      </c>
      <c r="AD100" s="10">
        <f>Д402[[#This Row],[Фикс 20.02.25]]+Д402[[#This Row],[Повышение 24.02.2025]]</f>
        <v>123304.9</v>
      </c>
      <c r="AE100" s="149">
        <f>Д402[[#This Row],[Фикс 24.02.25]]*0.5%</f>
        <v>616.52449999999999</v>
      </c>
      <c r="AF100" s="10">
        <f>Д402[[#This Row],[Фикс 24.02.25]]+Д402[[#This Row],[Повышение 05.03.2025
1К: до 40м - 1,5%, 40+ 0,5%
2К - 0,5% ]]</f>
        <v>123921.42449999999</v>
      </c>
      <c r="AG100" s="10"/>
      <c r="AH100" s="10">
        <f>Д402[[#This Row],[Фикс 05.03.25]]+Д402[[#This Row],[повышение 14.03.25 1К-1%]]</f>
        <v>123921.42449999999</v>
      </c>
      <c r="AI100" s="10"/>
      <c r="AJ100" s="10">
        <f>Д402[[#This Row],[Фикс 14.03.25]]+Д402[[#This Row],[повышение 28.03.25 1К-1%]]</f>
        <v>123921.42449999999</v>
      </c>
      <c r="AK100" s="10">
        <f>Д402[[#This Row],[Фикс 28.03.25]]*3%</f>
        <v>3717.6427349999994</v>
      </c>
      <c r="AL100" s="10">
        <f>Д402[[#This Row],[Фикс 28.03.25]]+Д402[[#This Row],[Повышение 23.07.25
1К 43-46м2 - 2%
2К 55-58 - 2%; 58-64 - 3%
3К 76-79 - 2%
]]</f>
        <v>127639.06723499999</v>
      </c>
      <c r="AM100" s="149">
        <f>ROUND(Д402[[#This Row],[Фикс 23.07.25]],2)</f>
        <v>127639.07</v>
      </c>
      <c r="AN100" s="149">
        <f>ROUNDUP(Д402[[#This Row],[утв цена м2]]*Д402[[#This Row],[Расчетная проектная площадь]],-2)</f>
        <v>7623900</v>
      </c>
      <c r="AO100" s="151"/>
      <c r="AP100" s="152"/>
      <c r="AQ100" s="151">
        <f>Д402[[#This Row],[Стоимость до скидки]]*Д402[[#This Row],[Скидка %]]+Д402[[#This Row],[Скидка фиксированная]]</f>
        <v>0</v>
      </c>
      <c r="AR100" s="3">
        <f>Д402[[#This Row],[Стоимость ОН без отделки со скидкой]]/Д402[[#This Row],[Расчетная проектная площадь]]</f>
        <v>127639.37719738825</v>
      </c>
      <c r="AS100" s="3">
        <f>Д402[[#This Row],[Стоимость до скидки]]-Д402[[#This Row],[Итоговая сумма скидки]]</f>
        <v>7623900</v>
      </c>
      <c r="AT10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0" s="153"/>
      <c r="AV100" s="153"/>
      <c r="AW100" s="3">
        <f>Д402[[#This Row],[Цена м2 без отделки со скидкой]]+Д402[[#This Row],[Стоимость отделки]]</f>
        <v>127639.37719738825</v>
      </c>
      <c r="AX100" s="3">
        <f>Д402[[#This Row],[Стоимость квартиры с отделкой]]-Д402[[#This Row],[Стоимость ОН без отделки со скидкой]]</f>
        <v>0</v>
      </c>
      <c r="AY100" s="3">
        <f>Д402[[#This Row],[Цена м2 с отделкой]]*Д402[[#This Row],[Расчетная проектная площадь]]</f>
        <v>7623900</v>
      </c>
      <c r="AZ100" s="161"/>
      <c r="BA100" s="155" t="s">
        <v>12</v>
      </c>
      <c r="BB100" s="156" t="str" cm="1">
        <f t="array" ref="BB10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00" s="161" t="s">
        <v>738</v>
      </c>
      <c r="BD100" s="161" t="s">
        <v>739</v>
      </c>
      <c r="BE100" s="161" t="s">
        <v>737</v>
      </c>
      <c r="BF100" s="161" t="s">
        <v>744</v>
      </c>
      <c r="BG100" s="161" t="b">
        <f>EXACT(Д402[[#This Row],[Статусы CRM]],Д402[[#This Row],[Статус]])</f>
        <v>1</v>
      </c>
      <c r="BH100" s="3">
        <f>IF(Д402[[#This Row],[ПС]]=0,IF(Д402[[#This Row],[ДС]]=0,Д402[[#This Row],[ТС]],Д402[[#This Row],[ДС]]),Д402[[#This Row],[ПС]])</f>
        <v>7623900</v>
      </c>
      <c r="BI100" s="3">
        <v>7623900</v>
      </c>
      <c r="BJ100" s="3">
        <v>0</v>
      </c>
      <c r="BK100" s="3">
        <v>0</v>
      </c>
      <c r="BL100" s="273">
        <f>Д402[[#This Row],[Стоимость CRM]]-Д402[[#This Row],[Стоимость до скидки]]</f>
        <v>0</v>
      </c>
      <c r="BM100" s="161" t="s">
        <v>9</v>
      </c>
      <c r="BN100" s="161" t="b">
        <f>Д402[[#This Row],[Отделка CRM]]=Д402[[#This Row],[Отделка]]</f>
        <v>1</v>
      </c>
      <c r="BO100" s="275" t="s">
        <v>232</v>
      </c>
      <c r="BP100" s="69"/>
    </row>
    <row r="101" spans="1:68" ht="12" customHeight="1" x14ac:dyDescent="0.25">
      <c r="A101" s="140">
        <v>99</v>
      </c>
      <c r="B101" s="15">
        <v>1</v>
      </c>
      <c r="C101" s="141">
        <f t="shared" si="2"/>
        <v>18</v>
      </c>
      <c r="D101" s="142">
        <v>3</v>
      </c>
      <c r="E101" s="141">
        <v>2</v>
      </c>
      <c r="F101" s="143">
        <v>16.41</v>
      </c>
      <c r="G101" s="143">
        <v>12.19</v>
      </c>
      <c r="H101" s="143"/>
      <c r="I101" s="144">
        <f>SUM(Д402[[#This Row],[Комната 1]:[Комната 3]])</f>
        <v>28.6</v>
      </c>
      <c r="J101" s="145">
        <v>14.24</v>
      </c>
      <c r="K101" s="145">
        <v>3.86</v>
      </c>
      <c r="L101" s="145"/>
      <c r="M101" s="145">
        <v>6.1</v>
      </c>
      <c r="N101" s="145"/>
      <c r="O101" s="145">
        <v>3.33</v>
      </c>
      <c r="P101" s="146"/>
      <c r="Q101" s="146"/>
      <c r="R101" s="146">
        <f>SUM(Д402[[#This Row],[Лоджия 1]:[Лоджия 3]])</f>
        <v>3.33</v>
      </c>
      <c r="S101" s="10">
        <f>ROUND(SUM(Д402[[#This Row],[Площадь по проекту жилая]:[Лоджия 3]]),2)</f>
        <v>56.13</v>
      </c>
      <c r="T101" s="10">
        <f>ROUND(Д402[[#This Row],[Площадь по проекту(общая)]]-Д402[[#This Row],[Летние]],2)</f>
        <v>52.8</v>
      </c>
      <c r="U101" s="10">
        <f>ROUND(Д402[[#This Row],[Площадь по проекту(общая)]]-(SUM(Д402[[#This Row],[Лоджия 1]:[Лоджия 3]])/2),2)</f>
        <v>54.47</v>
      </c>
      <c r="V101" s="10">
        <f>VLOOKUP(Д402[[#This Row],[№]],наценка7[],COLUMN(наценка7[[#This Row],[Цена м2 с учетом всех K]]),0)</f>
        <v>120942.1</v>
      </c>
      <c r="W101" s="162"/>
      <c r="X101" s="10">
        <f>Д402[[#This Row],[м2 после К]]+Д402[[#This Row],[02.12.2024]]</f>
        <v>120942.1</v>
      </c>
      <c r="Y101" s="149">
        <v>1000</v>
      </c>
      <c r="Z101" s="10">
        <f>Д402[[#This Row],[Фикс 20.12.24]]+Д402[[#This Row],[23.12.24 СП +1000]]</f>
        <v>121942.1</v>
      </c>
      <c r="AA101" s="149">
        <v>215</v>
      </c>
      <c r="AB101" s="10">
        <f>Д402[[#This Row],[Фикс 23.12.24]]+Д402[[#This Row],[Повышение 20.02.25]]</f>
        <v>122157.1</v>
      </c>
      <c r="AC101" s="149">
        <v>17.5</v>
      </c>
      <c r="AD101" s="10">
        <f>Д402[[#This Row],[Фикс 20.02.25]]+Д402[[#This Row],[Повышение 24.02.2025]]</f>
        <v>122174.6</v>
      </c>
      <c r="AE101" s="149">
        <f>Д402[[#This Row],[Фикс 24.02.25]]*0.5%</f>
        <v>610.87300000000005</v>
      </c>
      <c r="AF101" s="10">
        <f>Д402[[#This Row],[Фикс 24.02.25]]+Д402[[#This Row],[Повышение 05.03.2025
1К: до 40м - 1,5%, 40+ 0,5%
2К - 0,5% ]]</f>
        <v>122785.47300000001</v>
      </c>
      <c r="AG101" s="10"/>
      <c r="AH101" s="10">
        <f>Д402[[#This Row],[Фикс 05.03.25]]+Д402[[#This Row],[повышение 14.03.25 1К-1%]]</f>
        <v>122785.47300000001</v>
      </c>
      <c r="AI101" s="10"/>
      <c r="AJ101" s="10">
        <f>Д402[[#This Row],[Фикс 14.03.25]]+Д402[[#This Row],[повышение 28.03.25 1К-1%]]</f>
        <v>122785.47300000001</v>
      </c>
      <c r="AK101" s="10"/>
      <c r="AL101" s="10">
        <f>Д402[[#This Row],[Фикс 28.03.25]]+Д402[[#This Row],[Повышение 23.07.25
1К 43-46м2 - 2%
2К 55-58 - 2%; 58-64 - 3%
3К 76-79 - 2%
]]</f>
        <v>122785.47300000001</v>
      </c>
      <c r="AM101" s="149">
        <f>ROUND(Д402[[#This Row],[Фикс 23.07.25]],2)</f>
        <v>122785.47</v>
      </c>
      <c r="AN101" s="149">
        <f>ROUNDUP(Д402[[#This Row],[утв цена м2]]*Д402[[#This Row],[Расчетная проектная площадь]],-2)</f>
        <v>6688200</v>
      </c>
      <c r="AO101" s="151"/>
      <c r="AP101" s="152"/>
      <c r="AQ101" s="151">
        <f>Д402[[#This Row],[Стоимость до скидки]]*Д402[[#This Row],[Скидка %]]+Д402[[#This Row],[Скидка фиксированная]]</f>
        <v>0</v>
      </c>
      <c r="AR101" s="3">
        <f>Д402[[#This Row],[Стоимость ОН без отделки со скидкой]]/Д402[[#This Row],[Расчетная проектная площадь]]</f>
        <v>122786.85514962365</v>
      </c>
      <c r="AS101" s="3">
        <f>Д402[[#This Row],[Стоимость до скидки]]-Д402[[#This Row],[Итоговая сумма скидки]]</f>
        <v>6688200</v>
      </c>
      <c r="AT10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1" s="153"/>
      <c r="AV101" s="153"/>
      <c r="AW101" s="3">
        <f>Д402[[#This Row],[Цена м2 без отделки со скидкой]]+Д402[[#This Row],[Стоимость отделки]]</f>
        <v>122786.85514962365</v>
      </c>
      <c r="AX101" s="3">
        <f>Д402[[#This Row],[Стоимость квартиры с отделкой]]-Д402[[#This Row],[Стоимость ОН без отделки со скидкой]]</f>
        <v>0</v>
      </c>
      <c r="AY101" s="3">
        <f>Д402[[#This Row],[Цена м2 с отделкой]]*Д402[[#This Row],[Расчетная проектная площадь]]</f>
        <v>6688200</v>
      </c>
      <c r="AZ101" s="161"/>
      <c r="BA101" s="155" t="s">
        <v>12</v>
      </c>
      <c r="BB101" s="156" t="str" cm="1">
        <f t="array" ref="BB10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01" s="161" t="s">
        <v>738</v>
      </c>
      <c r="BD101" s="161" t="s">
        <v>739</v>
      </c>
      <c r="BE101" s="161" t="s">
        <v>737</v>
      </c>
      <c r="BF101" s="161" t="s">
        <v>744</v>
      </c>
      <c r="BG101" s="161" t="b">
        <f>EXACT(Д402[[#This Row],[Статусы CRM]],Д402[[#This Row],[Статус]])</f>
        <v>1</v>
      </c>
      <c r="BH101" s="3">
        <f>IF(Д402[[#This Row],[ПС]]=0,IF(Д402[[#This Row],[ДС]]=0,Д402[[#This Row],[ТС]],Д402[[#This Row],[ДС]]),Д402[[#This Row],[ПС]])</f>
        <v>6688200</v>
      </c>
      <c r="BI101" s="3">
        <v>6688200</v>
      </c>
      <c r="BJ101" s="3">
        <v>0</v>
      </c>
      <c r="BK101" s="3">
        <v>0</v>
      </c>
      <c r="BL101" s="273">
        <f>Д402[[#This Row],[Стоимость CRM]]-Д402[[#This Row],[Стоимость до скидки]]</f>
        <v>0</v>
      </c>
      <c r="BM101" s="161" t="s">
        <v>9</v>
      </c>
      <c r="BN101" s="161" t="b">
        <f>Д402[[#This Row],[Отделка CRM]]=Д402[[#This Row],[Отделка]]</f>
        <v>1</v>
      </c>
      <c r="BO101" s="275" t="s">
        <v>233</v>
      </c>
      <c r="BP101" s="69"/>
    </row>
    <row r="102" spans="1:68" ht="12" customHeight="1" x14ac:dyDescent="0.25">
      <c r="A102" s="140">
        <v>100</v>
      </c>
      <c r="B102" s="15">
        <v>1</v>
      </c>
      <c r="C102" s="141">
        <f t="shared" si="2"/>
        <v>18</v>
      </c>
      <c r="D102" s="142">
        <v>4</v>
      </c>
      <c r="E102" s="141">
        <v>2</v>
      </c>
      <c r="F102" s="143">
        <v>14.98</v>
      </c>
      <c r="G102" s="143">
        <v>12.28</v>
      </c>
      <c r="H102" s="143"/>
      <c r="I102" s="144">
        <f>SUM(Д402[[#This Row],[Комната 1]:[Комната 3]])</f>
        <v>27.259999999999998</v>
      </c>
      <c r="J102" s="145">
        <v>14.78</v>
      </c>
      <c r="K102" s="145">
        <v>4.4400000000000004</v>
      </c>
      <c r="L102" s="145"/>
      <c r="M102" s="145">
        <v>6.25</v>
      </c>
      <c r="N102" s="145"/>
      <c r="O102" s="145">
        <v>3.33</v>
      </c>
      <c r="P102" s="146"/>
      <c r="Q102" s="146"/>
      <c r="R102" s="146">
        <f>SUM(Д402[[#This Row],[Лоджия 1]:[Лоджия 3]])</f>
        <v>3.33</v>
      </c>
      <c r="S102" s="10">
        <f>ROUND(SUM(Д402[[#This Row],[Площадь по проекту жилая]:[Лоджия 3]]),2)</f>
        <v>56.06</v>
      </c>
      <c r="T102" s="10">
        <f>ROUND(Д402[[#This Row],[Площадь по проекту(общая)]]-Д402[[#This Row],[Летние]],2)</f>
        <v>52.73</v>
      </c>
      <c r="U102" s="10">
        <f>ROUND(Д402[[#This Row],[Площадь по проекту(общая)]]-(SUM(Д402[[#This Row],[Лоджия 1]:[Лоджия 3]])/2),2)</f>
        <v>54.4</v>
      </c>
      <c r="V102" s="10">
        <f>VLOOKUP(Д402[[#This Row],[№]],наценка7[],COLUMN(наценка7[[#This Row],[Цена м2 с учетом всех K]]),0)</f>
        <v>123202.7</v>
      </c>
      <c r="W102" s="162"/>
      <c r="X102" s="10">
        <f>Д402[[#This Row],[м2 после К]]+Д402[[#This Row],[02.12.2024]]</f>
        <v>123202.7</v>
      </c>
      <c r="Y102" s="149">
        <v>1000</v>
      </c>
      <c r="Z102" s="10">
        <f>Д402[[#This Row],[Фикс 20.12.24]]+Д402[[#This Row],[23.12.24 СП +1000]]</f>
        <v>124202.7</v>
      </c>
      <c r="AA102" s="149">
        <v>215</v>
      </c>
      <c r="AB102" s="10">
        <f>Д402[[#This Row],[Фикс 23.12.24]]+Д402[[#This Row],[Повышение 20.02.25]]</f>
        <v>124417.7</v>
      </c>
      <c r="AC102" s="149">
        <v>17.5</v>
      </c>
      <c r="AD102" s="10">
        <f>Д402[[#This Row],[Фикс 20.02.25]]+Д402[[#This Row],[Повышение 24.02.2025]]</f>
        <v>124435.2</v>
      </c>
      <c r="AE102" s="149">
        <f>Д402[[#This Row],[Фикс 24.02.25]]*0.5%</f>
        <v>622.17600000000004</v>
      </c>
      <c r="AF102" s="10">
        <f>Д402[[#This Row],[Фикс 24.02.25]]+Д402[[#This Row],[Повышение 05.03.2025
1К: до 40м - 1,5%, 40+ 0,5%
2К - 0,5% ]]</f>
        <v>125057.376</v>
      </c>
      <c r="AG102" s="10"/>
      <c r="AH102" s="10">
        <f>Д402[[#This Row],[Фикс 05.03.25]]+Д402[[#This Row],[повышение 14.03.25 1К-1%]]</f>
        <v>125057.376</v>
      </c>
      <c r="AI102" s="10"/>
      <c r="AJ102" s="10">
        <f>Д402[[#This Row],[Фикс 14.03.25]]+Д402[[#This Row],[повышение 28.03.25 1К-1%]]</f>
        <v>125057.376</v>
      </c>
      <c r="AK102" s="10"/>
      <c r="AL102" s="10">
        <f>Д402[[#This Row],[Фикс 28.03.25]]+Д402[[#This Row],[Повышение 23.07.25
1К 43-46м2 - 2%
2К 55-58 - 2%; 58-64 - 3%
3К 76-79 - 2%
]]</f>
        <v>125057.376</v>
      </c>
      <c r="AM102" s="149">
        <f>ROUND(Д402[[#This Row],[Фикс 23.07.25]],2)</f>
        <v>125057.38</v>
      </c>
      <c r="AN102" s="149">
        <f>ROUNDUP(Д402[[#This Row],[утв цена м2]]*Д402[[#This Row],[Расчетная проектная площадь]],-2)</f>
        <v>6803200</v>
      </c>
      <c r="AO102" s="151"/>
      <c r="AP102" s="152"/>
      <c r="AQ102" s="151">
        <f>Д402[[#This Row],[Стоимость до скидки]]*Д402[[#This Row],[Скидка %]]+Д402[[#This Row],[Скидка фиксированная]]</f>
        <v>0</v>
      </c>
      <c r="AR102" s="3">
        <f>Д402[[#This Row],[Стоимость ОН без отделки со скидкой]]/Д402[[#This Row],[Расчетная проектная площадь]]</f>
        <v>125058.82352941176</v>
      </c>
      <c r="AS102" s="3">
        <f>Д402[[#This Row],[Стоимость до скидки]]-Д402[[#This Row],[Итоговая сумма скидки]]</f>
        <v>6803200</v>
      </c>
      <c r="AT10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02" s="153">
        <v>30000</v>
      </c>
      <c r="AV102" s="153" t="s">
        <v>722</v>
      </c>
      <c r="AW102" s="3">
        <f>Д402[[#This Row],[Цена м2 без отделки со скидкой]]+Д402[[#This Row],[Стоимость отделки]]</f>
        <v>155058.82352941175</v>
      </c>
      <c r="AX102" s="3">
        <f>Д402[[#This Row],[Стоимость квартиры с отделкой]]-Д402[[#This Row],[Стоимость ОН без отделки со скидкой]]</f>
        <v>1631999.9999999981</v>
      </c>
      <c r="AY102" s="3">
        <f>Д402[[#This Row],[Цена м2 с отделкой]]*Д402[[#This Row],[Расчетная проектная площадь]]</f>
        <v>8435199.9999999981</v>
      </c>
      <c r="AZ102" s="161"/>
      <c r="BA102" s="269" t="s">
        <v>128</v>
      </c>
      <c r="BB102" s="156" t="str" cm="1">
        <f t="array" ref="BB10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02" s="161" t="s">
        <v>740</v>
      </c>
      <c r="BD102" s="161" t="s">
        <v>506</v>
      </c>
      <c r="BE102" s="161" t="s">
        <v>737</v>
      </c>
      <c r="BF102" s="161" t="s">
        <v>744</v>
      </c>
      <c r="BG102" s="161" t="b">
        <f>EXACT(Д402[[#This Row],[Статусы CRM]],Д402[[#This Row],[Статус]])</f>
        <v>1</v>
      </c>
      <c r="BH102" s="3">
        <f>IF(Д402[[#This Row],[ПС]]=0,IF(Д402[[#This Row],[ДС]]=0,Д402[[#This Row],[ТС]],Д402[[#This Row],[ДС]]),Д402[[#This Row],[ПС]])</f>
        <v>6803200</v>
      </c>
      <c r="BI102" s="3">
        <v>6803200</v>
      </c>
      <c r="BJ102" s="3">
        <v>0</v>
      </c>
      <c r="BK102" s="3">
        <v>0</v>
      </c>
      <c r="BL102" s="273">
        <f>Д402[[#This Row],[Стоимость CRM]]-Д402[[#This Row],[Стоимость до скидки]]</f>
        <v>0</v>
      </c>
      <c r="BM102" s="161" t="s">
        <v>11</v>
      </c>
      <c r="BN102" s="161" t="b">
        <f>Д402[[#This Row],[Отделка CRM]]=Д402[[#This Row],[Отделка]]</f>
        <v>1</v>
      </c>
      <c r="BO102" s="275" t="s">
        <v>234</v>
      </c>
      <c r="BP102" s="69"/>
    </row>
    <row r="103" spans="1:68" ht="12" customHeight="1" x14ac:dyDescent="0.25">
      <c r="A103" s="140">
        <v>101</v>
      </c>
      <c r="B103" s="175">
        <v>1</v>
      </c>
      <c r="C103" s="141">
        <f t="shared" si="2"/>
        <v>18</v>
      </c>
      <c r="D103" s="142">
        <v>5</v>
      </c>
      <c r="E103" s="141">
        <v>1</v>
      </c>
      <c r="F103" s="143">
        <v>13.06</v>
      </c>
      <c r="G103" s="143"/>
      <c r="H103" s="143"/>
      <c r="I103" s="144">
        <f>SUM(Д402[[#This Row],[Комната 1]:[Комната 3]])</f>
        <v>13.06</v>
      </c>
      <c r="J103" s="145">
        <v>14.73</v>
      </c>
      <c r="K103" s="145">
        <v>4.4400000000000004</v>
      </c>
      <c r="L103" s="145"/>
      <c r="M103" s="145">
        <v>2.9</v>
      </c>
      <c r="N103" s="145"/>
      <c r="O103" s="145">
        <v>3.02</v>
      </c>
      <c r="P103" s="146"/>
      <c r="Q103" s="146"/>
      <c r="R103" s="146">
        <f>SUM(Д402[[#This Row],[Лоджия 1]:[Лоджия 3]])</f>
        <v>3.02</v>
      </c>
      <c r="S103" s="10">
        <f>ROUND(SUM(Д402[[#This Row],[Площадь по проекту жилая]:[Лоджия 3]]),2)</f>
        <v>38.15</v>
      </c>
      <c r="T103" s="10">
        <f>ROUND(Д402[[#This Row],[Площадь по проекту(общая)]]-Д402[[#This Row],[Летние]],2)</f>
        <v>35.130000000000003</v>
      </c>
      <c r="U103" s="10">
        <f>ROUND(Д402[[#This Row],[Площадь по проекту(общая)]]-(SUM(Д402[[#This Row],[Лоджия 1]:[Лоджия 3]])/2),2)</f>
        <v>36.64</v>
      </c>
      <c r="V103" s="10">
        <f>VLOOKUP(Д402[[#This Row],[№]],наценка7[],COLUMN(наценка7[[#This Row],[Цена м2 с учетом всех K]]),0)</f>
        <v>128800.8</v>
      </c>
      <c r="W103" s="159">
        <f>2%*Д402[[#This Row],[м2 после К]]</f>
        <v>2576.0160000000001</v>
      </c>
      <c r="X103" s="10">
        <f>Д402[[#This Row],[м2 после К]]+Д402[[#This Row],[02.12.2024]]</f>
        <v>131376.81599999999</v>
      </c>
      <c r="Y103" s="149">
        <v>1000</v>
      </c>
      <c r="Z103" s="10">
        <f>Д402[[#This Row],[Фикс 20.12.24]]+Д402[[#This Row],[23.12.24 СП +1000]]</f>
        <v>132376.81599999999</v>
      </c>
      <c r="AA103" s="149">
        <v>215</v>
      </c>
      <c r="AB103" s="10">
        <f>Д402[[#This Row],[Фикс 23.12.24]]+Д402[[#This Row],[Повышение 20.02.25]]</f>
        <v>132591.81599999999</v>
      </c>
      <c r="AC103" s="149">
        <v>17.5</v>
      </c>
      <c r="AD103" s="10">
        <f>Д402[[#This Row],[Фикс 20.02.25]]+Д402[[#This Row],[Повышение 24.02.2025]]</f>
        <v>132609.31599999999</v>
      </c>
      <c r="AE103" s="149">
        <f>Д402[[#This Row],[Фикс 24.02.25]]*1.5%</f>
        <v>1989.1397399999998</v>
      </c>
      <c r="AF103" s="10">
        <f>Д402[[#This Row],[Фикс 24.02.25]]+Д402[[#This Row],[Повышение 05.03.2025
1К: до 40м - 1,5%, 40+ 0,5%
2К - 0,5% ]]</f>
        <v>134598.45574</v>
      </c>
      <c r="AG103" s="149">
        <f>Д402[[#This Row],[Фикс 05.03.25]]*1%</f>
        <v>1345.9845574000001</v>
      </c>
      <c r="AH103" s="10">
        <f>Д402[[#This Row],[Фикс 05.03.25]]+Д402[[#This Row],[повышение 14.03.25 1К-1%]]</f>
        <v>135944.4402974</v>
      </c>
      <c r="AI103" s="10">
        <f>Д402[[#This Row],[Фикс 14.03.25]]*1%</f>
        <v>1359.444402974</v>
      </c>
      <c r="AJ103" s="10">
        <f>Д402[[#This Row],[Фикс 14.03.25]]+Д402[[#This Row],[повышение 28.03.25 1К-1%]]</f>
        <v>137303.88470037401</v>
      </c>
      <c r="AK103" s="10"/>
      <c r="AL103" s="10">
        <f>Д402[[#This Row],[Фикс 28.03.25]]+Д402[[#This Row],[Повышение 23.07.25
1К 43-46м2 - 2%
2К 55-58 - 2%; 58-64 - 3%
3К 76-79 - 2%
]]</f>
        <v>137303.88470037401</v>
      </c>
      <c r="AM103" s="149">
        <f>ROUND(Д402[[#This Row],[Фикс 23.07.25]],2)</f>
        <v>137303.88</v>
      </c>
      <c r="AN103" s="149">
        <f>ROUNDUP(Д402[[#This Row],[утв цена м2]]*Д402[[#This Row],[Расчетная проектная площадь]],-2)</f>
        <v>5030900</v>
      </c>
      <c r="AO103" s="151"/>
      <c r="AP103" s="152">
        <v>0.02</v>
      </c>
      <c r="AQ103" s="151">
        <f>Д402[[#This Row],[Стоимость до скидки]]*Д402[[#This Row],[Скидка %]]+Д402[[#This Row],[Скидка фиксированная]]</f>
        <v>100618</v>
      </c>
      <c r="AR103" s="3">
        <f>Д402[[#This Row],[Стоимость ОН без отделки со скидкой]]/Д402[[#This Row],[Расчетная проектная площадь]]</f>
        <v>134560.09825327509</v>
      </c>
      <c r="AS103" s="3">
        <f>Д402[[#This Row],[Стоимость до скидки]]-Д402[[#This Row],[Итоговая сумма скидки]]</f>
        <v>4930282</v>
      </c>
      <c r="AT10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3" s="153"/>
      <c r="AV103" s="153"/>
      <c r="AW103" s="3">
        <f>Д402[[#This Row],[Цена м2 без отделки со скидкой]]+Д402[[#This Row],[Стоимость отделки]]</f>
        <v>134560.09825327509</v>
      </c>
      <c r="AX103" s="3">
        <f>Д402[[#This Row],[Стоимость квартиры с отделкой]]-Д402[[#This Row],[Стоимость ОН без отделки со скидкой]]</f>
        <v>0</v>
      </c>
      <c r="AY103" s="3">
        <f>Д402[[#This Row],[Цена м2 с отделкой]]*Д402[[#This Row],[Расчетная проектная площадь]]</f>
        <v>4930281.9999999991</v>
      </c>
      <c r="AZ103" s="161" t="s">
        <v>714</v>
      </c>
      <c r="BA103" s="269" t="s">
        <v>426</v>
      </c>
      <c r="BB103" s="269" t="str" cm="1">
        <f t="array" ref="BB10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03" s="161" t="s">
        <v>741</v>
      </c>
      <c r="BD103" s="161" t="s">
        <v>506</v>
      </c>
      <c r="BE103" s="161" t="s">
        <v>737</v>
      </c>
      <c r="BF103" s="161" t="s">
        <v>745</v>
      </c>
      <c r="BG103" s="161" t="b">
        <f>EXACT(Д402[[#This Row],[Статусы CRM]],Д402[[#This Row],[Статус]])</f>
        <v>1</v>
      </c>
      <c r="BH103" s="3">
        <f>IF(Д402[[#This Row],[ПС]]=0,IF(Д402[[#This Row],[ДС]]=0,Д402[[#This Row],[ТС]],Д402[[#This Row],[ДС]]),Д402[[#This Row],[ПС]])</f>
        <v>5030900</v>
      </c>
      <c r="BI103" s="3" t="s">
        <v>749</v>
      </c>
      <c r="BJ103" s="3">
        <v>5030900</v>
      </c>
      <c r="BK103" s="3">
        <v>5030900</v>
      </c>
      <c r="BL103" s="273">
        <f>Д402[[#This Row],[Стоимость CRM]]-Д402[[#This Row],[Стоимость до скидки]]</f>
        <v>0</v>
      </c>
      <c r="BM103" s="161" t="s">
        <v>9</v>
      </c>
      <c r="BN103" s="161" t="b">
        <f>Д402[[#This Row],[Отделка CRM]]=Д402[[#This Row],[Отделка]]</f>
        <v>1</v>
      </c>
      <c r="BO103" s="275" t="s">
        <v>235</v>
      </c>
      <c r="BP103" s="69"/>
    </row>
    <row r="104" spans="1:68" ht="12" customHeight="1" x14ac:dyDescent="0.25">
      <c r="A104" s="140">
        <v>102</v>
      </c>
      <c r="B104" s="15">
        <v>1</v>
      </c>
      <c r="C104" s="141">
        <f t="shared" si="2"/>
        <v>18</v>
      </c>
      <c r="D104" s="142">
        <v>6</v>
      </c>
      <c r="E104" s="141">
        <v>1</v>
      </c>
      <c r="F104" s="143">
        <v>14.57</v>
      </c>
      <c r="G104" s="143"/>
      <c r="H104" s="143"/>
      <c r="I104" s="144">
        <f>SUM(Д402[[#This Row],[Комната 1]:[Комната 3]])</f>
        <v>14.57</v>
      </c>
      <c r="J104" s="145">
        <v>16.57</v>
      </c>
      <c r="K104" s="145">
        <v>4.46</v>
      </c>
      <c r="L104" s="145"/>
      <c r="M104" s="145">
        <v>7.75</v>
      </c>
      <c r="N104" s="145"/>
      <c r="O104" s="145">
        <v>3.1</v>
      </c>
      <c r="P104" s="146"/>
      <c r="Q104" s="146"/>
      <c r="R104" s="146">
        <f>SUM(Д402[[#This Row],[Лоджия 1]:[Лоджия 3]])</f>
        <v>3.1</v>
      </c>
      <c r="S104" s="10">
        <f>ROUND(SUM(Д402[[#This Row],[Площадь по проекту жилая]:[Лоджия 3]]),2)</f>
        <v>46.45</v>
      </c>
      <c r="T104" s="10">
        <f>ROUND(Д402[[#This Row],[Площадь по проекту(общая)]]-Д402[[#This Row],[Летние]],2)</f>
        <v>43.35</v>
      </c>
      <c r="U104" s="10">
        <f>ROUND(Д402[[#This Row],[Площадь по проекту(общая)]]-(SUM(Д402[[#This Row],[Лоджия 1]:[Лоджия 3]])/2),2)</f>
        <v>44.9</v>
      </c>
      <c r="V104" s="10">
        <f>VLOOKUP(Д402[[#This Row],[№]],наценка7[],COLUMN(наценка7[[#This Row],[Цена м2 с учетом всех K]]),0)</f>
        <v>125223</v>
      </c>
      <c r="W104" s="162"/>
      <c r="X104" s="10">
        <f>Д402[[#This Row],[м2 после К]]+Д402[[#This Row],[02.12.2024]]</f>
        <v>125223</v>
      </c>
      <c r="Y104" s="149">
        <v>1000</v>
      </c>
      <c r="Z104" s="10">
        <f>Д402[[#This Row],[Фикс 20.12.24]]+Д402[[#This Row],[23.12.24 СП +1000]]</f>
        <v>126223</v>
      </c>
      <c r="AA104" s="149">
        <v>215</v>
      </c>
      <c r="AB104" s="10">
        <f>Д402[[#This Row],[Фикс 23.12.24]]+Д402[[#This Row],[Повышение 20.02.25]]</f>
        <v>126438</v>
      </c>
      <c r="AC104" s="149">
        <v>17.5</v>
      </c>
      <c r="AD104" s="10">
        <f>Д402[[#This Row],[Фикс 20.02.25]]+Д402[[#This Row],[Повышение 24.02.2025]]</f>
        <v>126455.5</v>
      </c>
      <c r="AE104" s="149">
        <f>Д402[[#This Row],[Фикс 24.02.25]]*0.5%</f>
        <v>632.27750000000003</v>
      </c>
      <c r="AF104" s="10">
        <f>Д402[[#This Row],[Фикс 24.02.25]]+Д402[[#This Row],[Повышение 05.03.2025
1К: до 40м - 1,5%, 40+ 0,5%
2К - 0,5% ]]</f>
        <v>127087.7775</v>
      </c>
      <c r="AG104" s="149">
        <f>Д402[[#This Row],[Фикс 05.03.25]]*1%</f>
        <v>1270.8777749999999</v>
      </c>
      <c r="AH104" s="10">
        <f>Д402[[#This Row],[Фикс 05.03.25]]+Д402[[#This Row],[повышение 14.03.25 1К-1%]]</f>
        <v>128358.655275</v>
      </c>
      <c r="AI104" s="149">
        <f>Д402[[#This Row],[Фикс 14.03.25]]*1%</f>
        <v>1283.58655275</v>
      </c>
      <c r="AJ104" s="10">
        <f>Д402[[#This Row],[Фикс 14.03.25]]+Д402[[#This Row],[повышение 28.03.25 1К-1%]]</f>
        <v>129642.24182775</v>
      </c>
      <c r="AK104" s="149">
        <f>Д402[[#This Row],[Фикс 28.03.25]]*2%</f>
        <v>2592.8448365549998</v>
      </c>
      <c r="AL104" s="10">
        <f>Д402[[#This Row],[Фикс 28.03.25]]+Д402[[#This Row],[Повышение 23.07.25
1К 43-46м2 - 2%
2К 55-58 - 2%; 58-64 - 3%
3К 76-79 - 2%
]]</f>
        <v>132235.08666430501</v>
      </c>
      <c r="AM104" s="149">
        <f>ROUND(Д402[[#This Row],[Фикс 23.07.25]],2)</f>
        <v>132235.09</v>
      </c>
      <c r="AN104" s="149">
        <f>ROUNDUP(Д402[[#This Row],[утв цена м2]]*Д402[[#This Row],[Расчетная проектная площадь]],-2)</f>
        <v>5937400</v>
      </c>
      <c r="AO104" s="151"/>
      <c r="AP104" s="152"/>
      <c r="AQ104" s="151">
        <f>Д402[[#This Row],[Стоимость до скидки]]*Д402[[#This Row],[Скидка %]]+Д402[[#This Row],[Скидка фиксированная]]</f>
        <v>0</v>
      </c>
      <c r="AR104" s="3">
        <f>Д402[[#This Row],[Стоимость ОН без отделки со скидкой]]/Д402[[#This Row],[Расчетная проектная площадь]]</f>
        <v>132236.08017817372</v>
      </c>
      <c r="AS104" s="3">
        <f>Д402[[#This Row],[Стоимость до скидки]]-Д402[[#This Row],[Итоговая сумма скидки]]</f>
        <v>5937400</v>
      </c>
      <c r="AT10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4" s="153"/>
      <c r="AV104" s="153"/>
      <c r="AW104" s="3">
        <f>Д402[[#This Row],[Цена м2 без отделки со скидкой]]+Д402[[#This Row],[Стоимость отделки]]</f>
        <v>132236.08017817372</v>
      </c>
      <c r="AX104" s="3">
        <f>Д402[[#This Row],[Стоимость квартиры с отделкой]]-Д402[[#This Row],[Стоимость ОН без отделки со скидкой]]</f>
        <v>0</v>
      </c>
      <c r="AY104" s="3">
        <f>Д402[[#This Row],[Цена м2 с отделкой]]*Д402[[#This Row],[Расчетная проектная площадь]]</f>
        <v>5937400</v>
      </c>
      <c r="AZ104" s="161"/>
      <c r="BA104" s="155" t="s">
        <v>12</v>
      </c>
      <c r="BB104" s="156" t="str" cm="1">
        <f t="array" ref="BB10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04" s="161" t="s">
        <v>738</v>
      </c>
      <c r="BD104" s="161" t="s">
        <v>739</v>
      </c>
      <c r="BE104" s="161" t="s">
        <v>737</v>
      </c>
      <c r="BF104" s="161" t="s">
        <v>745</v>
      </c>
      <c r="BG104" s="161" t="b">
        <f>EXACT(Д402[[#This Row],[Статусы CRM]],Д402[[#This Row],[Статус]])</f>
        <v>1</v>
      </c>
      <c r="BH104" s="3">
        <f>IF(Д402[[#This Row],[ПС]]=0,IF(Д402[[#This Row],[ДС]]=0,Д402[[#This Row],[ТС]],Д402[[#This Row],[ДС]]),Д402[[#This Row],[ПС]])</f>
        <v>5937400</v>
      </c>
      <c r="BI104" s="3">
        <v>5937400</v>
      </c>
      <c r="BJ104" s="3">
        <v>0</v>
      </c>
      <c r="BK104" s="3">
        <v>0</v>
      </c>
      <c r="BL104" s="273">
        <f>Д402[[#This Row],[Стоимость CRM]]-Д402[[#This Row],[Стоимость до скидки]]</f>
        <v>0</v>
      </c>
      <c r="BM104" s="161" t="s">
        <v>9</v>
      </c>
      <c r="BN104" s="161" t="b">
        <f>Д402[[#This Row],[Отделка CRM]]=Д402[[#This Row],[Отделка]]</f>
        <v>1</v>
      </c>
      <c r="BO104" s="275" t="s">
        <v>236</v>
      </c>
      <c r="BP104" s="69"/>
    </row>
    <row r="105" spans="1:68" ht="12" customHeight="1" x14ac:dyDescent="0.25">
      <c r="A105" s="140">
        <v>103</v>
      </c>
      <c r="B105" s="15">
        <v>1</v>
      </c>
      <c r="C105" s="141">
        <f t="shared" ref="C105:C110" si="3">C99+1</f>
        <v>19</v>
      </c>
      <c r="D105" s="142">
        <v>1</v>
      </c>
      <c r="E105" s="141">
        <v>0</v>
      </c>
      <c r="F105" s="143">
        <v>14.66</v>
      </c>
      <c r="G105" s="143"/>
      <c r="H105" s="143"/>
      <c r="I105" s="144">
        <f>SUM(Д402[[#This Row],[Комната 1]:[Комната 3]])</f>
        <v>14.66</v>
      </c>
      <c r="J105" s="147">
        <v>6.15</v>
      </c>
      <c r="K105" s="145">
        <v>4.7300000000000004</v>
      </c>
      <c r="L105" s="145"/>
      <c r="M105" s="145">
        <v>3.86</v>
      </c>
      <c r="N105" s="145"/>
      <c r="O105" s="145"/>
      <c r="P105" s="146"/>
      <c r="Q105" s="146"/>
      <c r="R105" s="146">
        <f>SUM(Д402[[#This Row],[Лоджия 1]:[Лоджия 3]])</f>
        <v>0</v>
      </c>
      <c r="S105" s="10">
        <f>ROUND(SUM(Д402[[#This Row],[Площадь по проекту жилая]:[Лоджия 3]]),2)</f>
        <v>29.4</v>
      </c>
      <c r="T105" s="10">
        <f>ROUND(Д402[[#This Row],[Площадь по проекту(общая)]]-Д402[[#This Row],[Летние]],2)</f>
        <v>29.4</v>
      </c>
      <c r="U105" s="10">
        <f>ROUND(Д402[[#This Row],[Площадь по проекту(общая)]]-(SUM(Д402[[#This Row],[Лоджия 1]:[Лоджия 3]])/2),2)</f>
        <v>29.4</v>
      </c>
      <c r="V105" s="10">
        <f>VLOOKUP(Д402[[#This Row],[№]],наценка7[],COLUMN(наценка7[[#This Row],[Цена м2 с учетом всех K]]),0)</f>
        <v>142524.6</v>
      </c>
      <c r="W105" s="159">
        <v>200</v>
      </c>
      <c r="X105" s="10">
        <f>Д402[[#This Row],[м2 после К]]+Д402[[#This Row],[02.12.2024]]</f>
        <v>142724.6</v>
      </c>
      <c r="Y105" s="149">
        <v>1000</v>
      </c>
      <c r="Z105" s="10">
        <f>Д402[[#This Row],[Фикс 20.12.24]]+Д402[[#This Row],[23.12.24 СП +1000]]</f>
        <v>143724.6</v>
      </c>
      <c r="AA105" s="149">
        <v>215</v>
      </c>
      <c r="AB105" s="10">
        <f>Д402[[#This Row],[Фикс 23.12.24]]+Д402[[#This Row],[Повышение 20.02.25]]</f>
        <v>143939.6</v>
      </c>
      <c r="AC105" s="149">
        <v>17.5</v>
      </c>
      <c r="AD105" s="10">
        <f>Д402[[#This Row],[Фикс 20.02.25]]+Д402[[#This Row],[Повышение 24.02.2025]]</f>
        <v>143957.1</v>
      </c>
      <c r="AE105" s="10"/>
      <c r="AF105" s="10">
        <f>Д402[[#This Row],[Фикс 24.02.25]]+Д402[[#This Row],[Повышение 05.03.2025
1К: до 40м - 1,5%, 40+ 0,5%
2К - 0,5% ]]</f>
        <v>143957.1</v>
      </c>
      <c r="AG105" s="10"/>
      <c r="AH105" s="10">
        <f>Д402[[#This Row],[Фикс 05.03.25]]+Д402[[#This Row],[повышение 14.03.25 1К-1%]]</f>
        <v>143957.1</v>
      </c>
      <c r="AI105" s="10"/>
      <c r="AJ105" s="10">
        <f>Д402[[#This Row],[Фикс 14.03.25]]+Д402[[#This Row],[повышение 28.03.25 1К-1%]]</f>
        <v>143957.1</v>
      </c>
      <c r="AK105" s="10"/>
      <c r="AL105" s="10">
        <f>Д402[[#This Row],[Фикс 28.03.25]]+Д402[[#This Row],[Повышение 23.07.25
1К 43-46м2 - 2%
2К 55-58 - 2%; 58-64 - 3%
3К 76-79 - 2%
]]</f>
        <v>143957.1</v>
      </c>
      <c r="AM105" s="149">
        <f>ROUND(Д402[[#This Row],[Фикс 23.07.25]],2)</f>
        <v>143957.1</v>
      </c>
      <c r="AN105" s="149">
        <f>ROUNDUP(Д402[[#This Row],[утв цена м2]]*Д402[[#This Row],[Расчетная проектная площадь]],-2)</f>
        <v>4232400</v>
      </c>
      <c r="AO105" s="151"/>
      <c r="AP105" s="152"/>
      <c r="AQ105" s="151">
        <f>Д402[[#This Row],[Стоимость до скидки]]*Д402[[#This Row],[Скидка %]]+Д402[[#This Row],[Скидка фиксированная]]</f>
        <v>0</v>
      </c>
      <c r="AR105" s="3">
        <f>Д402[[#This Row],[Стоимость ОН без отделки со скидкой]]/Д402[[#This Row],[Расчетная проектная площадь]]</f>
        <v>143959.18367346941</v>
      </c>
      <c r="AS105" s="3">
        <f>Д402[[#This Row],[Стоимость до скидки]]-Д402[[#This Row],[Итоговая сумма скидки]]</f>
        <v>4232400</v>
      </c>
      <c r="AT10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5" s="153"/>
      <c r="AV105" s="153"/>
      <c r="AW105" s="3">
        <f>Д402[[#This Row],[Цена м2 без отделки со скидкой]]+Д402[[#This Row],[Стоимость отделки]]</f>
        <v>143959.18367346941</v>
      </c>
      <c r="AX105" s="3">
        <f>Д402[[#This Row],[Стоимость квартиры с отделкой]]-Д402[[#This Row],[Стоимость ОН без отделки со скидкой]]</f>
        <v>0</v>
      </c>
      <c r="AY105" s="3">
        <f>Д402[[#This Row],[Цена м2 с отделкой]]*Д402[[#This Row],[Расчетная проектная площадь]]</f>
        <v>4232400</v>
      </c>
      <c r="AZ105" s="161"/>
      <c r="BA105" s="269" t="s">
        <v>755</v>
      </c>
      <c r="BB105" s="269" t="str" cm="1">
        <f t="array" ref="BB10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Гарантированная бронь</v>
      </c>
      <c r="BC105" s="161" t="s">
        <v>738</v>
      </c>
      <c r="BD105" s="161" t="s">
        <v>754</v>
      </c>
      <c r="BE105" s="161" t="s">
        <v>737</v>
      </c>
      <c r="BF105" s="161" t="s">
        <v>743</v>
      </c>
      <c r="BG105" s="161" t="b">
        <f>EXACT(Д402[[#This Row],[Статусы CRM]],Д402[[#This Row],[Статус]])</f>
        <v>1</v>
      </c>
      <c r="BH105" s="3">
        <f>IF(Д402[[#This Row],[ПС]]=0,IF(Д402[[#This Row],[ДС]]=0,Д402[[#This Row],[ТС]],Д402[[#This Row],[ДС]]),Д402[[#This Row],[ПС]])</f>
        <v>4232400</v>
      </c>
      <c r="BI105" s="3">
        <v>4232400</v>
      </c>
      <c r="BJ105" s="3">
        <v>0</v>
      </c>
      <c r="BK105" s="3">
        <v>0</v>
      </c>
      <c r="BL105" s="273">
        <f>Д402[[#This Row],[Стоимость CRM]]-Д402[[#This Row],[Стоимость до скидки]]</f>
        <v>0</v>
      </c>
      <c r="BM105" s="161" t="s">
        <v>9</v>
      </c>
      <c r="BN105" s="161" t="b">
        <f>Д402[[#This Row],[Отделка CRM]]=Д402[[#This Row],[Отделка]]</f>
        <v>1</v>
      </c>
      <c r="BO105" s="275" t="s">
        <v>237</v>
      </c>
      <c r="BP105" s="69"/>
    </row>
    <row r="106" spans="1:68" ht="12" customHeight="1" x14ac:dyDescent="0.25">
      <c r="A106" s="140">
        <v>104</v>
      </c>
      <c r="B106" s="15">
        <v>1</v>
      </c>
      <c r="C106" s="141">
        <f t="shared" si="3"/>
        <v>19</v>
      </c>
      <c r="D106" s="142">
        <v>2</v>
      </c>
      <c r="E106" s="141">
        <v>2</v>
      </c>
      <c r="F106" s="143">
        <v>16.100000000000001</v>
      </c>
      <c r="G106" s="143">
        <v>10.8</v>
      </c>
      <c r="H106" s="143"/>
      <c r="I106" s="144">
        <f>SUM(Д402[[#This Row],[Комната 1]:[Комната 3]])</f>
        <v>26.900000000000002</v>
      </c>
      <c r="J106" s="145">
        <v>17.32</v>
      </c>
      <c r="K106" s="145">
        <v>4.25</v>
      </c>
      <c r="L106" s="145"/>
      <c r="M106" s="145">
        <v>9.68</v>
      </c>
      <c r="N106" s="145"/>
      <c r="O106" s="145">
        <v>3.15</v>
      </c>
      <c r="P106" s="146"/>
      <c r="Q106" s="146"/>
      <c r="R106" s="146">
        <f>SUM(Д402[[#This Row],[Лоджия 1]:[Лоджия 3]])</f>
        <v>3.15</v>
      </c>
      <c r="S106" s="283">
        <f>ROUND(SUM(Д402[[#This Row],[Площадь по проекту жилая]:[Лоджия 3]]),2)</f>
        <v>61.3</v>
      </c>
      <c r="T106" s="10">
        <f>ROUND(Д402[[#This Row],[Площадь по проекту(общая)]]-Д402[[#This Row],[Летние]],2)</f>
        <v>58.15</v>
      </c>
      <c r="U106" s="10">
        <f>ROUND(Д402[[#This Row],[Площадь по проекту(общая)]]-(SUM(Д402[[#This Row],[Лоджия 1]:[Лоджия 3]])/2),2)</f>
        <v>59.73</v>
      </c>
      <c r="V106" s="10">
        <f>VLOOKUP(Д402[[#This Row],[№]],наценка7[],COLUMN(наценка7[[#This Row],[Цена м2 с учетом всех K]]),0)</f>
        <v>122072.4</v>
      </c>
      <c r="W106" s="162"/>
      <c r="X106" s="10">
        <f>Д402[[#This Row],[м2 после К]]+Д402[[#This Row],[02.12.2024]]</f>
        <v>122072.4</v>
      </c>
      <c r="Y106" s="149">
        <v>1000</v>
      </c>
      <c r="Z106" s="10">
        <f>Д402[[#This Row],[Фикс 20.12.24]]+Д402[[#This Row],[23.12.24 СП +1000]]</f>
        <v>123072.4</v>
      </c>
      <c r="AA106" s="149">
        <v>215</v>
      </c>
      <c r="AB106" s="10">
        <f>Д402[[#This Row],[Фикс 23.12.24]]+Д402[[#This Row],[Повышение 20.02.25]]</f>
        <v>123287.4</v>
      </c>
      <c r="AC106" s="149">
        <v>17.5</v>
      </c>
      <c r="AD106" s="10">
        <f>Д402[[#This Row],[Фикс 20.02.25]]+Д402[[#This Row],[Повышение 24.02.2025]]</f>
        <v>123304.9</v>
      </c>
      <c r="AE106" s="149">
        <f>Д402[[#This Row],[Фикс 24.02.25]]*0.5%</f>
        <v>616.52449999999999</v>
      </c>
      <c r="AF106" s="10">
        <f>Д402[[#This Row],[Фикс 24.02.25]]+Д402[[#This Row],[Повышение 05.03.2025
1К: до 40м - 1,5%, 40+ 0,5%
2К - 0,5% ]]</f>
        <v>123921.42449999999</v>
      </c>
      <c r="AG106" s="10"/>
      <c r="AH106" s="10">
        <f>Д402[[#This Row],[Фикс 05.03.25]]+Д402[[#This Row],[повышение 14.03.25 1К-1%]]</f>
        <v>123921.42449999999</v>
      </c>
      <c r="AI106" s="10"/>
      <c r="AJ106" s="10">
        <f>Д402[[#This Row],[Фикс 14.03.25]]+Д402[[#This Row],[повышение 28.03.25 1К-1%]]</f>
        <v>123921.42449999999</v>
      </c>
      <c r="AK106" s="10">
        <f>Д402[[#This Row],[Фикс 28.03.25]]*3%</f>
        <v>3717.6427349999994</v>
      </c>
      <c r="AL106" s="10">
        <f>Д402[[#This Row],[Фикс 28.03.25]]+Д402[[#This Row],[Повышение 23.07.25
1К 43-46м2 - 2%
2К 55-58 - 2%; 58-64 - 3%
3К 76-79 - 2%
]]</f>
        <v>127639.06723499999</v>
      </c>
      <c r="AM106" s="149">
        <f>ROUND(Д402[[#This Row],[Фикс 23.07.25]],2)</f>
        <v>127639.07</v>
      </c>
      <c r="AN106" s="149">
        <f>ROUNDUP(Д402[[#This Row],[утв цена м2]]*Д402[[#This Row],[Расчетная проектная площадь]],-2)</f>
        <v>7623900</v>
      </c>
      <c r="AO106" s="151"/>
      <c r="AP106" s="152"/>
      <c r="AQ106" s="151">
        <f>Д402[[#This Row],[Стоимость до скидки]]*Д402[[#This Row],[Скидка %]]+Д402[[#This Row],[Скидка фиксированная]]</f>
        <v>0</v>
      </c>
      <c r="AR106" s="3">
        <f>Д402[[#This Row],[Стоимость ОН без отделки со скидкой]]/Д402[[#This Row],[Расчетная проектная площадь]]</f>
        <v>127639.37719738825</v>
      </c>
      <c r="AS106" s="3">
        <f>Д402[[#This Row],[Стоимость до скидки]]-Д402[[#This Row],[Итоговая сумма скидки]]</f>
        <v>7623900</v>
      </c>
      <c r="AT10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6" s="153"/>
      <c r="AV106" s="153"/>
      <c r="AW106" s="3">
        <f>Д402[[#This Row],[Цена м2 без отделки со скидкой]]+Д402[[#This Row],[Стоимость отделки]]</f>
        <v>127639.37719738825</v>
      </c>
      <c r="AX106" s="3">
        <f>Д402[[#This Row],[Стоимость квартиры с отделкой]]-Д402[[#This Row],[Стоимость ОН без отделки со скидкой]]</f>
        <v>0</v>
      </c>
      <c r="AY106" s="3">
        <f>Д402[[#This Row],[Цена м2 с отделкой]]*Д402[[#This Row],[Расчетная проектная площадь]]</f>
        <v>7623900</v>
      </c>
      <c r="AZ106" s="161"/>
      <c r="BA106" s="155" t="s">
        <v>12</v>
      </c>
      <c r="BB106" s="156" t="str" cm="1">
        <f t="array" ref="BB10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06" s="161" t="s">
        <v>738</v>
      </c>
      <c r="BD106" s="161" t="s">
        <v>739</v>
      </c>
      <c r="BE106" s="161" t="s">
        <v>737</v>
      </c>
      <c r="BF106" s="161" t="s">
        <v>744</v>
      </c>
      <c r="BG106" s="161" t="b">
        <f>EXACT(Д402[[#This Row],[Статусы CRM]],Д402[[#This Row],[Статус]])</f>
        <v>1</v>
      </c>
      <c r="BH106" s="3">
        <f>IF(Д402[[#This Row],[ПС]]=0,IF(Д402[[#This Row],[ДС]]=0,Д402[[#This Row],[ТС]],Д402[[#This Row],[ДС]]),Д402[[#This Row],[ПС]])</f>
        <v>7623900</v>
      </c>
      <c r="BI106" s="3">
        <v>7623900</v>
      </c>
      <c r="BJ106" s="3">
        <v>0</v>
      </c>
      <c r="BK106" s="3">
        <v>0</v>
      </c>
      <c r="BL106" s="273">
        <f>Д402[[#This Row],[Стоимость CRM]]-Д402[[#This Row],[Стоимость до скидки]]</f>
        <v>0</v>
      </c>
      <c r="BM106" s="161" t="s">
        <v>9</v>
      </c>
      <c r="BN106" s="161" t="b">
        <f>Д402[[#This Row],[Отделка CRM]]=Д402[[#This Row],[Отделка]]</f>
        <v>1</v>
      </c>
      <c r="BO106" s="275" t="s">
        <v>238</v>
      </c>
      <c r="BP106" s="69"/>
    </row>
    <row r="107" spans="1:68" ht="12" customHeight="1" x14ac:dyDescent="0.25">
      <c r="A107" s="140">
        <v>105</v>
      </c>
      <c r="B107" s="15">
        <v>1</v>
      </c>
      <c r="C107" s="141">
        <f t="shared" si="3"/>
        <v>19</v>
      </c>
      <c r="D107" s="142">
        <v>3</v>
      </c>
      <c r="E107" s="141">
        <v>2</v>
      </c>
      <c r="F107" s="143">
        <v>16.41</v>
      </c>
      <c r="G107" s="143">
        <v>12.19</v>
      </c>
      <c r="H107" s="143"/>
      <c r="I107" s="144">
        <f>SUM(Д402[[#This Row],[Комната 1]:[Комната 3]])</f>
        <v>28.6</v>
      </c>
      <c r="J107" s="145">
        <v>14.24</v>
      </c>
      <c r="K107" s="145">
        <v>3.86</v>
      </c>
      <c r="L107" s="145"/>
      <c r="M107" s="145">
        <v>6.1</v>
      </c>
      <c r="N107" s="145"/>
      <c r="O107" s="145">
        <v>3.33</v>
      </c>
      <c r="P107" s="146"/>
      <c r="Q107" s="146"/>
      <c r="R107" s="146">
        <f>SUM(Д402[[#This Row],[Лоджия 1]:[Лоджия 3]])</f>
        <v>3.33</v>
      </c>
      <c r="S107" s="10">
        <f>ROUND(SUM(Д402[[#This Row],[Площадь по проекту жилая]:[Лоджия 3]]),2)</f>
        <v>56.13</v>
      </c>
      <c r="T107" s="10">
        <f>ROUND(Д402[[#This Row],[Площадь по проекту(общая)]]-Д402[[#This Row],[Летние]],2)</f>
        <v>52.8</v>
      </c>
      <c r="U107" s="10">
        <f>ROUND(Д402[[#This Row],[Площадь по проекту(общая)]]-(SUM(Д402[[#This Row],[Лоджия 1]:[Лоджия 3]])/2),2)</f>
        <v>54.47</v>
      </c>
      <c r="V107" s="10">
        <f>VLOOKUP(Д402[[#This Row],[№]],наценка7[],COLUMN(наценка7[[#This Row],[Цена м2 с учетом всех K]]),0)</f>
        <v>119811.8</v>
      </c>
      <c r="W107" s="162"/>
      <c r="X107" s="10">
        <f>Д402[[#This Row],[м2 после К]]+Д402[[#This Row],[02.12.2024]]</f>
        <v>119811.8</v>
      </c>
      <c r="Y107" s="149">
        <v>1000</v>
      </c>
      <c r="Z107" s="10">
        <f>Д402[[#This Row],[Фикс 20.12.24]]+Д402[[#This Row],[23.12.24 СП +1000]]</f>
        <v>120811.8</v>
      </c>
      <c r="AA107" s="149">
        <v>215</v>
      </c>
      <c r="AB107" s="10">
        <f>Д402[[#This Row],[Фикс 23.12.24]]+Д402[[#This Row],[Повышение 20.02.25]]</f>
        <v>121026.8</v>
      </c>
      <c r="AC107" s="149">
        <v>17.5</v>
      </c>
      <c r="AD107" s="10">
        <f>Д402[[#This Row],[Фикс 20.02.25]]+Д402[[#This Row],[Повышение 24.02.2025]]</f>
        <v>121044.3</v>
      </c>
      <c r="AE107" s="149">
        <f>Д402[[#This Row],[Фикс 24.02.25]]*0.5%</f>
        <v>605.22149999999999</v>
      </c>
      <c r="AF107" s="10">
        <f>Д402[[#This Row],[Фикс 24.02.25]]+Д402[[#This Row],[Повышение 05.03.2025
1К: до 40м - 1,5%, 40+ 0,5%
2К - 0,5% ]]</f>
        <v>121649.5215</v>
      </c>
      <c r="AG107" s="10"/>
      <c r="AH107" s="10">
        <f>Д402[[#This Row],[Фикс 05.03.25]]+Д402[[#This Row],[повышение 14.03.25 1К-1%]]</f>
        <v>121649.5215</v>
      </c>
      <c r="AI107" s="10"/>
      <c r="AJ107" s="10">
        <f>Д402[[#This Row],[Фикс 14.03.25]]+Д402[[#This Row],[повышение 28.03.25 1К-1%]]</f>
        <v>121649.5215</v>
      </c>
      <c r="AK107" s="10"/>
      <c r="AL107" s="10">
        <f>Д402[[#This Row],[Фикс 28.03.25]]+Д402[[#This Row],[Повышение 23.07.25
1К 43-46м2 - 2%
2К 55-58 - 2%; 58-64 - 3%
3К 76-79 - 2%
]]</f>
        <v>121649.5215</v>
      </c>
      <c r="AM107" s="149">
        <f>ROUND(Д402[[#This Row],[Фикс 23.07.25]],2)</f>
        <v>121649.52</v>
      </c>
      <c r="AN107" s="149">
        <f>ROUNDUP(Д402[[#This Row],[утв цена м2]]*Д402[[#This Row],[Расчетная проектная площадь]],-2)</f>
        <v>6626300</v>
      </c>
      <c r="AO107" s="151"/>
      <c r="AP107" s="152"/>
      <c r="AQ107" s="151">
        <f>Д402[[#This Row],[Стоимость до скидки]]*Д402[[#This Row],[Скидка %]]+Д402[[#This Row],[Скидка фиксированная]]</f>
        <v>0</v>
      </c>
      <c r="AR107" s="3">
        <f>Д402[[#This Row],[Стоимость ОН без отделки со скидкой]]/Д402[[#This Row],[Расчетная проектная площадь]]</f>
        <v>121650.44978887461</v>
      </c>
      <c r="AS107" s="3">
        <f>Д402[[#This Row],[Стоимость до скидки]]-Д402[[#This Row],[Итоговая сумма скидки]]</f>
        <v>6626300</v>
      </c>
      <c r="AT10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07" s="153">
        <v>30000</v>
      </c>
      <c r="AV107" s="153" t="s">
        <v>722</v>
      </c>
      <c r="AW107" s="3">
        <f>Д402[[#This Row],[Цена м2 без отделки со скидкой]]+Д402[[#This Row],[Стоимость отделки]]</f>
        <v>151650.4497888746</v>
      </c>
      <c r="AX107" s="3">
        <f>Д402[[#This Row],[Стоимость квартиры с отделкой]]-Д402[[#This Row],[Стоимость ОН без отделки со скидкой]]</f>
        <v>1634099.9999999991</v>
      </c>
      <c r="AY107" s="3">
        <f>Д402[[#This Row],[Цена м2 с отделкой]]*Д402[[#This Row],[Расчетная проектная площадь]]</f>
        <v>8260399.9999999991</v>
      </c>
      <c r="AZ107" s="161"/>
      <c r="BA107" s="269" t="s">
        <v>128</v>
      </c>
      <c r="BB107" s="156" t="str" cm="1">
        <f t="array" ref="BB10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07" s="161" t="s">
        <v>740</v>
      </c>
      <c r="BD107" s="161" t="s">
        <v>506</v>
      </c>
      <c r="BE107" s="161" t="s">
        <v>737</v>
      </c>
      <c r="BF107" s="161" t="s">
        <v>744</v>
      </c>
      <c r="BG107" s="161" t="b">
        <f>EXACT(Д402[[#This Row],[Статусы CRM]],Д402[[#This Row],[Статус]])</f>
        <v>1</v>
      </c>
      <c r="BH107" s="3">
        <f>IF(Д402[[#This Row],[ПС]]=0,IF(Д402[[#This Row],[ДС]]=0,Д402[[#This Row],[ТС]],Д402[[#This Row],[ДС]]),Д402[[#This Row],[ПС]])</f>
        <v>6626300</v>
      </c>
      <c r="BI107" s="3">
        <v>6626300</v>
      </c>
      <c r="BJ107" s="3">
        <v>0</v>
      </c>
      <c r="BK107" s="3">
        <v>0</v>
      </c>
      <c r="BL107" s="273">
        <f>Д402[[#This Row],[Стоимость CRM]]-Д402[[#This Row],[Стоимость до скидки]]</f>
        <v>0</v>
      </c>
      <c r="BM107" s="161" t="s">
        <v>11</v>
      </c>
      <c r="BN107" s="161" t="b">
        <f>Д402[[#This Row],[Отделка CRM]]=Д402[[#This Row],[Отделка]]</f>
        <v>1</v>
      </c>
      <c r="BO107" s="275" t="s">
        <v>239</v>
      </c>
      <c r="BP107" s="69"/>
    </row>
    <row r="108" spans="1:68" ht="12" customHeight="1" x14ac:dyDescent="0.25">
      <c r="A108" s="140">
        <v>106</v>
      </c>
      <c r="B108" s="15">
        <v>1</v>
      </c>
      <c r="C108" s="141">
        <f t="shared" si="3"/>
        <v>19</v>
      </c>
      <c r="D108" s="142">
        <v>4</v>
      </c>
      <c r="E108" s="141">
        <v>2</v>
      </c>
      <c r="F108" s="143">
        <v>14.98</v>
      </c>
      <c r="G108" s="143">
        <v>12.28</v>
      </c>
      <c r="H108" s="143"/>
      <c r="I108" s="144">
        <f>SUM(Д402[[#This Row],[Комната 1]:[Комната 3]])</f>
        <v>27.259999999999998</v>
      </c>
      <c r="J108" s="145">
        <v>14.78</v>
      </c>
      <c r="K108" s="145">
        <v>4.4400000000000004</v>
      </c>
      <c r="L108" s="145"/>
      <c r="M108" s="145">
        <v>6.25</v>
      </c>
      <c r="N108" s="145"/>
      <c r="O108" s="145">
        <v>3.33</v>
      </c>
      <c r="P108" s="146"/>
      <c r="Q108" s="146"/>
      <c r="R108" s="146">
        <f>SUM(Д402[[#This Row],[Лоджия 1]:[Лоджия 3]])</f>
        <v>3.33</v>
      </c>
      <c r="S108" s="10">
        <f>ROUND(SUM(Д402[[#This Row],[Площадь по проекту жилая]:[Лоджия 3]]),2)</f>
        <v>56.06</v>
      </c>
      <c r="T108" s="10">
        <f>ROUND(Д402[[#This Row],[Площадь по проекту(общая)]]-Д402[[#This Row],[Летние]],2)</f>
        <v>52.73</v>
      </c>
      <c r="U108" s="10">
        <f>ROUND(Д402[[#This Row],[Площадь по проекту(общая)]]-(SUM(Д402[[#This Row],[Лоджия 1]:[Лоджия 3]])/2),2)</f>
        <v>54.4</v>
      </c>
      <c r="V108" s="10">
        <f>VLOOKUP(Д402[[#This Row],[№]],наценка7[],COLUMN(наценка7[[#This Row],[Цена м2 с учетом всех K]]),0)</f>
        <v>122072.4</v>
      </c>
      <c r="W108" s="162"/>
      <c r="X108" s="10">
        <f>Д402[[#This Row],[м2 после К]]+Д402[[#This Row],[02.12.2024]]</f>
        <v>122072.4</v>
      </c>
      <c r="Y108" s="149">
        <v>1000</v>
      </c>
      <c r="Z108" s="10">
        <f>Д402[[#This Row],[Фикс 20.12.24]]+Д402[[#This Row],[23.12.24 СП +1000]]</f>
        <v>123072.4</v>
      </c>
      <c r="AA108" s="149">
        <v>215</v>
      </c>
      <c r="AB108" s="10">
        <f>Д402[[#This Row],[Фикс 23.12.24]]+Д402[[#This Row],[Повышение 20.02.25]]</f>
        <v>123287.4</v>
      </c>
      <c r="AC108" s="149">
        <v>17.5</v>
      </c>
      <c r="AD108" s="10">
        <f>Д402[[#This Row],[Фикс 20.02.25]]+Д402[[#This Row],[Повышение 24.02.2025]]</f>
        <v>123304.9</v>
      </c>
      <c r="AE108" s="149">
        <f>Д402[[#This Row],[Фикс 24.02.25]]*0.5%</f>
        <v>616.52449999999999</v>
      </c>
      <c r="AF108" s="10">
        <f>Д402[[#This Row],[Фикс 24.02.25]]+Д402[[#This Row],[Повышение 05.03.2025
1К: до 40м - 1,5%, 40+ 0,5%
2К - 0,5% ]]</f>
        <v>123921.42449999999</v>
      </c>
      <c r="AG108" s="10"/>
      <c r="AH108" s="10">
        <f>Д402[[#This Row],[Фикс 05.03.25]]+Д402[[#This Row],[повышение 14.03.25 1К-1%]]</f>
        <v>123921.42449999999</v>
      </c>
      <c r="AI108" s="10"/>
      <c r="AJ108" s="10">
        <f>Д402[[#This Row],[Фикс 14.03.25]]+Д402[[#This Row],[повышение 28.03.25 1К-1%]]</f>
        <v>123921.42449999999</v>
      </c>
      <c r="AK108" s="10"/>
      <c r="AL108" s="10">
        <f>Д402[[#This Row],[Фикс 28.03.25]]+Д402[[#This Row],[Повышение 23.07.25
1К 43-46м2 - 2%
2К 55-58 - 2%; 58-64 - 3%
3К 76-79 - 2%
]]</f>
        <v>123921.42449999999</v>
      </c>
      <c r="AM108" s="149">
        <f>ROUND(Д402[[#This Row],[Фикс 23.07.25]],2)</f>
        <v>123921.42</v>
      </c>
      <c r="AN108" s="149">
        <f>ROUNDUP(Д402[[#This Row],[утв цена м2]]*Д402[[#This Row],[Расчетная проектная площадь]],-2)</f>
        <v>6741400</v>
      </c>
      <c r="AO108" s="151"/>
      <c r="AP108" s="152"/>
      <c r="AQ108" s="151">
        <f>Д402[[#This Row],[Стоимость до скидки]]*Д402[[#This Row],[Скидка %]]+Д402[[#This Row],[Скидка фиксированная]]</f>
        <v>0</v>
      </c>
      <c r="AR108" s="3">
        <f>Д402[[#This Row],[Стоимость ОН без отделки со скидкой]]/Д402[[#This Row],[Расчетная проектная площадь]]</f>
        <v>123922.79411764706</v>
      </c>
      <c r="AS108" s="3">
        <f>Д402[[#This Row],[Стоимость до скидки]]-Д402[[#This Row],[Итоговая сумма скидки]]</f>
        <v>6741400</v>
      </c>
      <c r="AT10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8" s="153"/>
      <c r="AV108" s="153"/>
      <c r="AW108" s="3">
        <f>Д402[[#This Row],[Цена м2 без отделки со скидкой]]+Д402[[#This Row],[Стоимость отделки]]</f>
        <v>123922.79411764706</v>
      </c>
      <c r="AX108" s="3">
        <f>Д402[[#This Row],[Стоимость квартиры с отделкой]]-Д402[[#This Row],[Стоимость ОН без отделки со скидкой]]</f>
        <v>0</v>
      </c>
      <c r="AY108" s="3">
        <f>Д402[[#This Row],[Цена м2 с отделкой]]*Д402[[#This Row],[Расчетная проектная площадь]]</f>
        <v>6741400</v>
      </c>
      <c r="AZ108" s="161"/>
      <c r="BA108" s="155" t="s">
        <v>12</v>
      </c>
      <c r="BB108" s="156" t="str" cm="1">
        <f t="array" ref="BB10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08" s="161" t="s">
        <v>738</v>
      </c>
      <c r="BD108" s="161" t="s">
        <v>739</v>
      </c>
      <c r="BE108" s="161" t="s">
        <v>737</v>
      </c>
      <c r="BF108" s="161" t="s">
        <v>744</v>
      </c>
      <c r="BG108" s="161" t="b">
        <f>EXACT(Д402[[#This Row],[Статусы CRM]],Д402[[#This Row],[Статус]])</f>
        <v>1</v>
      </c>
      <c r="BH108" s="3">
        <f>IF(Д402[[#This Row],[ПС]]=0,IF(Д402[[#This Row],[ДС]]=0,Д402[[#This Row],[ТС]],Д402[[#This Row],[ДС]]),Д402[[#This Row],[ПС]])</f>
        <v>6741400</v>
      </c>
      <c r="BI108" s="3">
        <v>6741400</v>
      </c>
      <c r="BJ108" s="3">
        <v>0</v>
      </c>
      <c r="BK108" s="3">
        <v>0</v>
      </c>
      <c r="BL108" s="273">
        <f>Д402[[#This Row],[Стоимость CRM]]-Д402[[#This Row],[Стоимость до скидки]]</f>
        <v>0</v>
      </c>
      <c r="BM108" s="161" t="s">
        <v>9</v>
      </c>
      <c r="BN108" s="161" t="b">
        <f>Д402[[#This Row],[Отделка CRM]]=Д402[[#This Row],[Отделка]]</f>
        <v>1</v>
      </c>
      <c r="BO108" s="275" t="s">
        <v>240</v>
      </c>
      <c r="BP108" s="69"/>
    </row>
    <row r="109" spans="1:68" ht="12" customHeight="1" x14ac:dyDescent="0.25">
      <c r="A109" s="140">
        <v>107</v>
      </c>
      <c r="B109" s="175">
        <v>1</v>
      </c>
      <c r="C109" s="141">
        <f t="shared" si="3"/>
        <v>19</v>
      </c>
      <c r="D109" s="142">
        <v>5</v>
      </c>
      <c r="E109" s="141">
        <v>1</v>
      </c>
      <c r="F109" s="143">
        <v>13.06</v>
      </c>
      <c r="G109" s="143"/>
      <c r="H109" s="143"/>
      <c r="I109" s="144">
        <f>SUM(Д402[[#This Row],[Комната 1]:[Комната 3]])</f>
        <v>13.06</v>
      </c>
      <c r="J109" s="145">
        <v>14.73</v>
      </c>
      <c r="K109" s="145">
        <v>4.4400000000000004</v>
      </c>
      <c r="L109" s="145"/>
      <c r="M109" s="145">
        <v>2.9</v>
      </c>
      <c r="N109" s="145"/>
      <c r="O109" s="145">
        <v>3.02</v>
      </c>
      <c r="P109" s="146"/>
      <c r="Q109" s="146"/>
      <c r="R109" s="146">
        <f>SUM(Д402[[#This Row],[Лоджия 1]:[Лоджия 3]])</f>
        <v>3.02</v>
      </c>
      <c r="S109" s="10">
        <f>ROUND(SUM(Д402[[#This Row],[Площадь по проекту жилая]:[Лоджия 3]]),2)</f>
        <v>38.15</v>
      </c>
      <c r="T109" s="10">
        <f>ROUND(Д402[[#This Row],[Площадь по проекту(общая)]]-Д402[[#This Row],[Летние]],2)</f>
        <v>35.130000000000003</v>
      </c>
      <c r="U109" s="10">
        <f>ROUND(Д402[[#This Row],[Площадь по проекту(общая)]]-(SUM(Д402[[#This Row],[Лоджия 1]:[Лоджия 3]])/2),2)</f>
        <v>36.64</v>
      </c>
      <c r="V109" s="10">
        <f>VLOOKUP(Д402[[#This Row],[№]],наценка7[],COLUMN(наценка7[[#This Row],[Цена м2 с учетом всех K]]),0)</f>
        <v>128800.8</v>
      </c>
      <c r="W109" s="159">
        <f>2%*Д402[[#This Row],[м2 после К]]</f>
        <v>2576.0160000000001</v>
      </c>
      <c r="X109" s="10">
        <f>Д402[[#This Row],[м2 после К]]+Д402[[#This Row],[02.12.2024]]</f>
        <v>131376.81599999999</v>
      </c>
      <c r="Y109" s="149">
        <v>1000</v>
      </c>
      <c r="Z109" s="10">
        <f>Д402[[#This Row],[Фикс 20.12.24]]+Д402[[#This Row],[23.12.24 СП +1000]]</f>
        <v>132376.81599999999</v>
      </c>
      <c r="AA109" s="149">
        <v>215</v>
      </c>
      <c r="AB109" s="10">
        <f>Д402[[#This Row],[Фикс 23.12.24]]+Д402[[#This Row],[Повышение 20.02.25]]</f>
        <v>132591.81599999999</v>
      </c>
      <c r="AC109" s="149">
        <v>17.5</v>
      </c>
      <c r="AD109" s="10">
        <f>Д402[[#This Row],[Фикс 20.02.25]]+Д402[[#This Row],[Повышение 24.02.2025]]</f>
        <v>132609.31599999999</v>
      </c>
      <c r="AE109" s="149">
        <f>Д402[[#This Row],[Фикс 24.02.25]]*1.5%</f>
        <v>1989.1397399999998</v>
      </c>
      <c r="AF109" s="10">
        <f>Д402[[#This Row],[Фикс 24.02.25]]+Д402[[#This Row],[Повышение 05.03.2025
1К: до 40м - 1,5%, 40+ 0,5%
2К - 0,5% ]]</f>
        <v>134598.45574</v>
      </c>
      <c r="AG109" s="149">
        <f>Д402[[#This Row],[Фикс 05.03.25]]*1%</f>
        <v>1345.9845574000001</v>
      </c>
      <c r="AH109" s="10">
        <f>Д402[[#This Row],[Фикс 05.03.25]]+Д402[[#This Row],[повышение 14.03.25 1К-1%]]</f>
        <v>135944.4402974</v>
      </c>
      <c r="AI109" s="10">
        <f>Д402[[#This Row],[Фикс 14.03.25]]*1%</f>
        <v>1359.444402974</v>
      </c>
      <c r="AJ109" s="10">
        <f>Д402[[#This Row],[Фикс 14.03.25]]+Д402[[#This Row],[повышение 28.03.25 1К-1%]]</f>
        <v>137303.88470037401</v>
      </c>
      <c r="AK109" s="10"/>
      <c r="AL109" s="10">
        <f>Д402[[#This Row],[Фикс 28.03.25]]+Д402[[#This Row],[Повышение 23.07.25
1К 43-46м2 - 2%
2К 55-58 - 2%; 58-64 - 3%
3К 76-79 - 2%
]]</f>
        <v>137303.88470037401</v>
      </c>
      <c r="AM109" s="149">
        <f>ROUND(Д402[[#This Row],[Фикс 23.07.25]],2)</f>
        <v>137303.88</v>
      </c>
      <c r="AN109" s="149">
        <f>ROUNDUP(Д402[[#This Row],[утв цена м2]]*Д402[[#This Row],[Расчетная проектная площадь]],-2)</f>
        <v>5030900</v>
      </c>
      <c r="AO109" s="151"/>
      <c r="AP109" s="152"/>
      <c r="AQ109" s="151">
        <f>Д402[[#This Row],[Стоимость до скидки]]*Д402[[#This Row],[Скидка %]]+Д402[[#This Row],[Скидка фиксированная]]</f>
        <v>0</v>
      </c>
      <c r="AR109" s="3">
        <f>Д402[[#This Row],[Стоимость ОН без отделки со скидкой]]/Д402[[#This Row],[Расчетная проектная площадь]]</f>
        <v>137306.22270742359</v>
      </c>
      <c r="AS109" s="3">
        <f>Д402[[#This Row],[Стоимость до скидки]]-Д402[[#This Row],[Итоговая сумма скидки]]</f>
        <v>5030900</v>
      </c>
      <c r="AT10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09" s="153"/>
      <c r="AV109" s="153"/>
      <c r="AW109" s="3">
        <f>Д402[[#This Row],[Цена м2 без отделки со скидкой]]+Д402[[#This Row],[Стоимость отделки]]</f>
        <v>137306.22270742359</v>
      </c>
      <c r="AX109" s="3">
        <f>Д402[[#This Row],[Стоимость квартиры с отделкой]]-Д402[[#This Row],[Стоимость ОН без отделки со скидкой]]</f>
        <v>0</v>
      </c>
      <c r="AY109" s="3">
        <f>Д402[[#This Row],[Цена м2 с отделкой]]*Д402[[#This Row],[Расчетная проектная площадь]]</f>
        <v>5030900</v>
      </c>
      <c r="AZ109" s="161"/>
      <c r="BA109" s="269" t="s">
        <v>128</v>
      </c>
      <c r="BB109" s="269" t="str" cm="1">
        <f t="array" ref="BB10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09" s="161" t="s">
        <v>740</v>
      </c>
      <c r="BD109" s="161" t="s">
        <v>506</v>
      </c>
      <c r="BE109" s="161" t="s">
        <v>737</v>
      </c>
      <c r="BF109" s="161" t="s">
        <v>745</v>
      </c>
      <c r="BG109" s="161" t="b">
        <f>EXACT(Д402[[#This Row],[Статусы CRM]],Д402[[#This Row],[Статус]])</f>
        <v>1</v>
      </c>
      <c r="BH109" s="3">
        <f>IF(Д402[[#This Row],[ПС]]=0,IF(Д402[[#This Row],[ДС]]=0,Д402[[#This Row],[ТС]],Д402[[#This Row],[ДС]]),Д402[[#This Row],[ПС]])</f>
        <v>5030900</v>
      </c>
      <c r="BI109" s="3">
        <v>5030900</v>
      </c>
      <c r="BJ109" s="3">
        <v>0</v>
      </c>
      <c r="BK109" s="3">
        <v>0</v>
      </c>
      <c r="BL109" s="273">
        <f>Д402[[#This Row],[Стоимость CRM]]-Д402[[#This Row],[Стоимость до скидки]]</f>
        <v>0</v>
      </c>
      <c r="BM109" s="161" t="s">
        <v>9</v>
      </c>
      <c r="BN109" s="161" t="b">
        <f>Д402[[#This Row],[Отделка CRM]]=Д402[[#This Row],[Отделка]]</f>
        <v>1</v>
      </c>
      <c r="BO109" s="275" t="s">
        <v>241</v>
      </c>
      <c r="BP109" s="69"/>
    </row>
    <row r="110" spans="1:68" ht="12" customHeight="1" x14ac:dyDescent="0.25">
      <c r="A110" s="140">
        <v>108</v>
      </c>
      <c r="B110" s="15">
        <v>1</v>
      </c>
      <c r="C110" s="141">
        <f t="shared" si="3"/>
        <v>19</v>
      </c>
      <c r="D110" s="142">
        <v>6</v>
      </c>
      <c r="E110" s="141">
        <v>1</v>
      </c>
      <c r="F110" s="143">
        <v>14.57</v>
      </c>
      <c r="G110" s="143"/>
      <c r="H110" s="143"/>
      <c r="I110" s="144">
        <f>SUM(Д402[[#This Row],[Комната 1]:[Комната 3]])</f>
        <v>14.57</v>
      </c>
      <c r="J110" s="145">
        <v>16.57</v>
      </c>
      <c r="K110" s="145">
        <v>4.46</v>
      </c>
      <c r="L110" s="145"/>
      <c r="M110" s="145">
        <v>7.75</v>
      </c>
      <c r="N110" s="145"/>
      <c r="O110" s="145">
        <v>3.1</v>
      </c>
      <c r="P110" s="146"/>
      <c r="Q110" s="146"/>
      <c r="R110" s="146">
        <f>SUM(Д402[[#This Row],[Лоджия 1]:[Лоджия 3]])</f>
        <v>3.1</v>
      </c>
      <c r="S110" s="10">
        <f>ROUND(SUM(Д402[[#This Row],[Площадь по проекту жилая]:[Лоджия 3]]),2)</f>
        <v>46.45</v>
      </c>
      <c r="T110" s="10">
        <f>ROUND(Д402[[#This Row],[Площадь по проекту(общая)]]-Д402[[#This Row],[Летние]],2)</f>
        <v>43.35</v>
      </c>
      <c r="U110" s="10">
        <f>ROUND(Д402[[#This Row],[Площадь по проекту(общая)]]-(SUM(Д402[[#This Row],[Лоджия 1]:[Лоджия 3]])/2),2)</f>
        <v>44.9</v>
      </c>
      <c r="V110" s="10">
        <f>VLOOKUP(Д402[[#This Row],[№]],наценка7[],COLUMN(наценка7[[#This Row],[Цена м2 с учетом всех K]]),0)</f>
        <v>125223</v>
      </c>
      <c r="W110" s="162"/>
      <c r="X110" s="10">
        <f>Д402[[#This Row],[м2 после К]]+Д402[[#This Row],[02.12.2024]]</f>
        <v>125223</v>
      </c>
      <c r="Y110" s="149">
        <v>1000</v>
      </c>
      <c r="Z110" s="10">
        <f>Д402[[#This Row],[Фикс 20.12.24]]+Д402[[#This Row],[23.12.24 СП +1000]]</f>
        <v>126223</v>
      </c>
      <c r="AA110" s="149">
        <v>215</v>
      </c>
      <c r="AB110" s="10">
        <f>Д402[[#This Row],[Фикс 23.12.24]]+Д402[[#This Row],[Повышение 20.02.25]]</f>
        <v>126438</v>
      </c>
      <c r="AC110" s="149">
        <v>17.5</v>
      </c>
      <c r="AD110" s="10">
        <f>Д402[[#This Row],[Фикс 20.02.25]]+Д402[[#This Row],[Повышение 24.02.2025]]</f>
        <v>126455.5</v>
      </c>
      <c r="AE110" s="149">
        <f>Д402[[#This Row],[Фикс 24.02.25]]*0.5%</f>
        <v>632.27750000000003</v>
      </c>
      <c r="AF110" s="10">
        <f>Д402[[#This Row],[Фикс 24.02.25]]+Д402[[#This Row],[Повышение 05.03.2025
1К: до 40м - 1,5%, 40+ 0,5%
2К - 0,5% ]]</f>
        <v>127087.7775</v>
      </c>
      <c r="AG110" s="149">
        <f>Д402[[#This Row],[Фикс 05.03.25]]*1%</f>
        <v>1270.8777749999999</v>
      </c>
      <c r="AH110" s="10">
        <f>Д402[[#This Row],[Фикс 05.03.25]]+Д402[[#This Row],[повышение 14.03.25 1К-1%]]</f>
        <v>128358.655275</v>
      </c>
      <c r="AI110" s="149">
        <f>Д402[[#This Row],[Фикс 14.03.25]]*1%</f>
        <v>1283.58655275</v>
      </c>
      <c r="AJ110" s="10">
        <f>Д402[[#This Row],[Фикс 14.03.25]]+Д402[[#This Row],[повышение 28.03.25 1К-1%]]</f>
        <v>129642.24182775</v>
      </c>
      <c r="AK110" s="149">
        <f>Д402[[#This Row],[Фикс 28.03.25]]*2%</f>
        <v>2592.8448365549998</v>
      </c>
      <c r="AL110" s="10">
        <f>Д402[[#This Row],[Фикс 28.03.25]]+Д402[[#This Row],[Повышение 23.07.25
1К 43-46м2 - 2%
2К 55-58 - 2%; 58-64 - 3%
3К 76-79 - 2%
]]</f>
        <v>132235.08666430501</v>
      </c>
      <c r="AM110" s="149">
        <f>ROUND(Д402[[#This Row],[Фикс 23.07.25]],2)</f>
        <v>132235.09</v>
      </c>
      <c r="AN110" s="149">
        <f>ROUNDUP(Д402[[#This Row],[утв цена м2]]*Д402[[#This Row],[Расчетная проектная площадь]],-2)</f>
        <v>5937400</v>
      </c>
      <c r="AO110" s="151"/>
      <c r="AP110" s="152"/>
      <c r="AQ110" s="151">
        <f>Д402[[#This Row],[Стоимость до скидки]]*Д402[[#This Row],[Скидка %]]+Д402[[#This Row],[Скидка фиксированная]]</f>
        <v>0</v>
      </c>
      <c r="AR110" s="3">
        <f>Д402[[#This Row],[Стоимость ОН без отделки со скидкой]]/Д402[[#This Row],[Расчетная проектная площадь]]</f>
        <v>132236.08017817372</v>
      </c>
      <c r="AS110" s="3">
        <f>Д402[[#This Row],[Стоимость до скидки]]-Д402[[#This Row],[Итоговая сумма скидки]]</f>
        <v>5937400</v>
      </c>
      <c r="AT11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0" s="153"/>
      <c r="AV110" s="153"/>
      <c r="AW110" s="3">
        <f>Д402[[#This Row],[Цена м2 без отделки со скидкой]]+Д402[[#This Row],[Стоимость отделки]]</f>
        <v>132236.08017817372</v>
      </c>
      <c r="AX110" s="3">
        <f>Д402[[#This Row],[Стоимость квартиры с отделкой]]-Д402[[#This Row],[Стоимость ОН без отделки со скидкой]]</f>
        <v>0</v>
      </c>
      <c r="AY110" s="3">
        <f>Д402[[#This Row],[Цена м2 с отделкой]]*Д402[[#This Row],[Расчетная проектная площадь]]</f>
        <v>5937400</v>
      </c>
      <c r="AZ110" s="161"/>
      <c r="BA110" s="155" t="s">
        <v>12</v>
      </c>
      <c r="BB110" s="156" t="str" cm="1">
        <f t="array" ref="BB11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0" s="161" t="s">
        <v>738</v>
      </c>
      <c r="BD110" s="161" t="s">
        <v>739</v>
      </c>
      <c r="BE110" s="161" t="s">
        <v>737</v>
      </c>
      <c r="BF110" s="161" t="s">
        <v>745</v>
      </c>
      <c r="BG110" s="161" t="b">
        <f>EXACT(Д402[[#This Row],[Статусы CRM]],Д402[[#This Row],[Статус]])</f>
        <v>1</v>
      </c>
      <c r="BH110" s="3">
        <f>IF(Д402[[#This Row],[ПС]]=0,IF(Д402[[#This Row],[ДС]]=0,Д402[[#This Row],[ТС]],Д402[[#This Row],[ДС]]),Д402[[#This Row],[ПС]])</f>
        <v>5937400</v>
      </c>
      <c r="BI110" s="3">
        <v>5937400</v>
      </c>
      <c r="BJ110" s="3">
        <v>0</v>
      </c>
      <c r="BK110" s="3">
        <v>0</v>
      </c>
      <c r="BL110" s="273">
        <f>Д402[[#This Row],[Стоимость CRM]]-Д402[[#This Row],[Стоимость до скидки]]</f>
        <v>0</v>
      </c>
      <c r="BM110" s="161" t="s">
        <v>9</v>
      </c>
      <c r="BN110" s="161" t="b">
        <f>Д402[[#This Row],[Отделка CRM]]=Д402[[#This Row],[Отделка]]</f>
        <v>1</v>
      </c>
      <c r="BO110" s="275" t="s">
        <v>242</v>
      </c>
      <c r="BP110" s="69"/>
    </row>
    <row r="111" spans="1:68" ht="12" customHeight="1" x14ac:dyDescent="0.25">
      <c r="A111" s="140">
        <v>109</v>
      </c>
      <c r="B111" s="15">
        <v>2</v>
      </c>
      <c r="C111" s="141">
        <v>2</v>
      </c>
      <c r="D111" s="142">
        <v>1</v>
      </c>
      <c r="E111" s="141">
        <v>2</v>
      </c>
      <c r="F111" s="143">
        <v>17.579999999999998</v>
      </c>
      <c r="G111" s="143">
        <v>14.37</v>
      </c>
      <c r="H111" s="143"/>
      <c r="I111" s="144">
        <f>SUM(Д402[[#This Row],[Комната 1]:[Комната 3]])</f>
        <v>31.949999999999996</v>
      </c>
      <c r="J111" s="145">
        <v>14.29</v>
      </c>
      <c r="K111" s="145">
        <v>4.5199999999999996</v>
      </c>
      <c r="L111" s="145"/>
      <c r="M111" s="145">
        <v>8.64</v>
      </c>
      <c r="N111" s="145">
        <v>4.76</v>
      </c>
      <c r="O111" s="145">
        <v>3.11</v>
      </c>
      <c r="P111" s="146"/>
      <c r="Q111" s="146"/>
      <c r="R111" s="146">
        <f>SUM(Д402[[#This Row],[Лоджия 1]:[Лоджия 3]])</f>
        <v>3.11</v>
      </c>
      <c r="S111" s="10">
        <f>ROUND(SUM(Д402[[#This Row],[Площадь по проекту жилая]:[Лоджия 3]]),2)</f>
        <v>67.27</v>
      </c>
      <c r="T111" s="10">
        <f>ROUND(Д402[[#This Row],[Площадь по проекту(общая)]]-Д402[[#This Row],[Летние]],2)</f>
        <v>64.16</v>
      </c>
      <c r="U111" s="10">
        <f>ROUND(Д402[[#This Row],[Площадь по проекту(общая)]]-(SUM(Д402[[#This Row],[Лоджия 1]:[Лоджия 3]])/2),2)</f>
        <v>65.72</v>
      </c>
      <c r="V111" s="10">
        <f>VLOOKUP(Д402[[#This Row],[№]],наценка7[],COLUMN(наценка7[[#This Row],[Цена м2 с учетом всех K]]),0)</f>
        <v>117551.2</v>
      </c>
      <c r="W111" s="162"/>
      <c r="X111" s="10">
        <f>Д402[[#This Row],[м2 после К]]+Д402[[#This Row],[02.12.2024]]</f>
        <v>117551.2</v>
      </c>
      <c r="Y111" s="149">
        <v>1000</v>
      </c>
      <c r="Z111" s="10">
        <f>Д402[[#This Row],[Фикс 20.12.24]]+Д402[[#This Row],[23.12.24 СП +1000]]</f>
        <v>118551.2</v>
      </c>
      <c r="AA111" s="149">
        <v>215</v>
      </c>
      <c r="AB111" s="10">
        <f>Д402[[#This Row],[Фикс 23.12.24]]+Д402[[#This Row],[Повышение 20.02.25]]</f>
        <v>118766.2</v>
      </c>
      <c r="AC111" s="149">
        <v>17.5</v>
      </c>
      <c r="AD111" s="10">
        <f>Д402[[#This Row],[Фикс 20.02.25]]+Д402[[#This Row],[Повышение 24.02.2025]]</f>
        <v>118783.7</v>
      </c>
      <c r="AE111" s="10"/>
      <c r="AF111" s="10">
        <f>Д402[[#This Row],[Фикс 24.02.25]]+Д402[[#This Row],[Повышение 05.03.2025
1К: до 40м - 1,5%, 40+ 0,5%
2К - 0,5% ]]</f>
        <v>118783.7</v>
      </c>
      <c r="AG111" s="10"/>
      <c r="AH111" s="10">
        <f>Д402[[#This Row],[Фикс 05.03.25]]+Д402[[#This Row],[повышение 14.03.25 1К-1%]]</f>
        <v>118783.7</v>
      </c>
      <c r="AI111" s="10"/>
      <c r="AJ111" s="10">
        <f>Д402[[#This Row],[Фикс 14.03.25]]+Д402[[#This Row],[повышение 28.03.25 1К-1%]]</f>
        <v>118783.7</v>
      </c>
      <c r="AK111" s="10"/>
      <c r="AL111" s="10">
        <f>Д402[[#This Row],[Фикс 28.03.25]]+Д402[[#This Row],[Повышение 23.07.25
1К 43-46м2 - 2%
2К 55-58 - 2%; 58-64 - 3%
3К 76-79 - 2%
]]</f>
        <v>118783.7</v>
      </c>
      <c r="AM111" s="149">
        <f>ROUND(Д402[[#This Row],[Фикс 23.07.25]],2)</f>
        <v>118783.7</v>
      </c>
      <c r="AN111" s="149">
        <f>ROUNDUP(Д402[[#This Row],[утв цена м2]]*Д402[[#This Row],[Расчетная проектная площадь]],-2)</f>
        <v>7806500</v>
      </c>
      <c r="AO111" s="151"/>
      <c r="AP111" s="152">
        <v>0.02</v>
      </c>
      <c r="AQ111" s="151">
        <f>Д402[[#This Row],[Стоимость до скидки]]*Д402[[#This Row],[Скидка %]]+Д402[[#This Row],[Скидка фиксированная]]</f>
        <v>156130</v>
      </c>
      <c r="AR111" s="3">
        <f>Д402[[#This Row],[Стоимость ОН без отделки со скидкой]]/Д402[[#This Row],[Расчетная проектная площадь]]</f>
        <v>116408.55143031041</v>
      </c>
      <c r="AS111" s="3">
        <f>Д402[[#This Row],[Стоимость до скидки]]-Д402[[#This Row],[Итоговая сумма скидки]]</f>
        <v>7650370</v>
      </c>
      <c r="AT11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1" s="153"/>
      <c r="AV111" s="153"/>
      <c r="AW111" s="3">
        <f>Д402[[#This Row],[Цена м2 без отделки со скидкой]]+Д402[[#This Row],[Стоимость отделки]]</f>
        <v>116408.55143031041</v>
      </c>
      <c r="AX111" s="3">
        <f>Д402[[#This Row],[Стоимость квартиры с отделкой]]-Д402[[#This Row],[Стоимость ОН без отделки со скидкой]]</f>
        <v>0</v>
      </c>
      <c r="AY111" s="3">
        <f>Д402[[#This Row],[Цена м2 с отделкой]]*Д402[[#This Row],[Расчетная проектная площадь]]</f>
        <v>7650370</v>
      </c>
      <c r="AZ111" s="161" t="s">
        <v>436</v>
      </c>
      <c r="BA111" s="269" t="s">
        <v>426</v>
      </c>
      <c r="BB111" s="298" t="str" cm="1">
        <f t="array" ref="BB11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11" s="161" t="s">
        <v>741</v>
      </c>
      <c r="BD111" s="161" t="s">
        <v>506</v>
      </c>
      <c r="BE111" s="161" t="s">
        <v>737</v>
      </c>
      <c r="BF111" s="161" t="s">
        <v>744</v>
      </c>
      <c r="BG111" s="161" t="b">
        <f>EXACT(Д402[[#This Row],[Статусы CRM]],Д402[[#This Row],[Статус]])</f>
        <v>1</v>
      </c>
      <c r="BH111" s="3">
        <f>IF(Д402[[#This Row],[ПС]]=0,IF(Д402[[#This Row],[ДС]]=0,Д402[[#This Row],[ТС]],Д402[[#This Row],[ДС]]),Д402[[#This Row],[ПС]])</f>
        <v>7806500</v>
      </c>
      <c r="BI111" s="3" t="s">
        <v>749</v>
      </c>
      <c r="BJ111" s="3">
        <v>7806500</v>
      </c>
      <c r="BK111" s="3">
        <v>7806500</v>
      </c>
      <c r="BL111" s="273">
        <f>Д402[[#This Row],[Стоимость CRM]]-Д402[[#This Row],[Стоимость до скидки]]</f>
        <v>0</v>
      </c>
      <c r="BM111" s="161" t="s">
        <v>9</v>
      </c>
      <c r="BN111" s="161" t="b">
        <f>Д402[[#This Row],[Отделка CRM]]=Д402[[#This Row],[Отделка]]</f>
        <v>1</v>
      </c>
      <c r="BO111" s="275" t="s">
        <v>243</v>
      </c>
      <c r="BP111" s="69"/>
    </row>
    <row r="112" spans="1:68" ht="12" customHeight="1" x14ac:dyDescent="0.25">
      <c r="A112" s="140">
        <v>110</v>
      </c>
      <c r="B112" s="175">
        <v>2</v>
      </c>
      <c r="C112" s="141">
        <v>2</v>
      </c>
      <c r="D112" s="142">
        <v>2</v>
      </c>
      <c r="E112" s="141">
        <v>1</v>
      </c>
      <c r="F112" s="143">
        <v>14.77</v>
      </c>
      <c r="G112" s="143"/>
      <c r="H112" s="143"/>
      <c r="I112" s="144">
        <f>SUM(Д402[[#This Row],[Комната 1]:[Комната 3]])</f>
        <v>14.77</v>
      </c>
      <c r="J112" s="145">
        <v>11.88</v>
      </c>
      <c r="K112" s="145">
        <v>4.1399999999999997</v>
      </c>
      <c r="L112" s="145"/>
      <c r="M112" s="145">
        <v>4.28</v>
      </c>
      <c r="N112" s="145"/>
      <c r="O112" s="145">
        <v>3.11</v>
      </c>
      <c r="P112" s="146"/>
      <c r="Q112" s="146"/>
      <c r="R112" s="146">
        <f>SUM(Д402[[#This Row],[Лоджия 1]:[Лоджия 3]])</f>
        <v>3.11</v>
      </c>
      <c r="S112" s="10">
        <f>ROUND(SUM(Д402[[#This Row],[Площадь по проекту жилая]:[Лоджия 3]]),2)</f>
        <v>38.18</v>
      </c>
      <c r="T112" s="10">
        <f>ROUND(Д402[[#This Row],[Площадь по проекту(общая)]]-Д402[[#This Row],[Летние]],2)</f>
        <v>35.07</v>
      </c>
      <c r="U112" s="10">
        <f>ROUND(Д402[[#This Row],[Площадь по проекту(общая)]]-(SUM(Д402[[#This Row],[Лоджия 1]:[Лоджия 3]])/2),2)</f>
        <v>36.630000000000003</v>
      </c>
      <c r="V112" s="10">
        <f>VLOOKUP(Д402[[#This Row],[№]],наценка7[],COLUMN(наценка7[[#This Row],[Цена м2 с учетом всех K]]),0)</f>
        <v>124030.39999999999</v>
      </c>
      <c r="W112" s="162"/>
      <c r="X112" s="10">
        <f>Д402[[#This Row],[м2 после К]]+Д402[[#This Row],[02.12.2024]]</f>
        <v>124030.39999999999</v>
      </c>
      <c r="Y112" s="149">
        <v>1000</v>
      </c>
      <c r="Z112" s="10">
        <f>Д402[[#This Row],[Фикс 20.12.24]]+Д402[[#This Row],[23.12.24 СП +1000]]</f>
        <v>125030.39999999999</v>
      </c>
      <c r="AA112" s="149">
        <v>215</v>
      </c>
      <c r="AB112" s="10">
        <f>Д402[[#This Row],[Фикс 23.12.24]]+Д402[[#This Row],[Повышение 20.02.25]]</f>
        <v>125245.4</v>
      </c>
      <c r="AC112" s="149">
        <v>17.5</v>
      </c>
      <c r="AD112" s="10">
        <f>Д402[[#This Row],[Фикс 20.02.25]]+Д402[[#This Row],[Повышение 24.02.2025]]</f>
        <v>125262.9</v>
      </c>
      <c r="AE112" s="149">
        <f>Д402[[#This Row],[Фикс 24.02.25]]*1.5%</f>
        <v>1878.9434999999999</v>
      </c>
      <c r="AF112" s="10">
        <f>Д402[[#This Row],[Фикс 24.02.25]]+Д402[[#This Row],[Повышение 05.03.2025
1К: до 40м - 1,5%, 40+ 0,5%
2К - 0,5% ]]</f>
        <v>127141.84349999999</v>
      </c>
      <c r="AG112" s="149">
        <f>Д402[[#This Row],[Фикс 05.03.25]]*1%</f>
        <v>1271.4184349999998</v>
      </c>
      <c r="AH112" s="10">
        <f>Д402[[#This Row],[Фикс 05.03.25]]+Д402[[#This Row],[повышение 14.03.25 1К-1%]]</f>
        <v>128413.26193499999</v>
      </c>
      <c r="AI112" s="149">
        <f>Д402[[#This Row],[Фикс 14.03.25]]*1%</f>
        <v>1284.1326193499999</v>
      </c>
      <c r="AJ112" s="10">
        <f>Д402[[#This Row],[Фикс 14.03.25]]+Д402[[#This Row],[повышение 28.03.25 1К-1%]]</f>
        <v>129697.39455434999</v>
      </c>
      <c r="AK112" s="10"/>
      <c r="AL112" s="10">
        <f>Д402[[#This Row],[Фикс 28.03.25]]+Д402[[#This Row],[Повышение 23.07.25
1К 43-46м2 - 2%
2К 55-58 - 2%; 58-64 - 3%
3К 76-79 - 2%
]]</f>
        <v>129697.39455434999</v>
      </c>
      <c r="AM112" s="149">
        <f>ROUND(Д402[[#This Row],[Фикс 23.07.25]],2)</f>
        <v>129697.39</v>
      </c>
      <c r="AN112" s="149">
        <f>ROUNDUP(Д402[[#This Row],[утв цена м2]]*Д402[[#This Row],[Расчетная проектная площадь]],-2)</f>
        <v>4750900</v>
      </c>
      <c r="AO112" s="151"/>
      <c r="AP112" s="152"/>
      <c r="AQ112" s="151">
        <f>Д402[[#This Row],[Стоимость до скидки]]*Д402[[#This Row],[Скидка %]]+Д402[[#This Row],[Скидка фиксированная]]</f>
        <v>0</v>
      </c>
      <c r="AR112" s="3">
        <f>Д402[[#This Row],[Стоимость ОН без отделки со скидкой]]/Д402[[#This Row],[Расчетная проектная площадь]]</f>
        <v>129699.69969969969</v>
      </c>
      <c r="AS112" s="3">
        <f>Д402[[#This Row],[Стоимость до скидки]]-Д402[[#This Row],[Итоговая сумма скидки]]</f>
        <v>4750900</v>
      </c>
      <c r="AT11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2" s="153"/>
      <c r="AV112" s="153"/>
      <c r="AW112" s="3">
        <f>Д402[[#This Row],[Цена м2 без отделки со скидкой]]+Д402[[#This Row],[Стоимость отделки]]</f>
        <v>129699.69969969969</v>
      </c>
      <c r="AX112" s="3">
        <f>Д402[[#This Row],[Стоимость квартиры с отделкой]]-Д402[[#This Row],[Стоимость ОН без отделки со скидкой]]</f>
        <v>0</v>
      </c>
      <c r="AY112" s="3">
        <f>Д402[[#This Row],[Цена м2 с отделкой]]*Д402[[#This Row],[Расчетная проектная площадь]]</f>
        <v>4750900</v>
      </c>
      <c r="AZ112" s="161"/>
      <c r="BA112" s="155" t="s">
        <v>12</v>
      </c>
      <c r="BB112" s="156" t="str" cm="1">
        <f t="array" ref="BB11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2" s="161" t="s">
        <v>738</v>
      </c>
      <c r="BD112" s="161" t="s">
        <v>739</v>
      </c>
      <c r="BE112" s="161" t="s">
        <v>737</v>
      </c>
      <c r="BF112" s="161" t="s">
        <v>746</v>
      </c>
      <c r="BG112" s="161" t="b">
        <f>EXACT(Д402[[#This Row],[Статусы CRM]],Д402[[#This Row],[Статус]])</f>
        <v>1</v>
      </c>
      <c r="BH112" s="3">
        <f>IF(Д402[[#This Row],[ПС]]=0,IF(Д402[[#This Row],[ДС]]=0,Д402[[#This Row],[ТС]],Д402[[#This Row],[ДС]]),Д402[[#This Row],[ПС]])</f>
        <v>4750900</v>
      </c>
      <c r="BI112" s="3">
        <v>4750900</v>
      </c>
      <c r="BJ112" s="3">
        <v>0</v>
      </c>
      <c r="BK112" s="3">
        <v>0</v>
      </c>
      <c r="BL112" s="273">
        <f>Д402[[#This Row],[Стоимость CRM]]-Д402[[#This Row],[Стоимость до скидки]]</f>
        <v>0</v>
      </c>
      <c r="BM112" s="161" t="s">
        <v>9</v>
      </c>
      <c r="BN112" s="161" t="b">
        <f>Д402[[#This Row],[Отделка CRM]]=Д402[[#This Row],[Отделка]]</f>
        <v>1</v>
      </c>
      <c r="BO112" s="275" t="s">
        <v>244</v>
      </c>
      <c r="BP112" s="69"/>
    </row>
    <row r="113" spans="1:68" ht="12" customHeight="1" x14ac:dyDescent="0.25">
      <c r="A113" s="140">
        <v>111</v>
      </c>
      <c r="B113" s="15">
        <v>2</v>
      </c>
      <c r="C113" s="141">
        <v>2</v>
      </c>
      <c r="D113" s="142">
        <v>3</v>
      </c>
      <c r="E113" s="141">
        <v>0</v>
      </c>
      <c r="F113" s="143">
        <v>13.94</v>
      </c>
      <c r="G113" s="143"/>
      <c r="H113" s="143"/>
      <c r="I113" s="144">
        <f>SUM(Д402[[#This Row],[Комната 1]:[Комната 3]])</f>
        <v>13.94</v>
      </c>
      <c r="J113" s="145">
        <v>5.98</v>
      </c>
      <c r="K113" s="145">
        <v>4.54</v>
      </c>
      <c r="L113" s="145"/>
      <c r="M113" s="145">
        <v>5.04</v>
      </c>
      <c r="N113" s="145"/>
      <c r="O113" s="145"/>
      <c r="P113" s="146"/>
      <c r="Q113" s="146"/>
      <c r="R113" s="146">
        <f>SUM(Д402[[#This Row],[Лоджия 1]:[Лоджия 3]])</f>
        <v>0</v>
      </c>
      <c r="S113" s="10">
        <f>ROUND(SUM(Д402[[#This Row],[Площадь по проекту жилая]:[Лоджия 3]]),2)</f>
        <v>29.5</v>
      </c>
      <c r="T113" s="10">
        <f>ROUND(Д402[[#This Row],[Площадь по проекту(общая)]]-Д402[[#This Row],[Летние]],2)</f>
        <v>29.5</v>
      </c>
      <c r="U113" s="10">
        <f>ROUND(Д402[[#This Row],[Площадь по проекту(общая)]]-(SUM(Д402[[#This Row],[Лоджия 1]:[Лоджия 3]])/2),2)</f>
        <v>29.5</v>
      </c>
      <c r="V113" s="10">
        <f>VLOOKUP(Д402[[#This Row],[№]],наценка7[],COLUMN(наценка7[[#This Row],[Цена м2 с учетом всех K]]),0)</f>
        <v>141127.29999999999</v>
      </c>
      <c r="W113" s="162"/>
      <c r="X113" s="10">
        <f>Д402[[#This Row],[м2 после К]]+Д402[[#This Row],[02.12.2024]]</f>
        <v>141127.29999999999</v>
      </c>
      <c r="Y113" s="149">
        <v>1000</v>
      </c>
      <c r="Z113" s="10">
        <f>Д402[[#This Row],[Фикс 20.12.24]]+Д402[[#This Row],[23.12.24 СП +1000]]</f>
        <v>142127.29999999999</v>
      </c>
      <c r="AA113" s="149">
        <v>215</v>
      </c>
      <c r="AB113" s="10">
        <f>Д402[[#This Row],[Фикс 23.12.24]]+Д402[[#This Row],[Повышение 20.02.25]]</f>
        <v>142342.29999999999</v>
      </c>
      <c r="AC113" s="149">
        <v>17.5</v>
      </c>
      <c r="AD113" s="10">
        <f>Д402[[#This Row],[Фикс 20.02.25]]+Д402[[#This Row],[Повышение 24.02.2025]]</f>
        <v>142359.79999999999</v>
      </c>
      <c r="AE113" s="10"/>
      <c r="AF113" s="10">
        <f>Д402[[#This Row],[Фикс 24.02.25]]+Д402[[#This Row],[Повышение 05.03.2025
1К: до 40м - 1,5%, 40+ 0,5%
2К - 0,5% ]]</f>
        <v>142359.79999999999</v>
      </c>
      <c r="AG113" s="10"/>
      <c r="AH113" s="10">
        <f>Д402[[#This Row],[Фикс 05.03.25]]+Д402[[#This Row],[повышение 14.03.25 1К-1%]]</f>
        <v>142359.79999999999</v>
      </c>
      <c r="AI113" s="10"/>
      <c r="AJ113" s="10">
        <f>Д402[[#This Row],[Фикс 14.03.25]]+Д402[[#This Row],[повышение 28.03.25 1К-1%]]</f>
        <v>142359.79999999999</v>
      </c>
      <c r="AK113" s="10"/>
      <c r="AL113" s="10">
        <f>Д402[[#This Row],[Фикс 28.03.25]]+Д402[[#This Row],[Повышение 23.07.25
1К 43-46м2 - 2%
2К 55-58 - 2%; 58-64 - 3%
3К 76-79 - 2%
]]</f>
        <v>142359.79999999999</v>
      </c>
      <c r="AM113" s="149">
        <f>ROUND(Д402[[#This Row],[Фикс 23.07.25]],2)</f>
        <v>142359.79999999999</v>
      </c>
      <c r="AN113" s="149">
        <f>ROUNDUP(Д402[[#This Row],[утв цена м2]]*Д402[[#This Row],[Расчетная проектная площадь]],-2)</f>
        <v>4199700</v>
      </c>
      <c r="AO113" s="151"/>
      <c r="AP113" s="152"/>
      <c r="AQ113" s="151">
        <f>Д402[[#This Row],[Стоимость до скидки]]*Д402[[#This Row],[Скидка %]]+Д402[[#This Row],[Скидка фиксированная]]</f>
        <v>0</v>
      </c>
      <c r="AR113" s="3">
        <f>Д402[[#This Row],[Стоимость ОН без отделки со скидкой]]/Д402[[#This Row],[Расчетная проектная площадь]]</f>
        <v>142362.71186440677</v>
      </c>
      <c r="AS113" s="3">
        <f>Д402[[#This Row],[Стоимость до скидки]]-Д402[[#This Row],[Итоговая сумма скидки]]</f>
        <v>4199700</v>
      </c>
      <c r="AT11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3" s="153"/>
      <c r="AV113" s="153"/>
      <c r="AW113" s="3">
        <f>Д402[[#This Row],[Цена м2 без отделки со скидкой]]+Д402[[#This Row],[Стоимость отделки]]</f>
        <v>142362.71186440677</v>
      </c>
      <c r="AX113" s="3">
        <f>Д402[[#This Row],[Стоимость квартиры с отделкой]]-Д402[[#This Row],[Стоимость ОН без отделки со скидкой]]</f>
        <v>0</v>
      </c>
      <c r="AY113" s="3">
        <f>Д402[[#This Row],[Цена м2 с отделкой]]*Д402[[#This Row],[Расчетная проектная площадь]]</f>
        <v>4199700</v>
      </c>
      <c r="AZ113" s="161"/>
      <c r="BA113" s="155" t="s">
        <v>12</v>
      </c>
      <c r="BB113" s="156" t="str" cm="1">
        <f t="array" ref="BB11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3" s="161" t="s">
        <v>738</v>
      </c>
      <c r="BD113" s="161" t="s">
        <v>739</v>
      </c>
      <c r="BE113" s="161" t="s">
        <v>737</v>
      </c>
      <c r="BF113" s="161" t="s">
        <v>743</v>
      </c>
      <c r="BG113" s="161" t="b">
        <f>EXACT(Д402[[#This Row],[Статусы CRM]],Д402[[#This Row],[Статус]])</f>
        <v>1</v>
      </c>
      <c r="BH113" s="3">
        <f>IF(Д402[[#This Row],[ПС]]=0,IF(Д402[[#This Row],[ДС]]=0,Д402[[#This Row],[ТС]],Д402[[#This Row],[ДС]]),Д402[[#This Row],[ПС]])</f>
        <v>4199700</v>
      </c>
      <c r="BI113" s="3">
        <v>4199700</v>
      </c>
      <c r="BJ113" s="3">
        <v>0</v>
      </c>
      <c r="BK113" s="3">
        <v>0</v>
      </c>
      <c r="BL113" s="273">
        <f>Д402[[#This Row],[Стоимость CRM]]-Д402[[#This Row],[Стоимость до скидки]]</f>
        <v>0</v>
      </c>
      <c r="BM113" s="161" t="s">
        <v>9</v>
      </c>
      <c r="BN113" s="161" t="b">
        <f>Д402[[#This Row],[Отделка CRM]]=Д402[[#This Row],[Отделка]]</f>
        <v>1</v>
      </c>
      <c r="BO113" s="275" t="s">
        <v>245</v>
      </c>
      <c r="BP113" s="69"/>
    </row>
    <row r="114" spans="1:68" ht="12" customHeight="1" x14ac:dyDescent="0.25">
      <c r="A114" s="140">
        <v>112</v>
      </c>
      <c r="B114" s="15">
        <v>2</v>
      </c>
      <c r="C114" s="141">
        <v>2</v>
      </c>
      <c r="D114" s="142">
        <v>4</v>
      </c>
      <c r="E114" s="141">
        <v>0</v>
      </c>
      <c r="F114" s="143">
        <v>13.39</v>
      </c>
      <c r="G114" s="143"/>
      <c r="H114" s="143"/>
      <c r="I114" s="144">
        <f>SUM(Д402[[#This Row],[Комната 1]:[Комната 3]])</f>
        <v>13.39</v>
      </c>
      <c r="J114" s="145">
        <v>5.98</v>
      </c>
      <c r="K114" s="145">
        <v>4.54</v>
      </c>
      <c r="L114" s="145"/>
      <c r="M114" s="145">
        <v>4.08</v>
      </c>
      <c r="N114" s="145"/>
      <c r="O114" s="145"/>
      <c r="P114" s="146"/>
      <c r="Q114" s="146"/>
      <c r="R114" s="146">
        <f>SUM(Д402[[#This Row],[Лоджия 1]:[Лоджия 3]])</f>
        <v>0</v>
      </c>
      <c r="S114" s="10">
        <f>ROUND(SUM(Д402[[#This Row],[Площадь по проекту жилая]:[Лоджия 3]]),2)</f>
        <v>27.99</v>
      </c>
      <c r="T114" s="10">
        <f>ROUND(Д402[[#This Row],[Площадь по проекту(общая)]]-Д402[[#This Row],[Летние]],2)</f>
        <v>27.99</v>
      </c>
      <c r="U114" s="10">
        <f>ROUND(Д402[[#This Row],[Площадь по проекту(общая)]]-(SUM(Д402[[#This Row],[Лоджия 1]:[Лоджия 3]])/2),2)</f>
        <v>27.99</v>
      </c>
      <c r="V114" s="10">
        <f>VLOOKUP(Д402[[#This Row],[№]],наценка7[],COLUMN(наценка7[[#This Row],[Цена м2 с учетом всех K]]),0)</f>
        <v>142524.6</v>
      </c>
      <c r="W114" s="162"/>
      <c r="X114" s="10">
        <f>Д402[[#This Row],[м2 после К]]+Д402[[#This Row],[02.12.2024]]</f>
        <v>142524.6</v>
      </c>
      <c r="Y114" s="149">
        <v>1000</v>
      </c>
      <c r="Z114" s="10">
        <f>Д402[[#This Row],[Фикс 20.12.24]]+Д402[[#This Row],[23.12.24 СП +1000]]</f>
        <v>143524.6</v>
      </c>
      <c r="AA114" s="149">
        <v>215</v>
      </c>
      <c r="AB114" s="10">
        <f>Д402[[#This Row],[Фикс 23.12.24]]+Д402[[#This Row],[Повышение 20.02.25]]</f>
        <v>143739.6</v>
      </c>
      <c r="AC114" s="149">
        <v>17.5</v>
      </c>
      <c r="AD114" s="10">
        <f>Д402[[#This Row],[Фикс 20.02.25]]+Д402[[#This Row],[Повышение 24.02.2025]]</f>
        <v>143757.1</v>
      </c>
      <c r="AE114" s="10"/>
      <c r="AF114" s="10">
        <f>Д402[[#This Row],[Фикс 24.02.25]]+Д402[[#This Row],[Повышение 05.03.2025
1К: до 40м - 1,5%, 40+ 0,5%
2К - 0,5% ]]</f>
        <v>143757.1</v>
      </c>
      <c r="AG114" s="10"/>
      <c r="AH114" s="10">
        <f>Д402[[#This Row],[Фикс 05.03.25]]+Д402[[#This Row],[повышение 14.03.25 1К-1%]]</f>
        <v>143757.1</v>
      </c>
      <c r="AI114" s="10"/>
      <c r="AJ114" s="10">
        <f>Д402[[#This Row],[Фикс 14.03.25]]+Д402[[#This Row],[повышение 28.03.25 1К-1%]]</f>
        <v>143757.1</v>
      </c>
      <c r="AK114" s="10"/>
      <c r="AL114" s="10">
        <f>Д402[[#This Row],[Фикс 28.03.25]]+Д402[[#This Row],[Повышение 23.07.25
1К 43-46м2 - 2%
2К 55-58 - 2%; 58-64 - 3%
3К 76-79 - 2%
]]</f>
        <v>143757.1</v>
      </c>
      <c r="AM114" s="149">
        <f>ROUND(Д402[[#This Row],[Фикс 23.07.25]],2)</f>
        <v>143757.1</v>
      </c>
      <c r="AN114" s="149">
        <f>ROUNDUP(Д402[[#This Row],[утв цена м2]]*Д402[[#This Row],[Расчетная проектная площадь]],-2)</f>
        <v>4023800</v>
      </c>
      <c r="AO114" s="151"/>
      <c r="AP114" s="152"/>
      <c r="AQ114" s="151">
        <f>Д402[[#This Row],[Стоимость до скидки]]*Д402[[#This Row],[Скидка %]]+Д402[[#This Row],[Скидка фиксированная]]</f>
        <v>0</v>
      </c>
      <c r="AR114" s="3">
        <f>Д402[[#This Row],[Стоимость ОН без отделки со скидкой]]/Д402[[#This Row],[Расчетная проектная площадь]]</f>
        <v>143758.48517327619</v>
      </c>
      <c r="AS114" s="3">
        <f>Д402[[#This Row],[Стоимость до скидки]]-Д402[[#This Row],[Итоговая сумма скидки]]</f>
        <v>4023800</v>
      </c>
      <c r="AT11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4" s="153"/>
      <c r="AV114" s="153"/>
      <c r="AW114" s="3">
        <f>Д402[[#This Row],[Цена м2 без отделки со скидкой]]+Д402[[#This Row],[Стоимость отделки]]</f>
        <v>143758.48517327619</v>
      </c>
      <c r="AX114" s="3">
        <f>Д402[[#This Row],[Стоимость квартиры с отделкой]]-Д402[[#This Row],[Стоимость ОН без отделки со скидкой]]</f>
        <v>0</v>
      </c>
      <c r="AY114" s="3">
        <f>Д402[[#This Row],[Цена м2 с отделкой]]*Д402[[#This Row],[Расчетная проектная площадь]]</f>
        <v>4023800.0000000005</v>
      </c>
      <c r="AZ114" s="161"/>
      <c r="BA114" s="155" t="s">
        <v>12</v>
      </c>
      <c r="BB114" s="156" t="str" cm="1">
        <f t="array" ref="BB11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4" s="161" t="s">
        <v>738</v>
      </c>
      <c r="BD114" s="161" t="s">
        <v>739</v>
      </c>
      <c r="BE114" s="161" t="s">
        <v>737</v>
      </c>
      <c r="BF114" s="161" t="s">
        <v>743</v>
      </c>
      <c r="BG114" s="161" t="b">
        <f>EXACT(Д402[[#This Row],[Статусы CRM]],Д402[[#This Row],[Статус]])</f>
        <v>1</v>
      </c>
      <c r="BH114" s="3">
        <f>IF(Д402[[#This Row],[ПС]]=0,IF(Д402[[#This Row],[ДС]]=0,Д402[[#This Row],[ТС]],Д402[[#This Row],[ДС]]),Д402[[#This Row],[ПС]])</f>
        <v>4023800</v>
      </c>
      <c r="BI114" s="3">
        <v>4023800</v>
      </c>
      <c r="BJ114" s="3">
        <v>0</v>
      </c>
      <c r="BK114" s="3">
        <v>0</v>
      </c>
      <c r="BL114" s="273">
        <f>Д402[[#This Row],[Стоимость CRM]]-Д402[[#This Row],[Стоимость до скидки]]</f>
        <v>0</v>
      </c>
      <c r="BM114" s="161" t="s">
        <v>9</v>
      </c>
      <c r="BN114" s="161" t="b">
        <f>Д402[[#This Row],[Отделка CRM]]=Д402[[#This Row],[Отделка]]</f>
        <v>1</v>
      </c>
      <c r="BO114" s="275" t="s">
        <v>246</v>
      </c>
      <c r="BP114" s="69"/>
    </row>
    <row r="115" spans="1:68" ht="12" customHeight="1" x14ac:dyDescent="0.25">
      <c r="A115" s="140">
        <v>113</v>
      </c>
      <c r="B115" s="15">
        <v>2</v>
      </c>
      <c r="C115" s="141">
        <v>2</v>
      </c>
      <c r="D115" s="142">
        <v>5</v>
      </c>
      <c r="E115" s="141">
        <v>2</v>
      </c>
      <c r="F115" s="143">
        <v>20.9</v>
      </c>
      <c r="G115" s="143">
        <v>14.14</v>
      </c>
      <c r="H115" s="143"/>
      <c r="I115" s="144">
        <f>SUM(Д402[[#This Row],[Комната 1]:[Комната 3]])</f>
        <v>35.04</v>
      </c>
      <c r="J115" s="145">
        <v>12.38</v>
      </c>
      <c r="K115" s="145">
        <v>4.1399999999999997</v>
      </c>
      <c r="L115" s="145"/>
      <c r="M115" s="145">
        <v>7.61</v>
      </c>
      <c r="N115" s="145">
        <v>7.03</v>
      </c>
      <c r="O115" s="145"/>
      <c r="P115" s="146"/>
      <c r="Q115" s="146"/>
      <c r="R115" s="146">
        <f>SUM(Д402[[#This Row],[Лоджия 1]:[Лоджия 3]])</f>
        <v>0</v>
      </c>
      <c r="S115" s="10">
        <f>ROUND(SUM(Д402[[#This Row],[Площадь по проекту жилая]:[Лоджия 3]]),2)</f>
        <v>66.2</v>
      </c>
      <c r="T115" s="10">
        <f>ROUND(Д402[[#This Row],[Площадь по проекту(общая)]]-Д402[[#This Row],[Летние]],2)</f>
        <v>66.2</v>
      </c>
      <c r="U115" s="10">
        <f>ROUND(Д402[[#This Row],[Площадь по проекту(общая)]]-(SUM(Д402[[#This Row],[Лоджия 1]:[Лоджия 3]])/2),2)</f>
        <v>66.2</v>
      </c>
      <c r="V115" s="10">
        <f>VLOOKUP(Д402[[#This Row],[№]],наценка7[],COLUMN(наценка7[[#This Row],[Цена м2 с учетом всех K]]),0)</f>
        <v>116420.9</v>
      </c>
      <c r="W115" s="162"/>
      <c r="X115" s="10">
        <f>Д402[[#This Row],[м2 после К]]+Д402[[#This Row],[02.12.2024]]</f>
        <v>116420.9</v>
      </c>
      <c r="Y115" s="149">
        <v>1000</v>
      </c>
      <c r="Z115" s="10">
        <f>Д402[[#This Row],[Фикс 20.12.24]]+Д402[[#This Row],[23.12.24 СП +1000]]</f>
        <v>117420.9</v>
      </c>
      <c r="AA115" s="149">
        <v>215</v>
      </c>
      <c r="AB115" s="10">
        <f>Д402[[#This Row],[Фикс 23.12.24]]+Д402[[#This Row],[Повышение 20.02.25]]</f>
        <v>117635.9</v>
      </c>
      <c r="AC115" s="149">
        <v>17.5</v>
      </c>
      <c r="AD115" s="10">
        <f>Д402[[#This Row],[Фикс 20.02.25]]+Д402[[#This Row],[Повышение 24.02.2025]]</f>
        <v>117653.4</v>
      </c>
      <c r="AE115" s="149">
        <f>Д402[[#This Row],[Фикс 24.02.25]]*0.5%</f>
        <v>588.26699999999994</v>
      </c>
      <c r="AF115" s="10">
        <f>Д402[[#This Row],[Фикс 24.02.25]]+Д402[[#This Row],[Повышение 05.03.2025
1К: до 40м - 1,5%, 40+ 0,5%
2К - 0,5% ]]</f>
        <v>118241.667</v>
      </c>
      <c r="AG115" s="10"/>
      <c r="AH115" s="10">
        <f>Д402[[#This Row],[Фикс 05.03.25]]+Д402[[#This Row],[повышение 14.03.25 1К-1%]]</f>
        <v>118241.667</v>
      </c>
      <c r="AI115" s="10"/>
      <c r="AJ115" s="10">
        <f>Д402[[#This Row],[Фикс 14.03.25]]+Д402[[#This Row],[повышение 28.03.25 1К-1%]]</f>
        <v>118241.667</v>
      </c>
      <c r="AK115" s="10"/>
      <c r="AL115" s="10">
        <f>Д402[[#This Row],[Фикс 28.03.25]]+Д402[[#This Row],[Повышение 23.07.25
1К 43-46м2 - 2%
2К 55-58 - 2%; 58-64 - 3%
3К 76-79 - 2%
]]</f>
        <v>118241.667</v>
      </c>
      <c r="AM115" s="149">
        <f>ROUND(Д402[[#This Row],[Фикс 23.07.25]],2)</f>
        <v>118241.67</v>
      </c>
      <c r="AN115" s="149">
        <f>ROUNDUP(Д402[[#This Row],[утв цена м2]]*Д402[[#This Row],[Расчетная проектная площадь]],-2)</f>
        <v>7827600</v>
      </c>
      <c r="AO115" s="151"/>
      <c r="AP115" s="152"/>
      <c r="AQ115" s="151">
        <f>Д402[[#This Row],[Стоимость до скидки]]*Д402[[#This Row],[Скидка %]]+Д402[[#This Row],[Скидка фиксированная]]</f>
        <v>0</v>
      </c>
      <c r="AR115" s="3">
        <f>Д402[[#This Row],[Стоимость ОН без отделки со скидкой]]/Д402[[#This Row],[Расчетная проектная площадь]]</f>
        <v>118241.6918429003</v>
      </c>
      <c r="AS115" s="3">
        <f>Д402[[#This Row],[Стоимость до скидки]]-Д402[[#This Row],[Итоговая сумма скидки]]</f>
        <v>7827600</v>
      </c>
      <c r="AT11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5" s="153"/>
      <c r="AV115" s="153"/>
      <c r="AW115" s="3">
        <f>Д402[[#This Row],[Цена м2 без отделки со скидкой]]+Д402[[#This Row],[Стоимость отделки]]</f>
        <v>118241.6918429003</v>
      </c>
      <c r="AX115" s="3">
        <f>Д402[[#This Row],[Стоимость квартиры с отделкой]]-Д402[[#This Row],[Стоимость ОН без отделки со скидкой]]</f>
        <v>0</v>
      </c>
      <c r="AY115" s="3">
        <f>Д402[[#This Row],[Цена м2 с отделкой]]*Д402[[#This Row],[Расчетная проектная площадь]]</f>
        <v>7827600</v>
      </c>
      <c r="AZ115" s="161"/>
      <c r="BA115" s="155" t="s">
        <v>12</v>
      </c>
      <c r="BB115" s="156" t="str" cm="1">
        <f t="array" ref="BB11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5" s="161" t="s">
        <v>738</v>
      </c>
      <c r="BD115" s="161" t="s">
        <v>739</v>
      </c>
      <c r="BE115" s="161" t="s">
        <v>737</v>
      </c>
      <c r="BF115" s="161" t="s">
        <v>747</v>
      </c>
      <c r="BG115" s="161" t="b">
        <f>EXACT(Д402[[#This Row],[Статусы CRM]],Д402[[#This Row],[Статус]])</f>
        <v>1</v>
      </c>
      <c r="BH115" s="3">
        <f>IF(Д402[[#This Row],[ПС]]=0,IF(Д402[[#This Row],[ДС]]=0,Д402[[#This Row],[ТС]],Д402[[#This Row],[ДС]]),Д402[[#This Row],[ПС]])</f>
        <v>7827600</v>
      </c>
      <c r="BI115" s="3">
        <v>7827600</v>
      </c>
      <c r="BJ115" s="3">
        <v>0</v>
      </c>
      <c r="BK115" s="3">
        <v>0</v>
      </c>
      <c r="BL115" s="273">
        <f>Д402[[#This Row],[Стоимость CRM]]-Д402[[#This Row],[Стоимость до скидки]]</f>
        <v>0</v>
      </c>
      <c r="BM115" s="161" t="s">
        <v>9</v>
      </c>
      <c r="BN115" s="161" t="b">
        <f>Д402[[#This Row],[Отделка CRM]]=Д402[[#This Row],[Отделка]]</f>
        <v>1</v>
      </c>
      <c r="BO115" s="275" t="s">
        <v>247</v>
      </c>
      <c r="BP115" s="69"/>
    </row>
    <row r="116" spans="1:68" ht="12" customHeight="1" x14ac:dyDescent="0.25">
      <c r="A116" s="140">
        <v>114</v>
      </c>
      <c r="B116" s="15">
        <v>2</v>
      </c>
      <c r="C116" s="141">
        <v>2</v>
      </c>
      <c r="D116" s="142">
        <v>6</v>
      </c>
      <c r="E116" s="141">
        <v>2</v>
      </c>
      <c r="F116" s="143">
        <v>17.73</v>
      </c>
      <c r="G116" s="143">
        <v>12.22</v>
      </c>
      <c r="H116" s="143"/>
      <c r="I116" s="144">
        <f>SUM(Д402[[#This Row],[Комната 1]:[Комната 3]])</f>
        <v>29.950000000000003</v>
      </c>
      <c r="J116" s="145">
        <v>13.65</v>
      </c>
      <c r="K116" s="145">
        <v>5.22</v>
      </c>
      <c r="L116" s="145">
        <v>2.5</v>
      </c>
      <c r="M116" s="145">
        <v>8.06</v>
      </c>
      <c r="N116" s="145"/>
      <c r="O116" s="145">
        <v>3.11</v>
      </c>
      <c r="P116" s="146"/>
      <c r="Q116" s="146"/>
      <c r="R116" s="146">
        <f>SUM(Д402[[#This Row],[Лоджия 1]:[Лоджия 3]])</f>
        <v>3.11</v>
      </c>
      <c r="S116" s="10">
        <f>ROUND(SUM(Д402[[#This Row],[Площадь по проекту жилая]:[Лоджия 3]]),2)</f>
        <v>62.49</v>
      </c>
      <c r="T116" s="10">
        <f>ROUND(Д402[[#This Row],[Площадь по проекту(общая)]]-Д402[[#This Row],[Летние]],2)</f>
        <v>59.38</v>
      </c>
      <c r="U116" s="10">
        <f>ROUND(Д402[[#This Row],[Площадь по проекту(общая)]]-(SUM(Д402[[#This Row],[Лоджия 1]:[Лоджия 3]])/2),2)</f>
        <v>60.94</v>
      </c>
      <c r="V116" s="10">
        <f>VLOOKUP(Д402[[#This Row],[№]],наценка7[],COLUMN(наценка7[[#This Row],[Цена м2 с учетом всех K]]),0)</f>
        <v>124333</v>
      </c>
      <c r="W116" s="162"/>
      <c r="X116" s="10">
        <f>Д402[[#This Row],[м2 после К]]+Д402[[#This Row],[02.12.2024]]</f>
        <v>124333</v>
      </c>
      <c r="Y116" s="149">
        <v>1000</v>
      </c>
      <c r="Z116" s="10">
        <f>Д402[[#This Row],[Фикс 20.12.24]]+Д402[[#This Row],[23.12.24 СП +1000]]</f>
        <v>125333</v>
      </c>
      <c r="AA116" s="149">
        <v>215</v>
      </c>
      <c r="AB116" s="10">
        <f>Д402[[#This Row],[Фикс 23.12.24]]+Д402[[#This Row],[Повышение 20.02.25]]</f>
        <v>125548</v>
      </c>
      <c r="AC116" s="149">
        <v>17.5</v>
      </c>
      <c r="AD116" s="10">
        <f>Д402[[#This Row],[Фикс 20.02.25]]+Д402[[#This Row],[Повышение 24.02.2025]]</f>
        <v>125565.5</v>
      </c>
      <c r="AE116" s="149">
        <f>Д402[[#This Row],[Фикс 24.02.25]]*0.5%</f>
        <v>627.82749999999999</v>
      </c>
      <c r="AF116" s="10">
        <f>Д402[[#This Row],[Фикс 24.02.25]]+Д402[[#This Row],[Повышение 05.03.2025
1К: до 40м - 1,5%, 40+ 0,5%
2К - 0,5% ]]</f>
        <v>126193.3275</v>
      </c>
      <c r="AG116" s="10"/>
      <c r="AH116" s="10">
        <f>Д402[[#This Row],[Фикс 05.03.25]]+Д402[[#This Row],[повышение 14.03.25 1К-1%]]</f>
        <v>126193.3275</v>
      </c>
      <c r="AI116" s="10"/>
      <c r="AJ116" s="10">
        <f>Д402[[#This Row],[Фикс 14.03.25]]+Д402[[#This Row],[повышение 28.03.25 1К-1%]]</f>
        <v>126193.3275</v>
      </c>
      <c r="AK116" s="10">
        <f>Д402[[#This Row],[Фикс 28.03.25]]*3%</f>
        <v>3785.7998250000001</v>
      </c>
      <c r="AL116" s="10">
        <f>Д402[[#This Row],[Фикс 28.03.25]]+Д402[[#This Row],[Повышение 23.07.25
1К 43-46м2 - 2%
2К 55-58 - 2%; 58-64 - 3%
3К 76-79 - 2%
]]</f>
        <v>129979.12732499999</v>
      </c>
      <c r="AM116" s="149">
        <f>ROUND(Д402[[#This Row],[Фикс 23.07.25]],2)</f>
        <v>129979.13</v>
      </c>
      <c r="AN116" s="149">
        <f>ROUNDUP(Д402[[#This Row],[утв цена м2]]*Д402[[#This Row],[Расчетная проектная площадь]],-2)</f>
        <v>7921000</v>
      </c>
      <c r="AO116" s="151"/>
      <c r="AP116" s="152"/>
      <c r="AQ116" s="151">
        <f>Д402[[#This Row],[Стоимость до скидки]]*Д402[[#This Row],[Скидка %]]+Д402[[#This Row],[Скидка фиксированная]]</f>
        <v>0</v>
      </c>
      <c r="AR116" s="3">
        <f>Д402[[#This Row],[Стоимость ОН без отделки со скидкой]]/Д402[[#This Row],[Расчетная проектная площадь]]</f>
        <v>129980.3085001641</v>
      </c>
      <c r="AS116" s="3">
        <f>Д402[[#This Row],[Стоимость до скидки]]-Д402[[#This Row],[Итоговая сумма скидки]]</f>
        <v>7921000</v>
      </c>
      <c r="AT11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6" s="153"/>
      <c r="AV116" s="153"/>
      <c r="AW116" s="3">
        <f>Д402[[#This Row],[Цена м2 без отделки со скидкой]]+Д402[[#This Row],[Стоимость отделки]]</f>
        <v>129980.3085001641</v>
      </c>
      <c r="AX116" s="3">
        <f>Д402[[#This Row],[Стоимость квартиры с отделкой]]-Д402[[#This Row],[Стоимость ОН без отделки со скидкой]]</f>
        <v>0</v>
      </c>
      <c r="AY116" s="3">
        <f>Д402[[#This Row],[Цена м2 с отделкой]]*Д402[[#This Row],[Расчетная проектная площадь]]</f>
        <v>7921000</v>
      </c>
      <c r="AZ116" s="161"/>
      <c r="BA116" s="155" t="s">
        <v>12</v>
      </c>
      <c r="BB116" s="156" t="str" cm="1">
        <f t="array" ref="BB11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6" s="161" t="s">
        <v>738</v>
      </c>
      <c r="BD116" s="161" t="s">
        <v>739</v>
      </c>
      <c r="BE116" s="161" t="s">
        <v>737</v>
      </c>
      <c r="BF116" s="161" t="s">
        <v>747</v>
      </c>
      <c r="BG116" s="161" t="b">
        <f>EXACT(Д402[[#This Row],[Статусы CRM]],Д402[[#This Row],[Статус]])</f>
        <v>1</v>
      </c>
      <c r="BH116" s="3">
        <f>IF(Д402[[#This Row],[ПС]]=0,IF(Д402[[#This Row],[ДС]]=0,Д402[[#This Row],[ТС]],Д402[[#This Row],[ДС]]),Д402[[#This Row],[ПС]])</f>
        <v>7921000</v>
      </c>
      <c r="BI116" s="3">
        <v>7921000</v>
      </c>
      <c r="BJ116" s="3">
        <v>0</v>
      </c>
      <c r="BK116" s="3">
        <v>0</v>
      </c>
      <c r="BL116" s="273">
        <f>Д402[[#This Row],[Стоимость CRM]]-Д402[[#This Row],[Стоимость до скидки]]</f>
        <v>0</v>
      </c>
      <c r="BM116" s="161" t="s">
        <v>9</v>
      </c>
      <c r="BN116" s="161" t="b">
        <f>Д402[[#This Row],[Отделка CRM]]=Д402[[#This Row],[Отделка]]</f>
        <v>1</v>
      </c>
      <c r="BO116" s="275" t="s">
        <v>248</v>
      </c>
      <c r="BP116" s="69"/>
    </row>
    <row r="117" spans="1:68" ht="12" customHeight="1" x14ac:dyDescent="0.25">
      <c r="A117" s="140">
        <v>115</v>
      </c>
      <c r="B117" s="15">
        <v>2</v>
      </c>
      <c r="C117" s="141">
        <f t="shared" ref="C117:C148" si="4">C111+1</f>
        <v>3</v>
      </c>
      <c r="D117" s="142">
        <v>1</v>
      </c>
      <c r="E117" s="141">
        <v>2</v>
      </c>
      <c r="F117" s="143">
        <v>17.579999999999998</v>
      </c>
      <c r="G117" s="143">
        <v>14.37</v>
      </c>
      <c r="H117" s="143"/>
      <c r="I117" s="144">
        <f>SUM(Д402[[#This Row],[Комната 1]:[Комната 3]])</f>
        <v>31.949999999999996</v>
      </c>
      <c r="J117" s="145">
        <v>14.29</v>
      </c>
      <c r="K117" s="145">
        <v>4.5199999999999996</v>
      </c>
      <c r="L117" s="145"/>
      <c r="M117" s="145">
        <v>8.64</v>
      </c>
      <c r="N117" s="145">
        <v>4.76</v>
      </c>
      <c r="O117" s="145">
        <v>3.11</v>
      </c>
      <c r="P117" s="146"/>
      <c r="Q117" s="146"/>
      <c r="R117" s="146">
        <f>SUM(Д402[[#This Row],[Лоджия 1]:[Лоджия 3]])</f>
        <v>3.11</v>
      </c>
      <c r="S117" s="10">
        <f>ROUND(SUM(Д402[[#This Row],[Площадь по проекту жилая]:[Лоджия 3]]),2)</f>
        <v>67.27</v>
      </c>
      <c r="T117" s="10">
        <f>ROUND(Д402[[#This Row],[Площадь по проекту(общая)]]-Д402[[#This Row],[Летние]],2)</f>
        <v>64.16</v>
      </c>
      <c r="U117" s="10">
        <f>ROUND(Д402[[#This Row],[Площадь по проекту(общая)]]-(SUM(Д402[[#This Row],[Лоджия 1]:[Лоджия 3]])/2),2)</f>
        <v>65.72</v>
      </c>
      <c r="V117" s="10">
        <f>VLOOKUP(Д402[[#This Row],[№]],наценка7[],COLUMN(наценка7[[#This Row],[Цена м2 с учетом всех K]]),0)</f>
        <v>119811.8</v>
      </c>
      <c r="W117" s="162"/>
      <c r="X117" s="10">
        <f>Д402[[#This Row],[м2 после К]]+Д402[[#This Row],[02.12.2024]]</f>
        <v>119811.8</v>
      </c>
      <c r="Y117" s="149">
        <v>1000</v>
      </c>
      <c r="Z117" s="10">
        <f>Д402[[#This Row],[Фикс 20.12.24]]+Д402[[#This Row],[23.12.24 СП +1000]]</f>
        <v>120811.8</v>
      </c>
      <c r="AA117" s="149">
        <v>215</v>
      </c>
      <c r="AB117" s="10">
        <f>Д402[[#This Row],[Фикс 23.12.24]]+Д402[[#This Row],[Повышение 20.02.25]]</f>
        <v>121026.8</v>
      </c>
      <c r="AC117" s="149">
        <v>17.5</v>
      </c>
      <c r="AD117" s="10">
        <f>Д402[[#This Row],[Фикс 20.02.25]]+Д402[[#This Row],[Повышение 24.02.2025]]</f>
        <v>121044.3</v>
      </c>
      <c r="AE117" s="149">
        <f>Д402[[#This Row],[Фикс 24.02.25]]*0.5%</f>
        <v>605.22149999999999</v>
      </c>
      <c r="AF117" s="10">
        <f>Д402[[#This Row],[Фикс 24.02.25]]+Д402[[#This Row],[Повышение 05.03.2025
1К: до 40м - 1,5%, 40+ 0,5%
2К - 0,5% ]]</f>
        <v>121649.5215</v>
      </c>
      <c r="AG117" s="10"/>
      <c r="AH117" s="10">
        <f>Д402[[#This Row],[Фикс 05.03.25]]+Д402[[#This Row],[повышение 14.03.25 1К-1%]]</f>
        <v>121649.5215</v>
      </c>
      <c r="AI117" s="10"/>
      <c r="AJ117" s="10">
        <f>Д402[[#This Row],[Фикс 14.03.25]]+Д402[[#This Row],[повышение 28.03.25 1К-1%]]</f>
        <v>121649.5215</v>
      </c>
      <c r="AK117" s="10"/>
      <c r="AL117" s="10">
        <f>Д402[[#This Row],[Фикс 28.03.25]]+Д402[[#This Row],[Повышение 23.07.25
1К 43-46м2 - 2%
2К 55-58 - 2%; 58-64 - 3%
3К 76-79 - 2%
]]</f>
        <v>121649.5215</v>
      </c>
      <c r="AM117" s="149">
        <f>ROUND(Д402[[#This Row],[Фикс 23.07.25]],2)</f>
        <v>121649.52</v>
      </c>
      <c r="AN117" s="149">
        <f>ROUNDUP(Д402[[#This Row],[утв цена м2]]*Д402[[#This Row],[Расчетная проектная площадь]],-2)</f>
        <v>7994900</v>
      </c>
      <c r="AO117" s="151"/>
      <c r="AP117" s="152"/>
      <c r="AQ117" s="151">
        <f>Д402[[#This Row],[Стоимость до скидки]]*Д402[[#This Row],[Скидка %]]+Д402[[#This Row],[Скидка фиксированная]]</f>
        <v>0</v>
      </c>
      <c r="AR117" s="3">
        <f>Д402[[#This Row],[Стоимость ОН без отделки со скидкой]]/Д402[[#This Row],[Расчетная проектная площадь]]</f>
        <v>121650.94339622642</v>
      </c>
      <c r="AS117" s="3">
        <f>Д402[[#This Row],[Стоимость до скидки]]-Д402[[#This Row],[Итоговая сумма скидки]]</f>
        <v>7994900</v>
      </c>
      <c r="AT11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7" s="153"/>
      <c r="AV117" s="153"/>
      <c r="AW117" s="3">
        <f>Д402[[#This Row],[Цена м2 без отделки со скидкой]]+Д402[[#This Row],[Стоимость отделки]]</f>
        <v>121650.94339622642</v>
      </c>
      <c r="AX117" s="3">
        <f>Д402[[#This Row],[Стоимость квартиры с отделкой]]-Д402[[#This Row],[Стоимость ОН без отделки со скидкой]]</f>
        <v>0</v>
      </c>
      <c r="AY117" s="3">
        <f>Д402[[#This Row],[Цена м2 с отделкой]]*Д402[[#This Row],[Расчетная проектная площадь]]</f>
        <v>7994900</v>
      </c>
      <c r="AZ117" s="161"/>
      <c r="BA117" s="155" t="s">
        <v>12</v>
      </c>
      <c r="BB117" s="156" t="str" cm="1">
        <f t="array" ref="BB11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7" s="161" t="s">
        <v>738</v>
      </c>
      <c r="BD117" s="161" t="s">
        <v>739</v>
      </c>
      <c r="BE117" s="161" t="s">
        <v>737</v>
      </c>
      <c r="BF117" s="161" t="s">
        <v>744</v>
      </c>
      <c r="BG117" s="161" t="b">
        <f>EXACT(Д402[[#This Row],[Статусы CRM]],Д402[[#This Row],[Статус]])</f>
        <v>1</v>
      </c>
      <c r="BH117" s="3">
        <f>IF(Д402[[#This Row],[ПС]]=0,IF(Д402[[#This Row],[ДС]]=0,Д402[[#This Row],[ТС]],Д402[[#This Row],[ДС]]),Д402[[#This Row],[ПС]])</f>
        <v>7994900</v>
      </c>
      <c r="BI117" s="3">
        <v>7994900</v>
      </c>
      <c r="BJ117" s="3">
        <v>0</v>
      </c>
      <c r="BK117" s="3">
        <v>0</v>
      </c>
      <c r="BL117" s="273">
        <f>Д402[[#This Row],[Стоимость CRM]]-Д402[[#This Row],[Стоимость до скидки]]</f>
        <v>0</v>
      </c>
      <c r="BM117" s="161" t="s">
        <v>9</v>
      </c>
      <c r="BN117" s="161" t="b">
        <f>Д402[[#This Row],[Отделка CRM]]=Д402[[#This Row],[Отделка]]</f>
        <v>1</v>
      </c>
      <c r="BO117" s="275" t="s">
        <v>249</v>
      </c>
      <c r="BP117" s="69"/>
    </row>
    <row r="118" spans="1:68" ht="12" customHeight="1" x14ac:dyDescent="0.25">
      <c r="A118" s="140">
        <v>116</v>
      </c>
      <c r="B118" s="175">
        <v>2</v>
      </c>
      <c r="C118" s="141">
        <f t="shared" si="4"/>
        <v>3</v>
      </c>
      <c r="D118" s="142">
        <v>2</v>
      </c>
      <c r="E118" s="141">
        <v>1</v>
      </c>
      <c r="F118" s="143">
        <v>14.77</v>
      </c>
      <c r="G118" s="143"/>
      <c r="H118" s="143"/>
      <c r="I118" s="144">
        <f>SUM(Д402[[#This Row],[Комната 1]:[Комната 3]])</f>
        <v>14.77</v>
      </c>
      <c r="J118" s="145">
        <v>11.88</v>
      </c>
      <c r="K118" s="145">
        <v>4.1399999999999997</v>
      </c>
      <c r="L118" s="145"/>
      <c r="M118" s="145">
        <v>4.28</v>
      </c>
      <c r="N118" s="145"/>
      <c r="O118" s="145">
        <v>3.11</v>
      </c>
      <c r="P118" s="146"/>
      <c r="Q118" s="146"/>
      <c r="R118" s="146">
        <f>SUM(Д402[[#This Row],[Лоджия 1]:[Лоджия 3]])</f>
        <v>3.11</v>
      </c>
      <c r="S118" s="10">
        <f>ROUND(SUM(Д402[[#This Row],[Площадь по проекту жилая]:[Лоджия 3]]),2)</f>
        <v>38.18</v>
      </c>
      <c r="T118" s="10">
        <f>ROUND(Д402[[#This Row],[Площадь по проекту(общая)]]-Д402[[#This Row],[Летние]],2)</f>
        <v>35.07</v>
      </c>
      <c r="U118" s="10">
        <f>ROUND(Д402[[#This Row],[Площадь по проекту(общая)]]-(SUM(Д402[[#This Row],[Лоджия 1]:[Лоджия 3]])/2),2)</f>
        <v>36.630000000000003</v>
      </c>
      <c r="V118" s="10">
        <f>VLOOKUP(Д402[[#This Row],[№]],наценка7[],COLUMN(наценка7[[#This Row],[Цена м2 с учетом всех K]]),0)</f>
        <v>124030.39999999999</v>
      </c>
      <c r="W118" s="162"/>
      <c r="X118" s="10">
        <f>Д402[[#This Row],[м2 после К]]+Д402[[#This Row],[02.12.2024]]</f>
        <v>124030.39999999999</v>
      </c>
      <c r="Y118" s="149">
        <v>1000</v>
      </c>
      <c r="Z118" s="10">
        <f>Д402[[#This Row],[Фикс 20.12.24]]+Д402[[#This Row],[23.12.24 СП +1000]]</f>
        <v>125030.39999999999</v>
      </c>
      <c r="AA118" s="149">
        <v>215</v>
      </c>
      <c r="AB118" s="10">
        <f>Д402[[#This Row],[Фикс 23.12.24]]+Д402[[#This Row],[Повышение 20.02.25]]</f>
        <v>125245.4</v>
      </c>
      <c r="AC118" s="149">
        <v>17.5</v>
      </c>
      <c r="AD118" s="10">
        <f>Д402[[#This Row],[Фикс 20.02.25]]+Д402[[#This Row],[Повышение 24.02.2025]]</f>
        <v>125262.9</v>
      </c>
      <c r="AE118" s="149">
        <f>Д402[[#This Row],[Фикс 24.02.25]]*1.5%</f>
        <v>1878.9434999999999</v>
      </c>
      <c r="AF118" s="10">
        <f>Д402[[#This Row],[Фикс 24.02.25]]+Д402[[#This Row],[Повышение 05.03.2025
1К: до 40м - 1,5%, 40+ 0,5%
2К - 0,5% ]]</f>
        <v>127141.84349999999</v>
      </c>
      <c r="AG118" s="149">
        <f>Д402[[#This Row],[Фикс 05.03.25]]*1%</f>
        <v>1271.4184349999998</v>
      </c>
      <c r="AH118" s="10">
        <f>Д402[[#This Row],[Фикс 05.03.25]]+Д402[[#This Row],[повышение 14.03.25 1К-1%]]</f>
        <v>128413.26193499999</v>
      </c>
      <c r="AI118" s="149">
        <f>Д402[[#This Row],[Фикс 14.03.25]]*1%</f>
        <v>1284.1326193499999</v>
      </c>
      <c r="AJ118" s="10">
        <f>Д402[[#This Row],[Фикс 14.03.25]]+Д402[[#This Row],[повышение 28.03.25 1К-1%]]</f>
        <v>129697.39455434999</v>
      </c>
      <c r="AK118" s="10"/>
      <c r="AL118" s="10">
        <f>Д402[[#This Row],[Фикс 28.03.25]]+Д402[[#This Row],[Повышение 23.07.25
1К 43-46м2 - 2%
2К 55-58 - 2%; 58-64 - 3%
3К 76-79 - 2%
]]</f>
        <v>129697.39455434999</v>
      </c>
      <c r="AM118" s="149">
        <f>ROUND(Д402[[#This Row],[Фикс 23.07.25]],2)</f>
        <v>129697.39</v>
      </c>
      <c r="AN118" s="149">
        <f>ROUNDUP(Д402[[#This Row],[утв цена м2]]*Д402[[#This Row],[Расчетная проектная площадь]],-2)</f>
        <v>4750900</v>
      </c>
      <c r="AO118" s="151"/>
      <c r="AP118" s="152"/>
      <c r="AQ118" s="151">
        <f>Д402[[#This Row],[Стоимость до скидки]]*Д402[[#This Row],[Скидка %]]+Д402[[#This Row],[Скидка фиксированная]]</f>
        <v>0</v>
      </c>
      <c r="AR118" s="3">
        <f>Д402[[#This Row],[Стоимость ОН без отделки со скидкой]]/Д402[[#This Row],[Расчетная проектная площадь]]</f>
        <v>129699.69969969969</v>
      </c>
      <c r="AS118" s="3">
        <f>Д402[[#This Row],[Стоимость до скидки]]-Д402[[#This Row],[Итоговая сумма скидки]]</f>
        <v>4750900</v>
      </c>
      <c r="AT11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8" s="153"/>
      <c r="AV118" s="153"/>
      <c r="AW118" s="3">
        <f>Д402[[#This Row],[Цена м2 без отделки со скидкой]]+Д402[[#This Row],[Стоимость отделки]]</f>
        <v>129699.69969969969</v>
      </c>
      <c r="AX118" s="3">
        <f>Д402[[#This Row],[Стоимость квартиры с отделкой]]-Д402[[#This Row],[Стоимость ОН без отделки со скидкой]]</f>
        <v>0</v>
      </c>
      <c r="AY118" s="3">
        <f>Д402[[#This Row],[Цена м2 с отделкой]]*Д402[[#This Row],[Расчетная проектная площадь]]</f>
        <v>4750900</v>
      </c>
      <c r="AZ118" s="161"/>
      <c r="BA118" s="155" t="s">
        <v>12</v>
      </c>
      <c r="BB118" s="156" t="str" cm="1">
        <f t="array" ref="BB11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8" s="161" t="s">
        <v>738</v>
      </c>
      <c r="BD118" s="161" t="s">
        <v>739</v>
      </c>
      <c r="BE118" s="161" t="s">
        <v>737</v>
      </c>
      <c r="BF118" s="161" t="s">
        <v>746</v>
      </c>
      <c r="BG118" s="161" t="b">
        <f>EXACT(Д402[[#This Row],[Статусы CRM]],Д402[[#This Row],[Статус]])</f>
        <v>1</v>
      </c>
      <c r="BH118" s="3">
        <f>IF(Д402[[#This Row],[ПС]]=0,IF(Д402[[#This Row],[ДС]]=0,Д402[[#This Row],[ТС]],Д402[[#This Row],[ДС]]),Д402[[#This Row],[ПС]])</f>
        <v>4750900</v>
      </c>
      <c r="BI118" s="3">
        <v>4750900</v>
      </c>
      <c r="BJ118" s="3">
        <v>0</v>
      </c>
      <c r="BK118" s="3">
        <v>0</v>
      </c>
      <c r="BL118" s="273">
        <f>Д402[[#This Row],[Стоимость CRM]]-Д402[[#This Row],[Стоимость до скидки]]</f>
        <v>0</v>
      </c>
      <c r="BM118" s="161" t="s">
        <v>9</v>
      </c>
      <c r="BN118" s="161" t="b">
        <f>Д402[[#This Row],[Отделка CRM]]=Д402[[#This Row],[Отделка]]</f>
        <v>1</v>
      </c>
      <c r="BO118" s="275" t="s">
        <v>250</v>
      </c>
      <c r="BP118" s="69"/>
    </row>
    <row r="119" spans="1:68" ht="12" customHeight="1" x14ac:dyDescent="0.25">
      <c r="A119" s="140">
        <v>117</v>
      </c>
      <c r="B119" s="15">
        <v>2</v>
      </c>
      <c r="C119" s="141">
        <f t="shared" si="4"/>
        <v>3</v>
      </c>
      <c r="D119" s="142">
        <v>3</v>
      </c>
      <c r="E119" s="141">
        <v>0</v>
      </c>
      <c r="F119" s="143">
        <v>13.94</v>
      </c>
      <c r="G119" s="143"/>
      <c r="H119" s="143"/>
      <c r="I119" s="144">
        <f>SUM(Д402[[#This Row],[Комната 1]:[Комната 3]])</f>
        <v>13.94</v>
      </c>
      <c r="J119" s="145">
        <v>5.98</v>
      </c>
      <c r="K119" s="145">
        <v>4.54</v>
      </c>
      <c r="L119" s="145"/>
      <c r="M119" s="145">
        <v>5.04</v>
      </c>
      <c r="N119" s="145"/>
      <c r="O119" s="145"/>
      <c r="P119" s="146"/>
      <c r="Q119" s="146"/>
      <c r="R119" s="146">
        <f>SUM(Д402[[#This Row],[Лоджия 1]:[Лоджия 3]])</f>
        <v>0</v>
      </c>
      <c r="S119" s="10">
        <f>ROUND(SUM(Д402[[#This Row],[Площадь по проекту жилая]:[Лоджия 3]]),2)</f>
        <v>29.5</v>
      </c>
      <c r="T119" s="10">
        <f>ROUND(Д402[[#This Row],[Площадь по проекту(общая)]]-Д402[[#This Row],[Летние]],2)</f>
        <v>29.5</v>
      </c>
      <c r="U119" s="10">
        <f>ROUND(Д402[[#This Row],[Площадь по проекту(общая)]]-(SUM(Д402[[#This Row],[Лоджия 1]:[Лоджия 3]])/2),2)</f>
        <v>29.5</v>
      </c>
      <c r="V119" s="10">
        <f>VLOOKUP(Д402[[#This Row],[№]],наценка7[],COLUMN(наценка7[[#This Row],[Цена м2 с учетом всех K]]),0)</f>
        <v>142524.6</v>
      </c>
      <c r="W119" s="162"/>
      <c r="X119" s="10">
        <f>Д402[[#This Row],[м2 после К]]+Д402[[#This Row],[02.12.2024]]</f>
        <v>142524.6</v>
      </c>
      <c r="Y119" s="149">
        <v>1000</v>
      </c>
      <c r="Z119" s="10">
        <f>Д402[[#This Row],[Фикс 20.12.24]]+Д402[[#This Row],[23.12.24 СП +1000]]</f>
        <v>143524.6</v>
      </c>
      <c r="AA119" s="149">
        <v>215</v>
      </c>
      <c r="AB119" s="10">
        <f>Д402[[#This Row],[Фикс 23.12.24]]+Д402[[#This Row],[Повышение 20.02.25]]</f>
        <v>143739.6</v>
      </c>
      <c r="AC119" s="149">
        <v>17.5</v>
      </c>
      <c r="AD119" s="10">
        <f>Д402[[#This Row],[Фикс 20.02.25]]+Д402[[#This Row],[Повышение 24.02.2025]]</f>
        <v>143757.1</v>
      </c>
      <c r="AE119" s="10"/>
      <c r="AF119" s="10">
        <f>Д402[[#This Row],[Фикс 24.02.25]]+Д402[[#This Row],[Повышение 05.03.2025
1К: до 40м - 1,5%, 40+ 0,5%
2К - 0,5% ]]</f>
        <v>143757.1</v>
      </c>
      <c r="AG119" s="10"/>
      <c r="AH119" s="10">
        <f>Д402[[#This Row],[Фикс 05.03.25]]+Д402[[#This Row],[повышение 14.03.25 1К-1%]]</f>
        <v>143757.1</v>
      </c>
      <c r="AI119" s="10"/>
      <c r="AJ119" s="10">
        <f>Д402[[#This Row],[Фикс 14.03.25]]+Д402[[#This Row],[повышение 28.03.25 1К-1%]]</f>
        <v>143757.1</v>
      </c>
      <c r="AK119" s="10"/>
      <c r="AL119" s="10">
        <f>Д402[[#This Row],[Фикс 28.03.25]]+Д402[[#This Row],[Повышение 23.07.25
1К 43-46м2 - 2%
2К 55-58 - 2%; 58-64 - 3%
3К 76-79 - 2%
]]</f>
        <v>143757.1</v>
      </c>
      <c r="AM119" s="149">
        <f>ROUND(Д402[[#This Row],[Фикс 23.07.25]],2)</f>
        <v>143757.1</v>
      </c>
      <c r="AN119" s="149">
        <f>ROUNDUP(Д402[[#This Row],[утв цена м2]]*Д402[[#This Row],[Расчетная проектная площадь]],-2)</f>
        <v>4240900</v>
      </c>
      <c r="AO119" s="151"/>
      <c r="AP119" s="152"/>
      <c r="AQ119" s="151">
        <f>Д402[[#This Row],[Стоимость до скидки]]*Д402[[#This Row],[Скидка %]]+Д402[[#This Row],[Скидка фиксированная]]</f>
        <v>0</v>
      </c>
      <c r="AR119" s="3">
        <f>Д402[[#This Row],[Стоимость ОН без отделки со скидкой]]/Д402[[#This Row],[Расчетная проектная площадь]]</f>
        <v>143759.32203389829</v>
      </c>
      <c r="AS119" s="3">
        <f>Д402[[#This Row],[Стоимость до скидки]]-Д402[[#This Row],[Итоговая сумма скидки]]</f>
        <v>4240900</v>
      </c>
      <c r="AT11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19" s="153"/>
      <c r="AV119" s="153"/>
      <c r="AW119" s="3">
        <f>Д402[[#This Row],[Цена м2 без отделки со скидкой]]+Д402[[#This Row],[Стоимость отделки]]</f>
        <v>143759.32203389829</v>
      </c>
      <c r="AX119" s="3">
        <f>Д402[[#This Row],[Стоимость квартиры с отделкой]]-Д402[[#This Row],[Стоимость ОН без отделки со скидкой]]</f>
        <v>0</v>
      </c>
      <c r="AY119" s="3">
        <f>Д402[[#This Row],[Цена м2 с отделкой]]*Д402[[#This Row],[Расчетная проектная площадь]]</f>
        <v>4240900</v>
      </c>
      <c r="AZ119" s="161"/>
      <c r="BA119" s="155" t="s">
        <v>12</v>
      </c>
      <c r="BB119" s="156" t="str" cm="1">
        <f t="array" ref="BB11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19" s="161" t="s">
        <v>738</v>
      </c>
      <c r="BD119" s="161" t="s">
        <v>739</v>
      </c>
      <c r="BE119" s="161" t="s">
        <v>737</v>
      </c>
      <c r="BF119" s="161" t="s">
        <v>743</v>
      </c>
      <c r="BG119" s="161" t="b">
        <f>EXACT(Д402[[#This Row],[Статусы CRM]],Д402[[#This Row],[Статус]])</f>
        <v>1</v>
      </c>
      <c r="BH119" s="3">
        <f>IF(Д402[[#This Row],[ПС]]=0,IF(Д402[[#This Row],[ДС]]=0,Д402[[#This Row],[ТС]],Д402[[#This Row],[ДС]]),Д402[[#This Row],[ПС]])</f>
        <v>4240900</v>
      </c>
      <c r="BI119" s="3">
        <v>4240900</v>
      </c>
      <c r="BJ119" s="3">
        <v>0</v>
      </c>
      <c r="BK119" s="3">
        <v>0</v>
      </c>
      <c r="BL119" s="273">
        <f>Д402[[#This Row],[Стоимость CRM]]-Д402[[#This Row],[Стоимость до скидки]]</f>
        <v>0</v>
      </c>
      <c r="BM119" s="161" t="s">
        <v>9</v>
      </c>
      <c r="BN119" s="161" t="b">
        <f>Д402[[#This Row],[Отделка CRM]]=Д402[[#This Row],[Отделка]]</f>
        <v>1</v>
      </c>
      <c r="BO119" s="275" t="s">
        <v>251</v>
      </c>
      <c r="BP119" s="69"/>
    </row>
    <row r="120" spans="1:68" ht="12" customHeight="1" x14ac:dyDescent="0.25">
      <c r="A120" s="140">
        <v>118</v>
      </c>
      <c r="B120" s="15">
        <v>2</v>
      </c>
      <c r="C120" s="141">
        <f t="shared" si="4"/>
        <v>3</v>
      </c>
      <c r="D120" s="142">
        <v>4</v>
      </c>
      <c r="E120" s="141">
        <v>0</v>
      </c>
      <c r="F120" s="143">
        <v>13.39</v>
      </c>
      <c r="G120" s="143"/>
      <c r="H120" s="143"/>
      <c r="I120" s="144">
        <f>SUM(Д402[[#This Row],[Комната 1]:[Комната 3]])</f>
        <v>13.39</v>
      </c>
      <c r="J120" s="145">
        <v>5.98</v>
      </c>
      <c r="K120" s="145">
        <v>4.54</v>
      </c>
      <c r="L120" s="145"/>
      <c r="M120" s="145">
        <v>4.08</v>
      </c>
      <c r="N120" s="145"/>
      <c r="O120" s="145"/>
      <c r="P120" s="146"/>
      <c r="Q120" s="146"/>
      <c r="R120" s="146">
        <f>SUM(Д402[[#This Row],[Лоджия 1]:[Лоджия 3]])</f>
        <v>0</v>
      </c>
      <c r="S120" s="10">
        <f>ROUND(SUM(Д402[[#This Row],[Площадь по проекту жилая]:[Лоджия 3]]),2)</f>
        <v>27.99</v>
      </c>
      <c r="T120" s="10">
        <f>ROUND(Д402[[#This Row],[Площадь по проекту(общая)]]-Д402[[#This Row],[Летние]],2)</f>
        <v>27.99</v>
      </c>
      <c r="U120" s="10">
        <f>ROUND(Д402[[#This Row],[Площадь по проекту(общая)]]-(SUM(Д402[[#This Row],[Лоджия 1]:[Лоджия 3]])/2),2)</f>
        <v>27.99</v>
      </c>
      <c r="V120" s="10">
        <f>VLOOKUP(Д402[[#This Row],[№]],наценка7[],COLUMN(наценка7[[#This Row],[Цена м2 с учетом всех K]]),0)</f>
        <v>142524.6</v>
      </c>
      <c r="W120" s="162"/>
      <c r="X120" s="10">
        <f>Д402[[#This Row],[м2 после К]]+Д402[[#This Row],[02.12.2024]]</f>
        <v>142524.6</v>
      </c>
      <c r="Y120" s="149">
        <v>1000</v>
      </c>
      <c r="Z120" s="10">
        <f>Д402[[#This Row],[Фикс 20.12.24]]+Д402[[#This Row],[23.12.24 СП +1000]]</f>
        <v>143524.6</v>
      </c>
      <c r="AA120" s="149">
        <v>215</v>
      </c>
      <c r="AB120" s="10">
        <f>Д402[[#This Row],[Фикс 23.12.24]]+Д402[[#This Row],[Повышение 20.02.25]]</f>
        <v>143739.6</v>
      </c>
      <c r="AC120" s="149">
        <v>17.5</v>
      </c>
      <c r="AD120" s="10">
        <f>Д402[[#This Row],[Фикс 20.02.25]]+Д402[[#This Row],[Повышение 24.02.2025]]</f>
        <v>143757.1</v>
      </c>
      <c r="AE120" s="10"/>
      <c r="AF120" s="10">
        <f>Д402[[#This Row],[Фикс 24.02.25]]+Д402[[#This Row],[Повышение 05.03.2025
1К: до 40м - 1,5%, 40+ 0,5%
2К - 0,5% ]]</f>
        <v>143757.1</v>
      </c>
      <c r="AG120" s="10"/>
      <c r="AH120" s="10">
        <f>Д402[[#This Row],[Фикс 05.03.25]]+Д402[[#This Row],[повышение 14.03.25 1К-1%]]</f>
        <v>143757.1</v>
      </c>
      <c r="AI120" s="10"/>
      <c r="AJ120" s="10">
        <f>Д402[[#This Row],[Фикс 14.03.25]]+Д402[[#This Row],[повышение 28.03.25 1К-1%]]</f>
        <v>143757.1</v>
      </c>
      <c r="AK120" s="10"/>
      <c r="AL120" s="10">
        <f>Д402[[#This Row],[Фикс 28.03.25]]+Д402[[#This Row],[Повышение 23.07.25
1К 43-46м2 - 2%
2К 55-58 - 2%; 58-64 - 3%
3К 76-79 - 2%
]]</f>
        <v>143757.1</v>
      </c>
      <c r="AM120" s="149">
        <f>ROUND(Д402[[#This Row],[Фикс 23.07.25]],2)</f>
        <v>143757.1</v>
      </c>
      <c r="AN120" s="149">
        <f>ROUNDUP(Д402[[#This Row],[утв цена м2]]*Д402[[#This Row],[Расчетная проектная площадь]],-2)</f>
        <v>4023800</v>
      </c>
      <c r="AO120" s="151"/>
      <c r="AP120" s="152"/>
      <c r="AQ120" s="151">
        <f>Д402[[#This Row],[Стоимость до скидки]]*Д402[[#This Row],[Скидка %]]+Д402[[#This Row],[Скидка фиксированная]]</f>
        <v>0</v>
      </c>
      <c r="AR120" s="3">
        <f>Д402[[#This Row],[Стоимость ОН без отделки со скидкой]]/Д402[[#This Row],[Расчетная проектная площадь]]</f>
        <v>143758.48517327619</v>
      </c>
      <c r="AS120" s="3">
        <f>Д402[[#This Row],[Стоимость до скидки]]-Д402[[#This Row],[Итоговая сумма скидки]]</f>
        <v>4023800</v>
      </c>
      <c r="AT12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0" s="153"/>
      <c r="AV120" s="153"/>
      <c r="AW120" s="3">
        <f>Д402[[#This Row],[Цена м2 без отделки со скидкой]]+Д402[[#This Row],[Стоимость отделки]]</f>
        <v>143758.48517327619</v>
      </c>
      <c r="AX120" s="3">
        <f>Д402[[#This Row],[Стоимость квартиры с отделкой]]-Д402[[#This Row],[Стоимость ОН без отделки со скидкой]]</f>
        <v>0</v>
      </c>
      <c r="AY120" s="3">
        <f>Д402[[#This Row],[Цена м2 с отделкой]]*Д402[[#This Row],[Расчетная проектная площадь]]</f>
        <v>4023800.0000000005</v>
      </c>
      <c r="AZ120" s="161"/>
      <c r="BA120" s="155" t="s">
        <v>12</v>
      </c>
      <c r="BB120" s="156" t="str" cm="1">
        <f t="array" ref="BB12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0" s="161" t="s">
        <v>738</v>
      </c>
      <c r="BD120" s="161" t="s">
        <v>739</v>
      </c>
      <c r="BE120" s="161" t="s">
        <v>737</v>
      </c>
      <c r="BF120" s="161" t="s">
        <v>743</v>
      </c>
      <c r="BG120" s="161" t="b">
        <f>EXACT(Д402[[#This Row],[Статусы CRM]],Д402[[#This Row],[Статус]])</f>
        <v>1</v>
      </c>
      <c r="BH120" s="3">
        <f>IF(Д402[[#This Row],[ПС]]=0,IF(Д402[[#This Row],[ДС]]=0,Д402[[#This Row],[ТС]],Д402[[#This Row],[ДС]]),Д402[[#This Row],[ПС]])</f>
        <v>4023800</v>
      </c>
      <c r="BI120" s="3">
        <v>4023800</v>
      </c>
      <c r="BJ120" s="3">
        <v>0</v>
      </c>
      <c r="BK120" s="3">
        <v>0</v>
      </c>
      <c r="BL120" s="273">
        <f>Д402[[#This Row],[Стоимость CRM]]-Д402[[#This Row],[Стоимость до скидки]]</f>
        <v>0</v>
      </c>
      <c r="BM120" s="161" t="s">
        <v>9</v>
      </c>
      <c r="BN120" s="161" t="b">
        <f>Д402[[#This Row],[Отделка CRM]]=Д402[[#This Row],[Отделка]]</f>
        <v>1</v>
      </c>
      <c r="BO120" s="275" t="s">
        <v>252</v>
      </c>
      <c r="BP120" s="69"/>
    </row>
    <row r="121" spans="1:68" ht="12" customHeight="1" x14ac:dyDescent="0.25">
      <c r="A121" s="140">
        <v>119</v>
      </c>
      <c r="B121" s="15">
        <v>2</v>
      </c>
      <c r="C121" s="141">
        <f t="shared" si="4"/>
        <v>3</v>
      </c>
      <c r="D121" s="142">
        <v>5</v>
      </c>
      <c r="E121" s="141">
        <v>2</v>
      </c>
      <c r="F121" s="143">
        <v>16.579999999999998</v>
      </c>
      <c r="G121" s="143">
        <v>14.14</v>
      </c>
      <c r="H121" s="143"/>
      <c r="I121" s="144">
        <f>SUM(Д402[[#This Row],[Комната 1]:[Комната 3]])</f>
        <v>30.72</v>
      </c>
      <c r="J121" s="145">
        <v>12.38</v>
      </c>
      <c r="K121" s="145">
        <v>4.1399999999999997</v>
      </c>
      <c r="L121" s="145"/>
      <c r="M121" s="145">
        <v>7.61</v>
      </c>
      <c r="N121" s="145">
        <v>7.03</v>
      </c>
      <c r="O121" s="145">
        <v>3.11</v>
      </c>
      <c r="P121" s="146"/>
      <c r="Q121" s="146"/>
      <c r="R121" s="146">
        <f>SUM(Д402[[#This Row],[Лоджия 1]:[Лоджия 3]])</f>
        <v>3.11</v>
      </c>
      <c r="S121" s="10">
        <f>ROUND(SUM(Д402[[#This Row],[Площадь по проекту жилая]:[Лоджия 3]]),2)</f>
        <v>64.989999999999995</v>
      </c>
      <c r="T121" s="10">
        <f>ROUND(Д402[[#This Row],[Площадь по проекту(общая)]]-Д402[[#This Row],[Летние]],2)</f>
        <v>61.88</v>
      </c>
      <c r="U121" s="10">
        <f>ROUND(Д402[[#This Row],[Площадь по проекту(общая)]]-(SUM(Д402[[#This Row],[Лоджия 1]:[Лоджия 3]])/2),2)</f>
        <v>63.44</v>
      </c>
      <c r="V121" s="10">
        <f>VLOOKUP(Д402[[#This Row],[№]],наценка7[],COLUMN(наценка7[[#This Row],[Цена м2 с учетом всех K]]),0)</f>
        <v>122072.4</v>
      </c>
      <c r="W121" s="162">
        <v>-7000</v>
      </c>
      <c r="X121" s="10">
        <f>Д402[[#This Row],[м2 после К]]+Д402[[#This Row],[02.12.2024]]</f>
        <v>115072.4</v>
      </c>
      <c r="Y121" s="149">
        <v>1000</v>
      </c>
      <c r="Z121" s="10">
        <f>Д402[[#This Row],[Фикс 20.12.24]]+Д402[[#This Row],[23.12.24 СП +1000]]</f>
        <v>116072.4</v>
      </c>
      <c r="AA121" s="149">
        <v>215</v>
      </c>
      <c r="AB121" s="10">
        <f>Д402[[#This Row],[Фикс 23.12.24]]+Д402[[#This Row],[Повышение 20.02.25]]</f>
        <v>116287.4</v>
      </c>
      <c r="AC121" s="149">
        <v>17.5</v>
      </c>
      <c r="AD121" s="10">
        <f>Д402[[#This Row],[Фикс 20.02.25]]+Д402[[#This Row],[Повышение 24.02.2025]]</f>
        <v>116304.9</v>
      </c>
      <c r="AE121" s="149">
        <f>Д402[[#This Row],[Фикс 24.02.25]]*0.5%</f>
        <v>581.52449999999999</v>
      </c>
      <c r="AF121" s="10">
        <f>Д402[[#This Row],[Фикс 24.02.25]]+Д402[[#This Row],[Повышение 05.03.2025
1К: до 40м - 1,5%, 40+ 0,5%
2К - 0,5% ]]</f>
        <v>116886.42449999999</v>
      </c>
      <c r="AG121" s="10"/>
      <c r="AH121" s="10">
        <f>Д402[[#This Row],[Фикс 05.03.25]]+Д402[[#This Row],[повышение 14.03.25 1К-1%]]</f>
        <v>116886.42449999999</v>
      </c>
      <c r="AI121" s="10"/>
      <c r="AJ121" s="10">
        <f>Д402[[#This Row],[Фикс 14.03.25]]+Д402[[#This Row],[повышение 28.03.25 1К-1%]]</f>
        <v>116886.42449999999</v>
      </c>
      <c r="AK121" s="10">
        <f>Д402[[#This Row],[Фикс 28.03.25]]*3%</f>
        <v>3506.5927349999997</v>
      </c>
      <c r="AL121" s="10">
        <f>Д402[[#This Row],[Фикс 28.03.25]]+Д402[[#This Row],[Повышение 23.07.25
1К 43-46м2 - 2%
2К 55-58 - 2%; 58-64 - 3%
3К 76-79 - 2%
]]</f>
        <v>120393.01723499999</v>
      </c>
      <c r="AM121" s="149">
        <f>ROUND(Д402[[#This Row],[Фикс 23.07.25]],2)</f>
        <v>120393.02</v>
      </c>
      <c r="AN121" s="149">
        <f>ROUNDUP(Д402[[#This Row],[утв цена м2]]*Д402[[#This Row],[Расчетная проектная площадь]],-2)</f>
        <v>7637800</v>
      </c>
      <c r="AO121" s="151"/>
      <c r="AP121" s="152"/>
      <c r="AQ121" s="151">
        <f>Д402[[#This Row],[Стоимость до скидки]]*Д402[[#This Row],[Скидка %]]+Д402[[#This Row],[Скидка фиксированная]]</f>
        <v>0</v>
      </c>
      <c r="AR121" s="3">
        <f>Д402[[#This Row],[Стоимость ОН без отделки со скидкой]]/Д402[[#This Row],[Расчетная проектная площадь]]</f>
        <v>120394.07313997479</v>
      </c>
      <c r="AS121" s="3">
        <f>Д402[[#This Row],[Стоимость до скидки]]-Д402[[#This Row],[Итоговая сумма скидки]]</f>
        <v>7637800</v>
      </c>
      <c r="AT12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1" s="153"/>
      <c r="AV121" s="153"/>
      <c r="AW121" s="3">
        <f>Д402[[#This Row],[Цена м2 без отделки со скидкой]]+Д402[[#This Row],[Стоимость отделки]]</f>
        <v>120394.07313997479</v>
      </c>
      <c r="AX121" s="3">
        <f>Д402[[#This Row],[Стоимость квартиры с отделкой]]-Д402[[#This Row],[Стоимость ОН без отделки со скидкой]]</f>
        <v>0</v>
      </c>
      <c r="AY121" s="3">
        <f>Д402[[#This Row],[Цена м2 с отделкой]]*Д402[[#This Row],[Расчетная проектная площадь]]</f>
        <v>7637800</v>
      </c>
      <c r="AZ121" s="161"/>
      <c r="BA121" s="269" t="s">
        <v>128</v>
      </c>
      <c r="BB121" s="269" t="str" cm="1">
        <f t="array" ref="BB12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21" s="161" t="s">
        <v>740</v>
      </c>
      <c r="BD121" s="161" t="s">
        <v>506</v>
      </c>
      <c r="BE121" s="161" t="s">
        <v>737</v>
      </c>
      <c r="BF121" s="161" t="s">
        <v>747</v>
      </c>
      <c r="BG121" s="161" t="b">
        <f>EXACT(Д402[[#This Row],[Статусы CRM]],Д402[[#This Row],[Статус]])</f>
        <v>1</v>
      </c>
      <c r="BH121" s="3">
        <f>IF(Д402[[#This Row],[ПС]]=0,IF(Д402[[#This Row],[ДС]]=0,Д402[[#This Row],[ТС]],Д402[[#This Row],[ДС]]),Д402[[#This Row],[ПС]])</f>
        <v>7637800</v>
      </c>
      <c r="BI121" s="3">
        <v>7637800</v>
      </c>
      <c r="BJ121" s="3">
        <v>0</v>
      </c>
      <c r="BK121" s="3">
        <v>0</v>
      </c>
      <c r="BL121" s="273">
        <f>Д402[[#This Row],[Стоимость CRM]]-Д402[[#This Row],[Стоимость до скидки]]</f>
        <v>0</v>
      </c>
      <c r="BM121" s="161" t="s">
        <v>9</v>
      </c>
      <c r="BN121" s="161" t="b">
        <f>Д402[[#This Row],[Отделка CRM]]=Д402[[#This Row],[Отделка]]</f>
        <v>1</v>
      </c>
      <c r="BO121" s="275" t="s">
        <v>253</v>
      </c>
      <c r="BP121" s="69"/>
    </row>
    <row r="122" spans="1:68" ht="12" customHeight="1" x14ac:dyDescent="0.25">
      <c r="A122" s="140">
        <v>120</v>
      </c>
      <c r="B122" s="15">
        <v>2</v>
      </c>
      <c r="C122" s="141">
        <f t="shared" si="4"/>
        <v>3</v>
      </c>
      <c r="D122" s="142">
        <v>6</v>
      </c>
      <c r="E122" s="141">
        <v>2</v>
      </c>
      <c r="F122" s="143">
        <v>17.73</v>
      </c>
      <c r="G122" s="143">
        <v>12.22</v>
      </c>
      <c r="H122" s="143"/>
      <c r="I122" s="144">
        <f>SUM(Д402[[#This Row],[Комната 1]:[Комната 3]])</f>
        <v>29.950000000000003</v>
      </c>
      <c r="J122" s="145">
        <v>13.65</v>
      </c>
      <c r="K122" s="145">
        <v>5.22</v>
      </c>
      <c r="L122" s="145">
        <v>2.5</v>
      </c>
      <c r="M122" s="145">
        <v>8.06</v>
      </c>
      <c r="N122" s="145"/>
      <c r="O122" s="145">
        <v>3.11</v>
      </c>
      <c r="P122" s="146"/>
      <c r="Q122" s="146"/>
      <c r="R122" s="146">
        <f>SUM(Д402[[#This Row],[Лоджия 1]:[Лоджия 3]])</f>
        <v>3.11</v>
      </c>
      <c r="S122" s="10">
        <f>ROUND(SUM(Д402[[#This Row],[Площадь по проекту жилая]:[Лоджия 3]]),2)</f>
        <v>62.49</v>
      </c>
      <c r="T122" s="10">
        <f>ROUND(Д402[[#This Row],[Площадь по проекту(общая)]]-Д402[[#This Row],[Летние]],2)</f>
        <v>59.38</v>
      </c>
      <c r="U122" s="10">
        <f>ROUND(Д402[[#This Row],[Площадь по проекту(общая)]]-(SUM(Д402[[#This Row],[Лоджия 1]:[Лоджия 3]])/2),2)</f>
        <v>60.94</v>
      </c>
      <c r="V122" s="10">
        <f>VLOOKUP(Д402[[#This Row],[№]],наценка7[],COLUMN(наценка7[[#This Row],[Цена м2 с учетом всех K]]),0)</f>
        <v>126593.60000000001</v>
      </c>
      <c r="W122" s="162">
        <v>-10000</v>
      </c>
      <c r="X122" s="10">
        <f>Д402[[#This Row],[м2 после К]]+Д402[[#This Row],[02.12.2024]]</f>
        <v>116593.60000000001</v>
      </c>
      <c r="Y122" s="149">
        <v>1000</v>
      </c>
      <c r="Z122" s="10">
        <f>Д402[[#This Row],[Фикс 20.12.24]]+Д402[[#This Row],[23.12.24 СП +1000]]</f>
        <v>117593.60000000001</v>
      </c>
      <c r="AA122" s="149">
        <v>215</v>
      </c>
      <c r="AB122" s="10">
        <f>Д402[[#This Row],[Фикс 23.12.24]]+Д402[[#This Row],[Повышение 20.02.25]]</f>
        <v>117808.6</v>
      </c>
      <c r="AC122" s="149">
        <v>17.5</v>
      </c>
      <c r="AD122" s="10">
        <f>Д402[[#This Row],[Фикс 20.02.25]]+Д402[[#This Row],[Повышение 24.02.2025]]</f>
        <v>117826.1</v>
      </c>
      <c r="AE122" s="149">
        <f>Д402[[#This Row],[Фикс 24.02.25]]*0.5%</f>
        <v>589.1305000000001</v>
      </c>
      <c r="AF122" s="10">
        <f>Д402[[#This Row],[Фикс 24.02.25]]+Д402[[#This Row],[Повышение 05.03.2025
1К: до 40м - 1,5%, 40+ 0,5%
2К - 0,5% ]]</f>
        <v>118415.23050000001</v>
      </c>
      <c r="AG122" s="10"/>
      <c r="AH122" s="10">
        <f>Д402[[#This Row],[Фикс 05.03.25]]+Д402[[#This Row],[повышение 14.03.25 1К-1%]]</f>
        <v>118415.23050000001</v>
      </c>
      <c r="AI122" s="10"/>
      <c r="AJ122" s="10">
        <f>Д402[[#This Row],[Фикс 14.03.25]]+Д402[[#This Row],[повышение 28.03.25 1К-1%]]</f>
        <v>118415.23050000001</v>
      </c>
      <c r="AK122" s="10">
        <f>Д402[[#This Row],[Фикс 28.03.25]]*3%</f>
        <v>3552.4569150000002</v>
      </c>
      <c r="AL122" s="10">
        <f>Д402[[#This Row],[Фикс 28.03.25]]+Д402[[#This Row],[Повышение 23.07.25
1К 43-46м2 - 2%
2К 55-58 - 2%; 58-64 - 3%
3К 76-79 - 2%
]]</f>
        <v>121967.68741500001</v>
      </c>
      <c r="AM122" s="149">
        <f>ROUND(Д402[[#This Row],[Фикс 23.07.25]],2)</f>
        <v>121967.69</v>
      </c>
      <c r="AN122" s="149">
        <f>ROUNDUP(Д402[[#This Row],[утв цена м2]]*Д402[[#This Row],[Расчетная проектная площадь]],-2)</f>
        <v>7432800</v>
      </c>
      <c r="AO122" s="151"/>
      <c r="AP122" s="152"/>
      <c r="AQ122" s="151">
        <f>Д402[[#This Row],[Стоимость до скидки]]*Д402[[#This Row],[Скидка %]]+Д402[[#This Row],[Скидка фиксированная]]</f>
        <v>0</v>
      </c>
      <c r="AR122" s="3">
        <f>Д402[[#This Row],[Стоимость ОН без отделки со скидкой]]/Д402[[#This Row],[Расчетная проектная площадь]]</f>
        <v>121969.14998359043</v>
      </c>
      <c r="AS122" s="3">
        <f>Д402[[#This Row],[Стоимость до скидки]]-Д402[[#This Row],[Итоговая сумма скидки]]</f>
        <v>7432800</v>
      </c>
      <c r="AT12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22" s="153">
        <v>30000</v>
      </c>
      <c r="AV122" s="153" t="s">
        <v>722</v>
      </c>
      <c r="AW122" s="3">
        <f>Д402[[#This Row],[Цена м2 без отделки со скидкой]]+Д402[[#This Row],[Стоимость отделки]]</f>
        <v>151969.14998359041</v>
      </c>
      <c r="AX122" s="3">
        <f>Д402[[#This Row],[Стоимость квартиры с отделкой]]-Д402[[#This Row],[Стоимость ОН без отделки со скидкой]]</f>
        <v>1828200</v>
      </c>
      <c r="AY122" s="3">
        <f>Д402[[#This Row],[Цена м2 с отделкой]]*Д402[[#This Row],[Расчетная проектная площадь]]</f>
        <v>9261000</v>
      </c>
      <c r="AZ122" s="161"/>
      <c r="BA122" s="269" t="s">
        <v>12</v>
      </c>
      <c r="BB122" s="269" t="str" cm="1">
        <f t="array" ref="BB12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2" s="161" t="s">
        <v>738</v>
      </c>
      <c r="BD122" s="161" t="s">
        <v>739</v>
      </c>
      <c r="BE122" s="161" t="s">
        <v>737</v>
      </c>
      <c r="BF122" s="161" t="s">
        <v>747</v>
      </c>
      <c r="BG122" s="161" t="b">
        <f>EXACT(Д402[[#This Row],[Статусы CRM]],Д402[[#This Row],[Статус]])</f>
        <v>1</v>
      </c>
      <c r="BH122" s="3">
        <f>IF(Д402[[#This Row],[ПС]]=0,IF(Д402[[#This Row],[ДС]]=0,Д402[[#This Row],[ТС]],Д402[[#This Row],[ДС]]),Д402[[#This Row],[ПС]])</f>
        <v>7432800</v>
      </c>
      <c r="BI122" s="3">
        <v>7432800</v>
      </c>
      <c r="BJ122" s="3">
        <v>0</v>
      </c>
      <c r="BK122" s="3">
        <v>0</v>
      </c>
      <c r="BL122" s="273">
        <f>Д402[[#This Row],[Стоимость CRM]]-Д402[[#This Row],[Стоимость до скидки]]</f>
        <v>0</v>
      </c>
      <c r="BM122" s="161" t="s">
        <v>11</v>
      </c>
      <c r="BN122" s="161" t="b">
        <f>Д402[[#This Row],[Отделка CRM]]=Д402[[#This Row],[Отделка]]</f>
        <v>1</v>
      </c>
      <c r="BO122" s="275" t="s">
        <v>254</v>
      </c>
      <c r="BP122" s="69"/>
    </row>
    <row r="123" spans="1:68" ht="12" customHeight="1" x14ac:dyDescent="0.25">
      <c r="A123" s="140">
        <v>121</v>
      </c>
      <c r="B123" s="15">
        <v>2</v>
      </c>
      <c r="C123" s="141">
        <f t="shared" si="4"/>
        <v>4</v>
      </c>
      <c r="D123" s="142">
        <v>1</v>
      </c>
      <c r="E123" s="141">
        <v>2</v>
      </c>
      <c r="F123" s="143">
        <v>17.579999999999998</v>
      </c>
      <c r="G123" s="143">
        <v>14.37</v>
      </c>
      <c r="H123" s="143"/>
      <c r="I123" s="144">
        <f>SUM(Д402[[#This Row],[Комната 1]:[Комната 3]])</f>
        <v>31.949999999999996</v>
      </c>
      <c r="J123" s="145">
        <v>14.29</v>
      </c>
      <c r="K123" s="145">
        <v>4.5199999999999996</v>
      </c>
      <c r="L123" s="145"/>
      <c r="M123" s="145">
        <v>8.64</v>
      </c>
      <c r="N123" s="145">
        <v>4.76</v>
      </c>
      <c r="O123" s="145">
        <v>3.11</v>
      </c>
      <c r="P123" s="146"/>
      <c r="Q123" s="146"/>
      <c r="R123" s="146">
        <f>SUM(Д402[[#This Row],[Лоджия 1]:[Лоджия 3]])</f>
        <v>3.11</v>
      </c>
      <c r="S123" s="10">
        <f>ROUND(SUM(Д402[[#This Row],[Площадь по проекту жилая]:[Лоджия 3]]),2)</f>
        <v>67.27</v>
      </c>
      <c r="T123" s="10">
        <f>ROUND(Д402[[#This Row],[Площадь по проекту(общая)]]-Д402[[#This Row],[Летние]],2)</f>
        <v>64.16</v>
      </c>
      <c r="U123" s="10">
        <f>ROUND(Д402[[#This Row],[Площадь по проекту(общая)]]-(SUM(Д402[[#This Row],[Лоджия 1]:[Лоджия 3]])/2),2)</f>
        <v>65.72</v>
      </c>
      <c r="V123" s="10">
        <f>VLOOKUP(Д402[[#This Row],[№]],наценка7[],COLUMN(наценка7[[#This Row],[Цена м2 с учетом всех K]]),0)</f>
        <v>119811.8</v>
      </c>
      <c r="W123" s="162"/>
      <c r="X123" s="10">
        <f>Д402[[#This Row],[м2 после К]]+Д402[[#This Row],[02.12.2024]]</f>
        <v>119811.8</v>
      </c>
      <c r="Y123" s="149">
        <v>1000</v>
      </c>
      <c r="Z123" s="10">
        <f>Д402[[#This Row],[Фикс 20.12.24]]+Д402[[#This Row],[23.12.24 СП +1000]]</f>
        <v>120811.8</v>
      </c>
      <c r="AA123" s="149">
        <v>215</v>
      </c>
      <c r="AB123" s="10">
        <f>Д402[[#This Row],[Фикс 23.12.24]]+Д402[[#This Row],[Повышение 20.02.25]]</f>
        <v>121026.8</v>
      </c>
      <c r="AC123" s="149">
        <v>17.5</v>
      </c>
      <c r="AD123" s="10">
        <f>Д402[[#This Row],[Фикс 20.02.25]]+Д402[[#This Row],[Повышение 24.02.2025]]</f>
        <v>121044.3</v>
      </c>
      <c r="AE123" s="149">
        <f>Д402[[#This Row],[Фикс 24.02.25]]*0.5%</f>
        <v>605.22149999999999</v>
      </c>
      <c r="AF123" s="10">
        <f>Д402[[#This Row],[Фикс 24.02.25]]+Д402[[#This Row],[Повышение 05.03.2025
1К: до 40м - 1,5%, 40+ 0,5%
2К - 0,5% ]]</f>
        <v>121649.5215</v>
      </c>
      <c r="AG123" s="10"/>
      <c r="AH123" s="10">
        <f>Д402[[#This Row],[Фикс 05.03.25]]+Д402[[#This Row],[повышение 14.03.25 1К-1%]]</f>
        <v>121649.5215</v>
      </c>
      <c r="AI123" s="10"/>
      <c r="AJ123" s="10">
        <f>Д402[[#This Row],[Фикс 14.03.25]]+Д402[[#This Row],[повышение 28.03.25 1К-1%]]</f>
        <v>121649.5215</v>
      </c>
      <c r="AK123" s="10"/>
      <c r="AL123" s="10">
        <f>Д402[[#This Row],[Фикс 28.03.25]]+Д402[[#This Row],[Повышение 23.07.25
1К 43-46м2 - 2%
2К 55-58 - 2%; 58-64 - 3%
3К 76-79 - 2%
]]</f>
        <v>121649.5215</v>
      </c>
      <c r="AM123" s="149">
        <f>ROUND(Д402[[#This Row],[Фикс 23.07.25]],2)</f>
        <v>121649.52</v>
      </c>
      <c r="AN123" s="149">
        <f>ROUNDUP(Д402[[#This Row],[утв цена м2]]*Д402[[#This Row],[Расчетная проектная площадь]],-2)</f>
        <v>7994900</v>
      </c>
      <c r="AO123" s="151"/>
      <c r="AP123" s="152"/>
      <c r="AQ123" s="151">
        <f>Д402[[#This Row],[Стоимость до скидки]]*Д402[[#This Row],[Скидка %]]+Д402[[#This Row],[Скидка фиксированная]]</f>
        <v>0</v>
      </c>
      <c r="AR123" s="3">
        <f>Д402[[#This Row],[Стоимость ОН без отделки со скидкой]]/Д402[[#This Row],[Расчетная проектная площадь]]</f>
        <v>121650.94339622642</v>
      </c>
      <c r="AS123" s="3">
        <f>Д402[[#This Row],[Стоимость до скидки]]-Д402[[#This Row],[Итоговая сумма скидки]]</f>
        <v>7994900</v>
      </c>
      <c r="AT12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3" s="153"/>
      <c r="AV123" s="153"/>
      <c r="AW123" s="3">
        <f>Д402[[#This Row],[Цена м2 без отделки со скидкой]]+Д402[[#This Row],[Стоимость отделки]]</f>
        <v>121650.94339622642</v>
      </c>
      <c r="AX123" s="3">
        <f>Д402[[#This Row],[Стоимость квартиры с отделкой]]-Д402[[#This Row],[Стоимость ОН без отделки со скидкой]]</f>
        <v>0</v>
      </c>
      <c r="AY123" s="3">
        <f>Д402[[#This Row],[Цена м2 с отделкой]]*Д402[[#This Row],[Расчетная проектная площадь]]</f>
        <v>7994900</v>
      </c>
      <c r="AZ123" s="161"/>
      <c r="BA123" s="155" t="s">
        <v>12</v>
      </c>
      <c r="BB123" s="156" t="str" cm="1">
        <f t="array" ref="BB12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3" s="161" t="s">
        <v>738</v>
      </c>
      <c r="BD123" s="161" t="s">
        <v>739</v>
      </c>
      <c r="BE123" s="161" t="s">
        <v>737</v>
      </c>
      <c r="BF123" s="161" t="s">
        <v>744</v>
      </c>
      <c r="BG123" s="161" t="b">
        <f>EXACT(Д402[[#This Row],[Статусы CRM]],Д402[[#This Row],[Статус]])</f>
        <v>1</v>
      </c>
      <c r="BH123" s="3">
        <f>IF(Д402[[#This Row],[ПС]]=0,IF(Д402[[#This Row],[ДС]]=0,Д402[[#This Row],[ТС]],Д402[[#This Row],[ДС]]),Д402[[#This Row],[ПС]])</f>
        <v>7994900</v>
      </c>
      <c r="BI123" s="3">
        <v>7994900</v>
      </c>
      <c r="BJ123" s="3">
        <v>0</v>
      </c>
      <c r="BK123" s="3">
        <v>0</v>
      </c>
      <c r="BL123" s="273">
        <f>Д402[[#This Row],[Стоимость CRM]]-Д402[[#This Row],[Стоимость до скидки]]</f>
        <v>0</v>
      </c>
      <c r="BM123" s="161" t="s">
        <v>9</v>
      </c>
      <c r="BN123" s="161" t="b">
        <f>Д402[[#This Row],[Отделка CRM]]=Д402[[#This Row],[Отделка]]</f>
        <v>1</v>
      </c>
      <c r="BO123" s="275" t="s">
        <v>255</v>
      </c>
      <c r="BP123" s="69"/>
    </row>
    <row r="124" spans="1:68" ht="12" customHeight="1" x14ac:dyDescent="0.25">
      <c r="A124" s="140">
        <v>122</v>
      </c>
      <c r="B124" s="175">
        <v>2</v>
      </c>
      <c r="C124" s="141">
        <f t="shared" si="4"/>
        <v>4</v>
      </c>
      <c r="D124" s="142">
        <v>2</v>
      </c>
      <c r="E124" s="141">
        <v>1</v>
      </c>
      <c r="F124" s="143">
        <v>14.77</v>
      </c>
      <c r="G124" s="143"/>
      <c r="H124" s="143"/>
      <c r="I124" s="144">
        <f>SUM(Д402[[#This Row],[Комната 1]:[Комната 3]])</f>
        <v>14.77</v>
      </c>
      <c r="J124" s="145">
        <v>11.88</v>
      </c>
      <c r="K124" s="145">
        <v>4.1399999999999997</v>
      </c>
      <c r="L124" s="145"/>
      <c r="M124" s="145">
        <v>4.28</v>
      </c>
      <c r="N124" s="145"/>
      <c r="O124" s="145">
        <v>3.11</v>
      </c>
      <c r="P124" s="146"/>
      <c r="Q124" s="146"/>
      <c r="R124" s="146">
        <f>SUM(Д402[[#This Row],[Лоджия 1]:[Лоджия 3]])</f>
        <v>3.11</v>
      </c>
      <c r="S124" s="10">
        <f>ROUND(SUM(Д402[[#This Row],[Площадь по проекту жилая]:[Лоджия 3]]),2)</f>
        <v>38.18</v>
      </c>
      <c r="T124" s="10">
        <f>ROUND(Д402[[#This Row],[Площадь по проекту(общая)]]-Д402[[#This Row],[Летние]],2)</f>
        <v>35.07</v>
      </c>
      <c r="U124" s="10">
        <f>ROUND(Д402[[#This Row],[Площадь по проекту(общая)]]-(SUM(Д402[[#This Row],[Лоджия 1]:[Лоджия 3]])/2),2)</f>
        <v>36.630000000000003</v>
      </c>
      <c r="V124" s="10">
        <f>VLOOKUP(Д402[[#This Row],[№]],наценка7[],COLUMN(наценка7[[#This Row],[Цена м2 с учетом всех K]]),0)</f>
        <v>124030.39999999999</v>
      </c>
      <c r="W124" s="162"/>
      <c r="X124" s="10">
        <f>Д402[[#This Row],[м2 после К]]+Д402[[#This Row],[02.12.2024]]</f>
        <v>124030.39999999999</v>
      </c>
      <c r="Y124" s="149">
        <v>1000</v>
      </c>
      <c r="Z124" s="10">
        <f>Д402[[#This Row],[Фикс 20.12.24]]+Д402[[#This Row],[23.12.24 СП +1000]]</f>
        <v>125030.39999999999</v>
      </c>
      <c r="AA124" s="149">
        <v>215</v>
      </c>
      <c r="AB124" s="10">
        <f>Д402[[#This Row],[Фикс 23.12.24]]+Д402[[#This Row],[Повышение 20.02.25]]</f>
        <v>125245.4</v>
      </c>
      <c r="AC124" s="149">
        <v>17.5</v>
      </c>
      <c r="AD124" s="10">
        <f>Д402[[#This Row],[Фикс 20.02.25]]+Д402[[#This Row],[Повышение 24.02.2025]]</f>
        <v>125262.9</v>
      </c>
      <c r="AE124" s="149">
        <f>Д402[[#This Row],[Фикс 24.02.25]]*1.5%</f>
        <v>1878.9434999999999</v>
      </c>
      <c r="AF124" s="10">
        <f>Д402[[#This Row],[Фикс 24.02.25]]+Д402[[#This Row],[Повышение 05.03.2025
1К: до 40м - 1,5%, 40+ 0,5%
2К - 0,5% ]]</f>
        <v>127141.84349999999</v>
      </c>
      <c r="AG124" s="149">
        <f>Д402[[#This Row],[Фикс 05.03.25]]*1%</f>
        <v>1271.4184349999998</v>
      </c>
      <c r="AH124" s="10">
        <f>Д402[[#This Row],[Фикс 05.03.25]]+Д402[[#This Row],[повышение 14.03.25 1К-1%]]</f>
        <v>128413.26193499999</v>
      </c>
      <c r="AI124" s="149">
        <f>Д402[[#This Row],[Фикс 14.03.25]]*1%</f>
        <v>1284.1326193499999</v>
      </c>
      <c r="AJ124" s="10">
        <f>Д402[[#This Row],[Фикс 14.03.25]]+Д402[[#This Row],[повышение 28.03.25 1К-1%]]</f>
        <v>129697.39455434999</v>
      </c>
      <c r="AK124" s="10"/>
      <c r="AL124" s="10">
        <f>Д402[[#This Row],[Фикс 28.03.25]]+Д402[[#This Row],[Повышение 23.07.25
1К 43-46м2 - 2%
2К 55-58 - 2%; 58-64 - 3%
3К 76-79 - 2%
]]</f>
        <v>129697.39455434999</v>
      </c>
      <c r="AM124" s="149">
        <f>ROUND(Д402[[#This Row],[Фикс 23.07.25]],2)</f>
        <v>129697.39</v>
      </c>
      <c r="AN124" s="149">
        <f>ROUNDUP(Д402[[#This Row],[утв цена м2]]*Д402[[#This Row],[Расчетная проектная площадь]],-2)</f>
        <v>4750900</v>
      </c>
      <c r="AO124" s="151"/>
      <c r="AP124" s="152"/>
      <c r="AQ124" s="151">
        <f>Д402[[#This Row],[Стоимость до скидки]]*Д402[[#This Row],[Скидка %]]+Д402[[#This Row],[Скидка фиксированная]]</f>
        <v>0</v>
      </c>
      <c r="AR124" s="3">
        <f>Д402[[#This Row],[Стоимость ОН без отделки со скидкой]]/Д402[[#This Row],[Расчетная проектная площадь]]</f>
        <v>129699.69969969969</v>
      </c>
      <c r="AS124" s="3">
        <f>Д402[[#This Row],[Стоимость до скидки]]-Д402[[#This Row],[Итоговая сумма скидки]]</f>
        <v>4750900</v>
      </c>
      <c r="AT12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4" s="153"/>
      <c r="AV124" s="153"/>
      <c r="AW124" s="3">
        <f>Д402[[#This Row],[Цена м2 без отделки со скидкой]]+Д402[[#This Row],[Стоимость отделки]]</f>
        <v>129699.69969969969</v>
      </c>
      <c r="AX124" s="3">
        <f>Д402[[#This Row],[Стоимость квартиры с отделкой]]-Д402[[#This Row],[Стоимость ОН без отделки со скидкой]]</f>
        <v>0</v>
      </c>
      <c r="AY124" s="3">
        <f>Д402[[#This Row],[Цена м2 с отделкой]]*Д402[[#This Row],[Расчетная проектная площадь]]</f>
        <v>4750900</v>
      </c>
      <c r="AZ124" s="161"/>
      <c r="BA124" s="155" t="s">
        <v>12</v>
      </c>
      <c r="BB124" s="156" t="str" cm="1">
        <f t="array" ref="BB12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4" s="161" t="s">
        <v>738</v>
      </c>
      <c r="BD124" s="161" t="s">
        <v>739</v>
      </c>
      <c r="BE124" s="161" t="s">
        <v>737</v>
      </c>
      <c r="BF124" s="161" t="s">
        <v>746</v>
      </c>
      <c r="BG124" s="161" t="b">
        <f>EXACT(Д402[[#This Row],[Статусы CRM]],Д402[[#This Row],[Статус]])</f>
        <v>1</v>
      </c>
      <c r="BH124" s="3">
        <f>IF(Д402[[#This Row],[ПС]]=0,IF(Д402[[#This Row],[ДС]]=0,Д402[[#This Row],[ТС]],Д402[[#This Row],[ДС]]),Д402[[#This Row],[ПС]])</f>
        <v>4750900</v>
      </c>
      <c r="BI124" s="3">
        <v>4750900</v>
      </c>
      <c r="BJ124" s="3">
        <v>0</v>
      </c>
      <c r="BK124" s="3">
        <v>0</v>
      </c>
      <c r="BL124" s="273">
        <f>Д402[[#This Row],[Стоимость CRM]]-Д402[[#This Row],[Стоимость до скидки]]</f>
        <v>0</v>
      </c>
      <c r="BM124" s="161" t="s">
        <v>9</v>
      </c>
      <c r="BN124" s="161" t="b">
        <f>Д402[[#This Row],[Отделка CRM]]=Д402[[#This Row],[Отделка]]</f>
        <v>1</v>
      </c>
      <c r="BO124" s="275" t="s">
        <v>256</v>
      </c>
      <c r="BP124" s="69"/>
    </row>
    <row r="125" spans="1:68" ht="12" customHeight="1" x14ac:dyDescent="0.25">
      <c r="A125" s="140">
        <v>123</v>
      </c>
      <c r="B125" s="15">
        <v>2</v>
      </c>
      <c r="C125" s="141">
        <f t="shared" si="4"/>
        <v>4</v>
      </c>
      <c r="D125" s="142">
        <v>3</v>
      </c>
      <c r="E125" s="141">
        <v>0</v>
      </c>
      <c r="F125" s="143">
        <v>13.94</v>
      </c>
      <c r="G125" s="143"/>
      <c r="H125" s="143"/>
      <c r="I125" s="144">
        <f>SUM(Д402[[#This Row],[Комната 1]:[Комната 3]])</f>
        <v>13.94</v>
      </c>
      <c r="J125" s="145">
        <v>5.98</v>
      </c>
      <c r="K125" s="145">
        <v>4.54</v>
      </c>
      <c r="L125" s="145"/>
      <c r="M125" s="145">
        <v>5.04</v>
      </c>
      <c r="N125" s="145"/>
      <c r="O125" s="145"/>
      <c r="P125" s="146"/>
      <c r="Q125" s="146"/>
      <c r="R125" s="146">
        <f>SUM(Д402[[#This Row],[Лоджия 1]:[Лоджия 3]])</f>
        <v>0</v>
      </c>
      <c r="S125" s="10">
        <f>ROUND(SUM(Д402[[#This Row],[Площадь по проекту жилая]:[Лоджия 3]]),2)</f>
        <v>29.5</v>
      </c>
      <c r="T125" s="10">
        <f>ROUND(Д402[[#This Row],[Площадь по проекту(общая)]]-Д402[[#This Row],[Летние]],2)</f>
        <v>29.5</v>
      </c>
      <c r="U125" s="10">
        <f>ROUND(Д402[[#This Row],[Площадь по проекту(общая)]]-(SUM(Д402[[#This Row],[Лоджия 1]:[Лоджия 3]])/2),2)</f>
        <v>29.5</v>
      </c>
      <c r="V125" s="10">
        <f>VLOOKUP(Д402[[#This Row],[№]],наценка7[],COLUMN(наценка7[[#This Row],[Цена м2 с учетом всех K]]),0)</f>
        <v>145319.20000000001</v>
      </c>
      <c r="W125" s="162"/>
      <c r="X125" s="10">
        <f>Д402[[#This Row],[м2 после К]]+Д402[[#This Row],[02.12.2024]]</f>
        <v>145319.20000000001</v>
      </c>
      <c r="Y125" s="149">
        <v>1000</v>
      </c>
      <c r="Z125" s="10">
        <f>Д402[[#This Row],[Фикс 20.12.24]]+Д402[[#This Row],[23.12.24 СП +1000]]</f>
        <v>146319.20000000001</v>
      </c>
      <c r="AA125" s="149">
        <v>215</v>
      </c>
      <c r="AB125" s="10">
        <f>Д402[[#This Row],[Фикс 23.12.24]]+Д402[[#This Row],[Повышение 20.02.25]]</f>
        <v>146534.20000000001</v>
      </c>
      <c r="AC125" s="149">
        <v>17.5</v>
      </c>
      <c r="AD125" s="10">
        <f>Д402[[#This Row],[Фикс 20.02.25]]+Д402[[#This Row],[Повышение 24.02.2025]]</f>
        <v>146551.70000000001</v>
      </c>
      <c r="AE125" s="10"/>
      <c r="AF125" s="10">
        <f>Д402[[#This Row],[Фикс 24.02.25]]+Д402[[#This Row],[Повышение 05.03.2025
1К: до 40м - 1,5%, 40+ 0,5%
2К - 0,5% ]]</f>
        <v>146551.70000000001</v>
      </c>
      <c r="AG125" s="10"/>
      <c r="AH125" s="10">
        <f>Д402[[#This Row],[Фикс 05.03.25]]+Д402[[#This Row],[повышение 14.03.25 1К-1%]]</f>
        <v>146551.70000000001</v>
      </c>
      <c r="AI125" s="10"/>
      <c r="AJ125" s="10">
        <f>Д402[[#This Row],[Фикс 14.03.25]]+Д402[[#This Row],[повышение 28.03.25 1К-1%]]</f>
        <v>146551.70000000001</v>
      </c>
      <c r="AK125" s="10"/>
      <c r="AL125" s="10">
        <f>Д402[[#This Row],[Фикс 28.03.25]]+Д402[[#This Row],[Повышение 23.07.25
1К 43-46м2 - 2%
2К 55-58 - 2%; 58-64 - 3%
3К 76-79 - 2%
]]</f>
        <v>146551.70000000001</v>
      </c>
      <c r="AM125" s="149">
        <f>ROUND(Д402[[#This Row],[Фикс 23.07.25]],2)</f>
        <v>146551.70000000001</v>
      </c>
      <c r="AN125" s="149">
        <f>ROUNDUP(Д402[[#This Row],[утв цена м2]]*Д402[[#This Row],[Расчетная проектная площадь]],-2)</f>
        <v>4323300</v>
      </c>
      <c r="AO125" s="151"/>
      <c r="AP125" s="152"/>
      <c r="AQ125" s="151">
        <f>Д402[[#This Row],[Стоимость до скидки]]*Д402[[#This Row],[Скидка %]]+Д402[[#This Row],[Скидка фиксированная]]</f>
        <v>0</v>
      </c>
      <c r="AR125" s="3">
        <f>Д402[[#This Row],[Стоимость ОН без отделки со скидкой]]/Д402[[#This Row],[Расчетная проектная площадь]]</f>
        <v>146552.54237288135</v>
      </c>
      <c r="AS125" s="3">
        <f>Д402[[#This Row],[Стоимость до скидки]]-Д402[[#This Row],[Итоговая сумма скидки]]</f>
        <v>4323300</v>
      </c>
      <c r="AT12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5" s="153"/>
      <c r="AV125" s="153"/>
      <c r="AW125" s="3">
        <f>Д402[[#This Row],[Цена м2 без отделки со скидкой]]+Д402[[#This Row],[Стоимость отделки]]</f>
        <v>146552.54237288135</v>
      </c>
      <c r="AX125" s="3">
        <f>Д402[[#This Row],[Стоимость квартиры с отделкой]]-Д402[[#This Row],[Стоимость ОН без отделки со скидкой]]</f>
        <v>0</v>
      </c>
      <c r="AY125" s="3">
        <f>Д402[[#This Row],[Цена м2 с отделкой]]*Д402[[#This Row],[Расчетная проектная площадь]]</f>
        <v>4323300</v>
      </c>
      <c r="AZ125" s="161"/>
      <c r="BA125" s="155" t="s">
        <v>12</v>
      </c>
      <c r="BB125" s="156" t="str" cm="1">
        <f t="array" ref="BB12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5" s="161" t="s">
        <v>738</v>
      </c>
      <c r="BD125" s="161" t="s">
        <v>739</v>
      </c>
      <c r="BE125" s="161" t="s">
        <v>737</v>
      </c>
      <c r="BF125" s="161" t="s">
        <v>743</v>
      </c>
      <c r="BG125" s="161" t="b">
        <f>EXACT(Д402[[#This Row],[Статусы CRM]],Д402[[#This Row],[Статус]])</f>
        <v>1</v>
      </c>
      <c r="BH125" s="3">
        <f>IF(Д402[[#This Row],[ПС]]=0,IF(Д402[[#This Row],[ДС]]=0,Д402[[#This Row],[ТС]],Д402[[#This Row],[ДС]]),Д402[[#This Row],[ПС]])</f>
        <v>4323300</v>
      </c>
      <c r="BI125" s="3">
        <v>4323300</v>
      </c>
      <c r="BJ125" s="3">
        <v>0</v>
      </c>
      <c r="BK125" s="3">
        <v>0</v>
      </c>
      <c r="BL125" s="273">
        <f>Д402[[#This Row],[Стоимость CRM]]-Д402[[#This Row],[Стоимость до скидки]]</f>
        <v>0</v>
      </c>
      <c r="BM125" s="161" t="s">
        <v>9</v>
      </c>
      <c r="BN125" s="161" t="b">
        <f>Д402[[#This Row],[Отделка CRM]]=Д402[[#This Row],[Отделка]]</f>
        <v>1</v>
      </c>
      <c r="BO125" s="275" t="s">
        <v>257</v>
      </c>
      <c r="BP125" s="69"/>
    </row>
    <row r="126" spans="1:68" ht="12" customHeight="1" x14ac:dyDescent="0.25">
      <c r="A126" s="140">
        <v>124</v>
      </c>
      <c r="B126" s="15">
        <v>2</v>
      </c>
      <c r="C126" s="141">
        <f t="shared" si="4"/>
        <v>4</v>
      </c>
      <c r="D126" s="142">
        <v>4</v>
      </c>
      <c r="E126" s="141">
        <v>0</v>
      </c>
      <c r="F126" s="143">
        <v>13.39</v>
      </c>
      <c r="G126" s="143"/>
      <c r="H126" s="143"/>
      <c r="I126" s="144">
        <f>SUM(Д402[[#This Row],[Комната 1]:[Комната 3]])</f>
        <v>13.39</v>
      </c>
      <c r="J126" s="145">
        <v>5.98</v>
      </c>
      <c r="K126" s="145">
        <v>4.54</v>
      </c>
      <c r="L126" s="145"/>
      <c r="M126" s="145">
        <v>4.08</v>
      </c>
      <c r="N126" s="145"/>
      <c r="O126" s="145"/>
      <c r="P126" s="146"/>
      <c r="Q126" s="146"/>
      <c r="R126" s="146">
        <f>SUM(Д402[[#This Row],[Лоджия 1]:[Лоджия 3]])</f>
        <v>0</v>
      </c>
      <c r="S126" s="10">
        <f>ROUND(SUM(Д402[[#This Row],[Площадь по проекту жилая]:[Лоджия 3]]),2)</f>
        <v>27.99</v>
      </c>
      <c r="T126" s="10">
        <f>ROUND(Д402[[#This Row],[Площадь по проекту(общая)]]-Д402[[#This Row],[Летние]],2)</f>
        <v>27.99</v>
      </c>
      <c r="U126" s="10">
        <f>ROUND(Д402[[#This Row],[Площадь по проекту(общая)]]-(SUM(Д402[[#This Row],[Лоджия 1]:[Лоджия 3]])/2),2)</f>
        <v>27.99</v>
      </c>
      <c r="V126" s="10">
        <f>VLOOKUP(Д402[[#This Row],[№]],наценка7[],COLUMN(наценка7[[#This Row],[Цена м2 с учетом всех K]]),0)</f>
        <v>142524.6</v>
      </c>
      <c r="W126" s="162"/>
      <c r="X126" s="10">
        <f>Д402[[#This Row],[м2 после К]]+Д402[[#This Row],[02.12.2024]]</f>
        <v>142524.6</v>
      </c>
      <c r="Y126" s="149">
        <v>1000</v>
      </c>
      <c r="Z126" s="10">
        <f>Д402[[#This Row],[Фикс 20.12.24]]+Д402[[#This Row],[23.12.24 СП +1000]]</f>
        <v>143524.6</v>
      </c>
      <c r="AA126" s="149">
        <v>215</v>
      </c>
      <c r="AB126" s="10">
        <f>Д402[[#This Row],[Фикс 23.12.24]]+Д402[[#This Row],[Повышение 20.02.25]]</f>
        <v>143739.6</v>
      </c>
      <c r="AC126" s="149">
        <v>17.5</v>
      </c>
      <c r="AD126" s="10">
        <f>Д402[[#This Row],[Фикс 20.02.25]]+Д402[[#This Row],[Повышение 24.02.2025]]</f>
        <v>143757.1</v>
      </c>
      <c r="AE126" s="10"/>
      <c r="AF126" s="10">
        <f>Д402[[#This Row],[Фикс 24.02.25]]+Д402[[#This Row],[Повышение 05.03.2025
1К: до 40м - 1,5%, 40+ 0,5%
2К - 0,5% ]]</f>
        <v>143757.1</v>
      </c>
      <c r="AG126" s="10"/>
      <c r="AH126" s="10">
        <f>Д402[[#This Row],[Фикс 05.03.25]]+Д402[[#This Row],[повышение 14.03.25 1К-1%]]</f>
        <v>143757.1</v>
      </c>
      <c r="AI126" s="10"/>
      <c r="AJ126" s="10">
        <f>Д402[[#This Row],[Фикс 14.03.25]]+Д402[[#This Row],[повышение 28.03.25 1К-1%]]</f>
        <v>143757.1</v>
      </c>
      <c r="AK126" s="10"/>
      <c r="AL126" s="10">
        <f>Д402[[#This Row],[Фикс 28.03.25]]+Д402[[#This Row],[Повышение 23.07.25
1К 43-46м2 - 2%
2К 55-58 - 2%; 58-64 - 3%
3К 76-79 - 2%
]]</f>
        <v>143757.1</v>
      </c>
      <c r="AM126" s="149">
        <f>ROUND(Д402[[#This Row],[Фикс 23.07.25]],2)</f>
        <v>143757.1</v>
      </c>
      <c r="AN126" s="149">
        <f>ROUNDUP(Д402[[#This Row],[утв цена м2]]*Д402[[#This Row],[Расчетная проектная площадь]],-2)</f>
        <v>4023800</v>
      </c>
      <c r="AO126" s="151"/>
      <c r="AP126" s="152"/>
      <c r="AQ126" s="151">
        <f>Д402[[#This Row],[Стоимость до скидки]]*Д402[[#This Row],[Скидка %]]+Д402[[#This Row],[Скидка фиксированная]]</f>
        <v>0</v>
      </c>
      <c r="AR126" s="3">
        <f>Д402[[#This Row],[Стоимость ОН без отделки со скидкой]]/Д402[[#This Row],[Расчетная проектная площадь]]</f>
        <v>143758.48517327619</v>
      </c>
      <c r="AS126" s="3">
        <f>Д402[[#This Row],[Стоимость до скидки]]-Д402[[#This Row],[Итоговая сумма скидки]]</f>
        <v>4023800</v>
      </c>
      <c r="AT12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6" s="153"/>
      <c r="AV126" s="153"/>
      <c r="AW126" s="3">
        <f>Д402[[#This Row],[Цена м2 без отделки со скидкой]]+Д402[[#This Row],[Стоимость отделки]]</f>
        <v>143758.48517327619</v>
      </c>
      <c r="AX126" s="3">
        <f>Д402[[#This Row],[Стоимость квартиры с отделкой]]-Д402[[#This Row],[Стоимость ОН без отделки со скидкой]]</f>
        <v>0</v>
      </c>
      <c r="AY126" s="3">
        <f>Д402[[#This Row],[Цена м2 с отделкой]]*Д402[[#This Row],[Расчетная проектная площадь]]</f>
        <v>4023800.0000000005</v>
      </c>
      <c r="AZ126" s="161"/>
      <c r="BA126" s="155" t="s">
        <v>12</v>
      </c>
      <c r="BB126" s="156" t="str" cm="1">
        <f t="array" ref="BB12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6" s="161" t="s">
        <v>738</v>
      </c>
      <c r="BD126" s="161" t="s">
        <v>739</v>
      </c>
      <c r="BE126" s="161" t="s">
        <v>737</v>
      </c>
      <c r="BF126" s="161" t="s">
        <v>743</v>
      </c>
      <c r="BG126" s="161" t="b">
        <f>EXACT(Д402[[#This Row],[Статусы CRM]],Д402[[#This Row],[Статус]])</f>
        <v>1</v>
      </c>
      <c r="BH126" s="3">
        <f>IF(Д402[[#This Row],[ПС]]=0,IF(Д402[[#This Row],[ДС]]=0,Д402[[#This Row],[ТС]],Д402[[#This Row],[ДС]]),Д402[[#This Row],[ПС]])</f>
        <v>4023800</v>
      </c>
      <c r="BI126" s="3">
        <v>4023800</v>
      </c>
      <c r="BJ126" s="3">
        <v>0</v>
      </c>
      <c r="BK126" s="3">
        <v>0</v>
      </c>
      <c r="BL126" s="273">
        <f>Д402[[#This Row],[Стоимость CRM]]-Д402[[#This Row],[Стоимость до скидки]]</f>
        <v>0</v>
      </c>
      <c r="BM126" s="161" t="s">
        <v>9</v>
      </c>
      <c r="BN126" s="161" t="b">
        <f>Д402[[#This Row],[Отделка CRM]]=Д402[[#This Row],[Отделка]]</f>
        <v>1</v>
      </c>
      <c r="BO126" s="275" t="s">
        <v>258</v>
      </c>
      <c r="BP126" s="69"/>
    </row>
    <row r="127" spans="1:68" ht="12" customHeight="1" x14ac:dyDescent="0.25">
      <c r="A127" s="140">
        <v>125</v>
      </c>
      <c r="B127" s="15">
        <v>2</v>
      </c>
      <c r="C127" s="141">
        <f t="shared" si="4"/>
        <v>4</v>
      </c>
      <c r="D127" s="142">
        <v>5</v>
      </c>
      <c r="E127" s="141">
        <v>2</v>
      </c>
      <c r="F127" s="143">
        <v>16.579999999999998</v>
      </c>
      <c r="G127" s="143">
        <v>14.14</v>
      </c>
      <c r="H127" s="143"/>
      <c r="I127" s="144">
        <f>SUM(Д402[[#This Row],[Комната 1]:[Комната 3]])</f>
        <v>30.72</v>
      </c>
      <c r="J127" s="145">
        <v>12.38</v>
      </c>
      <c r="K127" s="145">
        <v>4.1399999999999997</v>
      </c>
      <c r="L127" s="145"/>
      <c r="M127" s="145">
        <v>7.61</v>
      </c>
      <c r="N127" s="145">
        <v>7.03</v>
      </c>
      <c r="O127" s="145">
        <v>3.11</v>
      </c>
      <c r="P127" s="146"/>
      <c r="Q127" s="146"/>
      <c r="R127" s="146">
        <f>SUM(Д402[[#This Row],[Лоджия 1]:[Лоджия 3]])</f>
        <v>3.11</v>
      </c>
      <c r="S127" s="10">
        <f>ROUND(SUM(Д402[[#This Row],[Площадь по проекту жилая]:[Лоджия 3]]),2)</f>
        <v>64.989999999999995</v>
      </c>
      <c r="T127" s="10">
        <f>ROUND(Д402[[#This Row],[Площадь по проекту(общая)]]-Д402[[#This Row],[Летние]],2)</f>
        <v>61.88</v>
      </c>
      <c r="U127" s="10">
        <f>ROUND(Д402[[#This Row],[Площадь по проекту(общая)]]-(SUM(Д402[[#This Row],[Лоджия 1]:[Лоджия 3]])/2),2)</f>
        <v>63.44</v>
      </c>
      <c r="V127" s="10">
        <f>VLOOKUP(Д402[[#This Row],[№]],наценка7[],COLUMN(наценка7[[#This Row],[Цена м2 с учетом всех K]]),0)</f>
        <v>122072.4</v>
      </c>
      <c r="W127" s="162">
        <v>-7000</v>
      </c>
      <c r="X127" s="10">
        <f>Д402[[#This Row],[м2 после К]]+Д402[[#This Row],[02.12.2024]]</f>
        <v>115072.4</v>
      </c>
      <c r="Y127" s="149">
        <v>1000</v>
      </c>
      <c r="Z127" s="10">
        <f>Д402[[#This Row],[Фикс 20.12.24]]+Д402[[#This Row],[23.12.24 СП +1000]]</f>
        <v>116072.4</v>
      </c>
      <c r="AA127" s="149">
        <v>215</v>
      </c>
      <c r="AB127" s="10">
        <f>Д402[[#This Row],[Фикс 23.12.24]]+Д402[[#This Row],[Повышение 20.02.25]]</f>
        <v>116287.4</v>
      </c>
      <c r="AC127" s="149">
        <v>17.5</v>
      </c>
      <c r="AD127" s="10">
        <f>Д402[[#This Row],[Фикс 20.02.25]]+Д402[[#This Row],[Повышение 24.02.2025]]</f>
        <v>116304.9</v>
      </c>
      <c r="AE127" s="149">
        <f>Д402[[#This Row],[Фикс 24.02.25]]*0.5%</f>
        <v>581.52449999999999</v>
      </c>
      <c r="AF127" s="10">
        <f>Д402[[#This Row],[Фикс 24.02.25]]+Д402[[#This Row],[Повышение 05.03.2025
1К: до 40м - 1,5%, 40+ 0,5%
2К - 0,5% ]]</f>
        <v>116886.42449999999</v>
      </c>
      <c r="AG127" s="10"/>
      <c r="AH127" s="10">
        <f>Д402[[#This Row],[Фикс 05.03.25]]+Д402[[#This Row],[повышение 14.03.25 1К-1%]]</f>
        <v>116886.42449999999</v>
      </c>
      <c r="AI127" s="10"/>
      <c r="AJ127" s="10">
        <f>Д402[[#This Row],[Фикс 14.03.25]]+Д402[[#This Row],[повышение 28.03.25 1К-1%]]</f>
        <v>116886.42449999999</v>
      </c>
      <c r="AK127" s="10">
        <f>Д402[[#This Row],[Фикс 28.03.25]]*3%</f>
        <v>3506.5927349999997</v>
      </c>
      <c r="AL127" s="10">
        <f>Д402[[#This Row],[Фикс 28.03.25]]+Д402[[#This Row],[Повышение 23.07.25
1К 43-46м2 - 2%
2К 55-58 - 2%; 58-64 - 3%
3К 76-79 - 2%
]]</f>
        <v>120393.01723499999</v>
      </c>
      <c r="AM127" s="149">
        <f>ROUND(Д402[[#This Row],[Фикс 23.07.25]],2)</f>
        <v>120393.02</v>
      </c>
      <c r="AN127" s="149">
        <f>ROUNDUP(Д402[[#This Row],[утв цена м2]]*Д402[[#This Row],[Расчетная проектная площадь]],-2)</f>
        <v>7637800</v>
      </c>
      <c r="AO127" s="151"/>
      <c r="AP127" s="152"/>
      <c r="AQ127" s="151">
        <f>Д402[[#This Row],[Стоимость до скидки]]*Д402[[#This Row],[Скидка %]]+Д402[[#This Row],[Скидка фиксированная]]</f>
        <v>0</v>
      </c>
      <c r="AR127" s="3">
        <f>Д402[[#This Row],[Стоимость ОН без отделки со скидкой]]/Д402[[#This Row],[Расчетная проектная площадь]]</f>
        <v>120394.07313997479</v>
      </c>
      <c r="AS127" s="3">
        <f>Д402[[#This Row],[Стоимость до скидки]]-Д402[[#This Row],[Итоговая сумма скидки]]</f>
        <v>7637800</v>
      </c>
      <c r="AT12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7" s="153"/>
      <c r="AV127" s="153"/>
      <c r="AW127" s="3">
        <f>Д402[[#This Row],[Цена м2 без отделки со скидкой]]+Д402[[#This Row],[Стоимость отделки]]</f>
        <v>120394.07313997479</v>
      </c>
      <c r="AX127" s="3">
        <f>Д402[[#This Row],[Стоимость квартиры с отделкой]]-Д402[[#This Row],[Стоимость ОН без отделки со скидкой]]</f>
        <v>0</v>
      </c>
      <c r="AY127" s="3">
        <f>Д402[[#This Row],[Цена м2 с отделкой]]*Д402[[#This Row],[Расчетная проектная площадь]]</f>
        <v>7637800</v>
      </c>
      <c r="AZ127" s="161"/>
      <c r="BA127" s="269" t="s">
        <v>12</v>
      </c>
      <c r="BB127" s="269" t="str" cm="1">
        <f t="array" ref="BB12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7" s="161" t="s">
        <v>738</v>
      </c>
      <c r="BD127" s="161" t="s">
        <v>739</v>
      </c>
      <c r="BE127" s="161" t="s">
        <v>737</v>
      </c>
      <c r="BF127" s="161" t="s">
        <v>747</v>
      </c>
      <c r="BG127" s="161" t="b">
        <f>EXACT(Д402[[#This Row],[Статусы CRM]],Д402[[#This Row],[Статус]])</f>
        <v>1</v>
      </c>
      <c r="BH127" s="3">
        <f>IF(Д402[[#This Row],[ПС]]=0,IF(Д402[[#This Row],[ДС]]=0,Д402[[#This Row],[ТС]],Д402[[#This Row],[ДС]]),Д402[[#This Row],[ПС]])</f>
        <v>7637800</v>
      </c>
      <c r="BI127" s="3">
        <v>7637800</v>
      </c>
      <c r="BJ127" s="3">
        <v>0</v>
      </c>
      <c r="BK127" s="3">
        <v>0</v>
      </c>
      <c r="BL127" s="273">
        <f>Д402[[#This Row],[Стоимость CRM]]-Д402[[#This Row],[Стоимость до скидки]]</f>
        <v>0</v>
      </c>
      <c r="BM127" s="161" t="s">
        <v>9</v>
      </c>
      <c r="BN127" s="161" t="b">
        <f>Д402[[#This Row],[Отделка CRM]]=Д402[[#This Row],[Отделка]]</f>
        <v>1</v>
      </c>
      <c r="BO127" s="275" t="s">
        <v>259</v>
      </c>
      <c r="BP127" s="69"/>
    </row>
    <row r="128" spans="1:68" ht="12" customHeight="1" x14ac:dyDescent="0.25">
      <c r="A128" s="140">
        <v>126</v>
      </c>
      <c r="B128" s="15">
        <v>2</v>
      </c>
      <c r="C128" s="141">
        <f t="shared" si="4"/>
        <v>4</v>
      </c>
      <c r="D128" s="142">
        <v>6</v>
      </c>
      <c r="E128" s="141">
        <v>2</v>
      </c>
      <c r="F128" s="143">
        <v>17.73</v>
      </c>
      <c r="G128" s="143">
        <v>12.22</v>
      </c>
      <c r="H128" s="143"/>
      <c r="I128" s="144">
        <f>SUM(Д402[[#This Row],[Комната 1]:[Комната 3]])</f>
        <v>29.950000000000003</v>
      </c>
      <c r="J128" s="145">
        <v>13.65</v>
      </c>
      <c r="K128" s="145">
        <v>5.22</v>
      </c>
      <c r="L128" s="145">
        <v>2.5</v>
      </c>
      <c r="M128" s="145">
        <v>8.06</v>
      </c>
      <c r="N128" s="145"/>
      <c r="O128" s="145">
        <v>3.11</v>
      </c>
      <c r="P128" s="146"/>
      <c r="Q128" s="146"/>
      <c r="R128" s="146">
        <f>SUM(Д402[[#This Row],[Лоджия 1]:[Лоджия 3]])</f>
        <v>3.11</v>
      </c>
      <c r="S128" s="10">
        <f>ROUND(SUM(Д402[[#This Row],[Площадь по проекту жилая]:[Лоджия 3]]),2)</f>
        <v>62.49</v>
      </c>
      <c r="T128" s="10">
        <f>ROUND(Д402[[#This Row],[Площадь по проекту(общая)]]-Д402[[#This Row],[Летние]],2)</f>
        <v>59.38</v>
      </c>
      <c r="U128" s="10">
        <f>ROUND(Д402[[#This Row],[Площадь по проекту(общая)]]-(SUM(Д402[[#This Row],[Лоджия 1]:[Лоджия 3]])/2),2)</f>
        <v>60.94</v>
      </c>
      <c r="V128" s="10">
        <f>VLOOKUP(Д402[[#This Row],[№]],наценка7[],COLUMN(наценка7[[#This Row],[Цена м2 с учетом всех K]]),0)</f>
        <v>126593.60000000001</v>
      </c>
      <c r="W128" s="162">
        <v>-10000</v>
      </c>
      <c r="X128" s="10">
        <f>Д402[[#This Row],[м2 после К]]+Д402[[#This Row],[02.12.2024]]</f>
        <v>116593.60000000001</v>
      </c>
      <c r="Y128" s="149">
        <v>1000</v>
      </c>
      <c r="Z128" s="10">
        <f>Д402[[#This Row],[Фикс 20.12.24]]+Д402[[#This Row],[23.12.24 СП +1000]]</f>
        <v>117593.60000000001</v>
      </c>
      <c r="AA128" s="149">
        <v>215</v>
      </c>
      <c r="AB128" s="10">
        <f>Д402[[#This Row],[Фикс 23.12.24]]+Д402[[#This Row],[Повышение 20.02.25]]</f>
        <v>117808.6</v>
      </c>
      <c r="AC128" s="149">
        <v>17.5</v>
      </c>
      <c r="AD128" s="10">
        <f>Д402[[#This Row],[Фикс 20.02.25]]+Д402[[#This Row],[Повышение 24.02.2025]]</f>
        <v>117826.1</v>
      </c>
      <c r="AE128" s="149">
        <f>Д402[[#This Row],[Фикс 24.02.25]]*0.5%</f>
        <v>589.1305000000001</v>
      </c>
      <c r="AF128" s="10">
        <f>Д402[[#This Row],[Фикс 24.02.25]]+Д402[[#This Row],[Повышение 05.03.2025
1К: до 40м - 1,5%, 40+ 0,5%
2К - 0,5% ]]</f>
        <v>118415.23050000001</v>
      </c>
      <c r="AG128" s="10"/>
      <c r="AH128" s="10">
        <f>Д402[[#This Row],[Фикс 05.03.25]]+Д402[[#This Row],[повышение 14.03.25 1К-1%]]</f>
        <v>118415.23050000001</v>
      </c>
      <c r="AI128" s="10"/>
      <c r="AJ128" s="10">
        <f>Д402[[#This Row],[Фикс 14.03.25]]+Д402[[#This Row],[повышение 28.03.25 1К-1%]]</f>
        <v>118415.23050000001</v>
      </c>
      <c r="AK128" s="10"/>
      <c r="AL128" s="10">
        <f>Д402[[#This Row],[Фикс 28.03.25]]+Д402[[#This Row],[Повышение 23.07.25
1К 43-46м2 - 2%
2К 55-58 - 2%; 58-64 - 3%
3К 76-79 - 2%
]]</f>
        <v>118415.23050000001</v>
      </c>
      <c r="AM128" s="149">
        <f>ROUND(Д402[[#This Row],[Фикс 23.07.25]],2)</f>
        <v>118415.23</v>
      </c>
      <c r="AN128" s="149">
        <f>ROUNDUP(Д402[[#This Row],[утв цена м2]]*Д402[[#This Row],[Расчетная проектная площадь]],-2)</f>
        <v>7216300</v>
      </c>
      <c r="AO128" s="151"/>
      <c r="AP128" s="152">
        <v>0.02</v>
      </c>
      <c r="AQ128" s="151">
        <f>Д402[[#This Row],[Стоимость до скидки]]*Д402[[#This Row],[Скидка %]]+Д402[[#This Row],[Скидка фиксированная]]</f>
        <v>144326</v>
      </c>
      <c r="AR128" s="3">
        <f>Д402[[#This Row],[Стоимость ОН без отделки со скидкой]]/Д402[[#This Row],[Расчетная проектная площадь]]</f>
        <v>116048.14571709879</v>
      </c>
      <c r="AS128" s="3">
        <f>Д402[[#This Row],[Стоимость до скидки]]-Д402[[#This Row],[Итоговая сумма скидки]]</f>
        <v>7071974</v>
      </c>
      <c r="AT12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128" s="153">
        <v>10000</v>
      </c>
      <c r="AV128" s="153"/>
      <c r="AW128" s="3">
        <f>Д402[[#This Row],[Цена м2 без отделки со скидкой]]+Д402[[#This Row],[Стоимость отделки]]</f>
        <v>126048.14571709879</v>
      </c>
      <c r="AX128" s="3">
        <f>Д402[[#This Row],[Стоимость квартиры с отделкой]]-Д402[[#This Row],[Стоимость ОН без отделки со скидкой]]</f>
        <v>609400</v>
      </c>
      <c r="AY128" s="3">
        <f>Д402[[#This Row],[Цена м2 с отделкой]]*Д402[[#This Row],[Расчетная проектная площадь]]</f>
        <v>7681374</v>
      </c>
      <c r="AZ128" s="161" t="s">
        <v>424</v>
      </c>
      <c r="BA128" s="269" t="s">
        <v>426</v>
      </c>
      <c r="BB128" s="269" t="str" cm="1">
        <f t="array" ref="BB12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28" s="161" t="s">
        <v>741</v>
      </c>
      <c r="BD128" s="161" t="s">
        <v>506</v>
      </c>
      <c r="BE128" s="161" t="s">
        <v>737</v>
      </c>
      <c r="BF128" s="161" t="s">
        <v>747</v>
      </c>
      <c r="BG128" s="161" t="b">
        <f>EXACT(Д402[[#This Row],[Статусы CRM]],Д402[[#This Row],[Статус]])</f>
        <v>1</v>
      </c>
      <c r="BH128" s="3">
        <f>IF(Д402[[#This Row],[ПС]]=0,IF(Д402[[#This Row],[ДС]]=0,Д402[[#This Row],[ТС]],Д402[[#This Row],[ДС]]),Д402[[#This Row],[ПС]])</f>
        <v>7216300</v>
      </c>
      <c r="BI128" s="3" t="s">
        <v>749</v>
      </c>
      <c r="BJ128" s="3">
        <v>0</v>
      </c>
      <c r="BK128" s="3">
        <v>7216300</v>
      </c>
      <c r="BL128" s="273">
        <f>Д402[[#This Row],[Стоимость CRM]]-Д402[[#This Row],[Стоимость до скидки]]</f>
        <v>0</v>
      </c>
      <c r="BM128" s="161" t="s">
        <v>718</v>
      </c>
      <c r="BN128" s="161" t="b">
        <f>Д402[[#This Row],[Отделка CRM]]=Д402[[#This Row],[Отделка]]</f>
        <v>1</v>
      </c>
      <c r="BO128" s="275" t="s">
        <v>260</v>
      </c>
      <c r="BP128" s="69"/>
    </row>
    <row r="129" spans="1:68" ht="12" customHeight="1" x14ac:dyDescent="0.25">
      <c r="A129" s="140">
        <v>127</v>
      </c>
      <c r="B129" s="15">
        <v>2</v>
      </c>
      <c r="C129" s="141">
        <f t="shared" si="4"/>
        <v>5</v>
      </c>
      <c r="D129" s="142">
        <v>1</v>
      </c>
      <c r="E129" s="141">
        <v>2</v>
      </c>
      <c r="F129" s="143">
        <v>17.579999999999998</v>
      </c>
      <c r="G129" s="143">
        <v>14.37</v>
      </c>
      <c r="H129" s="143"/>
      <c r="I129" s="144">
        <f>SUM(Д402[[#This Row],[Комната 1]:[Комната 3]])</f>
        <v>31.949999999999996</v>
      </c>
      <c r="J129" s="145">
        <v>14.29</v>
      </c>
      <c r="K129" s="145">
        <v>4.5199999999999996</v>
      </c>
      <c r="L129" s="145"/>
      <c r="M129" s="145">
        <v>8.64</v>
      </c>
      <c r="N129" s="145">
        <v>4.76</v>
      </c>
      <c r="O129" s="145">
        <v>3.11</v>
      </c>
      <c r="P129" s="146"/>
      <c r="Q129" s="146"/>
      <c r="R129" s="146">
        <f>SUM(Д402[[#This Row],[Лоджия 1]:[Лоджия 3]])</f>
        <v>3.11</v>
      </c>
      <c r="S129" s="10">
        <f>ROUND(SUM(Д402[[#This Row],[Площадь по проекту жилая]:[Лоджия 3]]),2)</f>
        <v>67.27</v>
      </c>
      <c r="T129" s="10">
        <f>ROUND(Д402[[#This Row],[Площадь по проекту(общая)]]-Д402[[#This Row],[Летние]],2)</f>
        <v>64.16</v>
      </c>
      <c r="U129" s="10">
        <f>ROUND(Д402[[#This Row],[Площадь по проекту(общая)]]-(SUM(Д402[[#This Row],[Лоджия 1]:[Лоджия 3]])/2),2)</f>
        <v>65.72</v>
      </c>
      <c r="V129" s="10">
        <f>VLOOKUP(Д402[[#This Row],[№]],наценка7[],COLUMN(наценка7[[#This Row],[Цена м2 с учетом всех K]]),0)</f>
        <v>119811.8</v>
      </c>
      <c r="W129" s="162"/>
      <c r="X129" s="10">
        <f>Д402[[#This Row],[м2 после К]]+Д402[[#This Row],[02.12.2024]]</f>
        <v>119811.8</v>
      </c>
      <c r="Y129" s="149">
        <v>1000</v>
      </c>
      <c r="Z129" s="10">
        <f>Д402[[#This Row],[Фикс 20.12.24]]+Д402[[#This Row],[23.12.24 СП +1000]]</f>
        <v>120811.8</v>
      </c>
      <c r="AA129" s="149">
        <v>215</v>
      </c>
      <c r="AB129" s="10">
        <f>Д402[[#This Row],[Фикс 23.12.24]]+Д402[[#This Row],[Повышение 20.02.25]]</f>
        <v>121026.8</v>
      </c>
      <c r="AC129" s="149">
        <v>17.5</v>
      </c>
      <c r="AD129" s="10">
        <f>Д402[[#This Row],[Фикс 20.02.25]]+Д402[[#This Row],[Повышение 24.02.2025]]</f>
        <v>121044.3</v>
      </c>
      <c r="AE129" s="149">
        <f>Д402[[#This Row],[Фикс 24.02.25]]*0.5%</f>
        <v>605.22149999999999</v>
      </c>
      <c r="AF129" s="10">
        <f>Д402[[#This Row],[Фикс 24.02.25]]+Д402[[#This Row],[Повышение 05.03.2025
1К: до 40м - 1,5%, 40+ 0,5%
2К - 0,5% ]]</f>
        <v>121649.5215</v>
      </c>
      <c r="AG129" s="10"/>
      <c r="AH129" s="10">
        <f>Д402[[#This Row],[Фикс 05.03.25]]+Д402[[#This Row],[повышение 14.03.25 1К-1%]]</f>
        <v>121649.5215</v>
      </c>
      <c r="AI129" s="10"/>
      <c r="AJ129" s="10">
        <f>Д402[[#This Row],[Фикс 14.03.25]]+Д402[[#This Row],[повышение 28.03.25 1К-1%]]</f>
        <v>121649.5215</v>
      </c>
      <c r="AK129" s="10"/>
      <c r="AL129" s="10">
        <f>Д402[[#This Row],[Фикс 28.03.25]]+Д402[[#This Row],[Повышение 23.07.25
1К 43-46м2 - 2%
2К 55-58 - 2%; 58-64 - 3%
3К 76-79 - 2%
]]</f>
        <v>121649.5215</v>
      </c>
      <c r="AM129" s="149">
        <f>ROUND(Д402[[#This Row],[Фикс 23.07.25]],2)</f>
        <v>121649.52</v>
      </c>
      <c r="AN129" s="149">
        <f>ROUNDUP(Д402[[#This Row],[утв цена м2]]*Д402[[#This Row],[Расчетная проектная площадь]],-2)</f>
        <v>7994900</v>
      </c>
      <c r="AO129" s="151"/>
      <c r="AP129" s="152"/>
      <c r="AQ129" s="151">
        <f>Д402[[#This Row],[Стоимость до скидки]]*Д402[[#This Row],[Скидка %]]+Д402[[#This Row],[Скидка фиксированная]]</f>
        <v>0</v>
      </c>
      <c r="AR129" s="3">
        <f>Д402[[#This Row],[Стоимость ОН без отделки со скидкой]]/Д402[[#This Row],[Расчетная проектная площадь]]</f>
        <v>121650.94339622642</v>
      </c>
      <c r="AS129" s="3">
        <f>Д402[[#This Row],[Стоимость до скидки]]-Д402[[#This Row],[Итоговая сумма скидки]]</f>
        <v>7994900</v>
      </c>
      <c r="AT12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29" s="153"/>
      <c r="AV129" s="153"/>
      <c r="AW129" s="3">
        <f>Д402[[#This Row],[Цена м2 без отделки со скидкой]]+Д402[[#This Row],[Стоимость отделки]]</f>
        <v>121650.94339622642</v>
      </c>
      <c r="AX129" s="3">
        <f>Д402[[#This Row],[Стоимость квартиры с отделкой]]-Д402[[#This Row],[Стоимость ОН без отделки со скидкой]]</f>
        <v>0</v>
      </c>
      <c r="AY129" s="3">
        <f>Д402[[#This Row],[Цена м2 с отделкой]]*Д402[[#This Row],[Расчетная проектная площадь]]</f>
        <v>7994900</v>
      </c>
      <c r="AZ129" s="161"/>
      <c r="BA129" s="155" t="s">
        <v>12</v>
      </c>
      <c r="BB129" s="156" t="str" cm="1">
        <f t="array" ref="BB12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29" s="161" t="s">
        <v>738</v>
      </c>
      <c r="BD129" s="161" t="s">
        <v>739</v>
      </c>
      <c r="BE129" s="161" t="s">
        <v>737</v>
      </c>
      <c r="BF129" s="161" t="s">
        <v>744</v>
      </c>
      <c r="BG129" s="161" t="b">
        <f>EXACT(Д402[[#This Row],[Статусы CRM]],Д402[[#This Row],[Статус]])</f>
        <v>1</v>
      </c>
      <c r="BH129" s="3">
        <f>IF(Д402[[#This Row],[ПС]]=0,IF(Д402[[#This Row],[ДС]]=0,Д402[[#This Row],[ТС]],Д402[[#This Row],[ДС]]),Д402[[#This Row],[ПС]])</f>
        <v>7994900</v>
      </c>
      <c r="BI129" s="3">
        <v>7994900</v>
      </c>
      <c r="BJ129" s="3">
        <v>0</v>
      </c>
      <c r="BK129" s="3">
        <v>0</v>
      </c>
      <c r="BL129" s="273">
        <f>Д402[[#This Row],[Стоимость CRM]]-Д402[[#This Row],[Стоимость до скидки]]</f>
        <v>0</v>
      </c>
      <c r="BM129" s="161" t="s">
        <v>9</v>
      </c>
      <c r="BN129" s="161" t="b">
        <f>Д402[[#This Row],[Отделка CRM]]=Д402[[#This Row],[Отделка]]</f>
        <v>1</v>
      </c>
      <c r="BO129" s="275" t="s">
        <v>261</v>
      </c>
      <c r="BP129" s="69"/>
    </row>
    <row r="130" spans="1:68" ht="12" customHeight="1" x14ac:dyDescent="0.25">
      <c r="A130" s="140">
        <v>128</v>
      </c>
      <c r="B130" s="175">
        <v>2</v>
      </c>
      <c r="C130" s="141">
        <f t="shared" si="4"/>
        <v>5</v>
      </c>
      <c r="D130" s="142">
        <v>2</v>
      </c>
      <c r="E130" s="141">
        <v>1</v>
      </c>
      <c r="F130" s="143">
        <v>14.77</v>
      </c>
      <c r="G130" s="143"/>
      <c r="H130" s="143"/>
      <c r="I130" s="144">
        <f>SUM(Д402[[#This Row],[Комната 1]:[Комната 3]])</f>
        <v>14.77</v>
      </c>
      <c r="J130" s="145">
        <v>11.88</v>
      </c>
      <c r="K130" s="145">
        <v>4.1399999999999997</v>
      </c>
      <c r="L130" s="145"/>
      <c r="M130" s="145">
        <v>4.28</v>
      </c>
      <c r="N130" s="145"/>
      <c r="O130" s="145">
        <v>3.11</v>
      </c>
      <c r="P130" s="146"/>
      <c r="Q130" s="146"/>
      <c r="R130" s="146">
        <f>SUM(Д402[[#This Row],[Лоджия 1]:[Лоджия 3]])</f>
        <v>3.11</v>
      </c>
      <c r="S130" s="10">
        <f>ROUND(SUM(Д402[[#This Row],[Площадь по проекту жилая]:[Лоджия 3]]),2)</f>
        <v>38.18</v>
      </c>
      <c r="T130" s="10">
        <f>ROUND(Д402[[#This Row],[Площадь по проекту(общая)]]-Д402[[#This Row],[Летние]],2)</f>
        <v>35.07</v>
      </c>
      <c r="U130" s="10">
        <f>ROUND(Д402[[#This Row],[Площадь по проекту(общая)]]-(SUM(Д402[[#This Row],[Лоджия 1]:[Лоджия 3]])/2),2)</f>
        <v>36.630000000000003</v>
      </c>
      <c r="V130" s="10">
        <f>VLOOKUP(Д402[[#This Row],[№]],наценка7[],COLUMN(наценка7[[#This Row],[Цена м2 с учетом всех K]]),0)</f>
        <v>125223</v>
      </c>
      <c r="W130" s="162"/>
      <c r="X130" s="10">
        <f>Д402[[#This Row],[м2 после К]]+Д402[[#This Row],[02.12.2024]]</f>
        <v>125223</v>
      </c>
      <c r="Y130" s="149">
        <v>1000</v>
      </c>
      <c r="Z130" s="10">
        <f>Д402[[#This Row],[Фикс 20.12.24]]+Д402[[#This Row],[23.12.24 СП +1000]]</f>
        <v>126223</v>
      </c>
      <c r="AA130" s="149">
        <v>215</v>
      </c>
      <c r="AB130" s="10">
        <f>Д402[[#This Row],[Фикс 23.12.24]]+Д402[[#This Row],[Повышение 20.02.25]]</f>
        <v>126438</v>
      </c>
      <c r="AC130" s="149">
        <v>17.5</v>
      </c>
      <c r="AD130" s="10">
        <f>Д402[[#This Row],[Фикс 20.02.25]]+Д402[[#This Row],[Повышение 24.02.2025]]</f>
        <v>126455.5</v>
      </c>
      <c r="AE130" s="149">
        <f>Д402[[#This Row],[Фикс 24.02.25]]*1.5%</f>
        <v>1896.8325</v>
      </c>
      <c r="AF130" s="10">
        <f>Д402[[#This Row],[Фикс 24.02.25]]+Д402[[#This Row],[Повышение 05.03.2025
1К: до 40м - 1,5%, 40+ 0,5%
2К - 0,5% ]]</f>
        <v>128352.3325</v>
      </c>
      <c r="AG130" s="149">
        <f>Д402[[#This Row],[Фикс 05.03.25]]*1%</f>
        <v>1283.5233250000001</v>
      </c>
      <c r="AH130" s="10">
        <f>Д402[[#This Row],[Фикс 05.03.25]]+Д402[[#This Row],[повышение 14.03.25 1К-1%]]</f>
        <v>129635.85582500001</v>
      </c>
      <c r="AI130" s="149">
        <f>Д402[[#This Row],[Фикс 14.03.25]]*1%</f>
        <v>1296.35855825</v>
      </c>
      <c r="AJ130" s="10">
        <f>Д402[[#This Row],[Фикс 14.03.25]]+Д402[[#This Row],[повышение 28.03.25 1К-1%]]</f>
        <v>130932.21438325</v>
      </c>
      <c r="AK130" s="10"/>
      <c r="AL130" s="10">
        <f>Д402[[#This Row],[Фикс 28.03.25]]+Д402[[#This Row],[Повышение 23.07.25
1К 43-46м2 - 2%
2К 55-58 - 2%; 58-64 - 3%
3К 76-79 - 2%
]]</f>
        <v>130932.21438325</v>
      </c>
      <c r="AM130" s="149">
        <f>ROUND(Д402[[#This Row],[Фикс 23.07.25]],2)</f>
        <v>130932.21</v>
      </c>
      <c r="AN130" s="149">
        <f>ROUNDUP(Д402[[#This Row],[утв цена м2]]*Д402[[#This Row],[Расчетная проектная площадь]],-2)</f>
        <v>4796100</v>
      </c>
      <c r="AO130" s="151"/>
      <c r="AP130" s="152"/>
      <c r="AQ130" s="151">
        <f>Д402[[#This Row],[Стоимость до скидки]]*Д402[[#This Row],[Скидка %]]+Д402[[#This Row],[Скидка фиксированная]]</f>
        <v>0</v>
      </c>
      <c r="AR130" s="3">
        <f>Д402[[#This Row],[Стоимость ОН без отделки со скидкой]]/Д402[[#This Row],[Расчетная проектная площадь]]</f>
        <v>130933.66093366093</v>
      </c>
      <c r="AS130" s="3">
        <f>Д402[[#This Row],[Стоимость до скидки]]-Д402[[#This Row],[Итоговая сумма скидки]]</f>
        <v>4796100</v>
      </c>
      <c r="AT13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0" s="153"/>
      <c r="AV130" s="153"/>
      <c r="AW130" s="3">
        <f>Д402[[#This Row],[Цена м2 без отделки со скидкой]]+Д402[[#This Row],[Стоимость отделки]]</f>
        <v>130933.66093366093</v>
      </c>
      <c r="AX130" s="3">
        <f>Д402[[#This Row],[Стоимость квартиры с отделкой]]-Д402[[#This Row],[Стоимость ОН без отделки со скидкой]]</f>
        <v>0</v>
      </c>
      <c r="AY130" s="3">
        <f>Д402[[#This Row],[Цена м2 с отделкой]]*Д402[[#This Row],[Расчетная проектная площадь]]</f>
        <v>4796100</v>
      </c>
      <c r="AZ130" s="161"/>
      <c r="BA130" s="155" t="s">
        <v>12</v>
      </c>
      <c r="BB130" s="156" t="str" cm="1">
        <f t="array" ref="BB13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0" s="161" t="s">
        <v>738</v>
      </c>
      <c r="BD130" s="161" t="s">
        <v>739</v>
      </c>
      <c r="BE130" s="161" t="s">
        <v>737</v>
      </c>
      <c r="BF130" s="161" t="s">
        <v>746</v>
      </c>
      <c r="BG130" s="161" t="b">
        <f>EXACT(Д402[[#This Row],[Статусы CRM]],Д402[[#This Row],[Статус]])</f>
        <v>1</v>
      </c>
      <c r="BH130" s="3">
        <f>IF(Д402[[#This Row],[ПС]]=0,IF(Д402[[#This Row],[ДС]]=0,Д402[[#This Row],[ТС]],Д402[[#This Row],[ДС]]),Д402[[#This Row],[ПС]])</f>
        <v>4796100</v>
      </c>
      <c r="BI130" s="3">
        <v>4796100</v>
      </c>
      <c r="BJ130" s="3">
        <v>0</v>
      </c>
      <c r="BK130" s="3">
        <v>0</v>
      </c>
      <c r="BL130" s="273">
        <f>Д402[[#This Row],[Стоимость CRM]]-Д402[[#This Row],[Стоимость до скидки]]</f>
        <v>0</v>
      </c>
      <c r="BM130" s="161" t="s">
        <v>9</v>
      </c>
      <c r="BN130" s="161" t="b">
        <f>Д402[[#This Row],[Отделка CRM]]=Д402[[#This Row],[Отделка]]</f>
        <v>1</v>
      </c>
      <c r="BO130" s="275" t="s">
        <v>262</v>
      </c>
      <c r="BP130" s="69"/>
    </row>
    <row r="131" spans="1:68" ht="12" customHeight="1" x14ac:dyDescent="0.25">
      <c r="A131" s="140">
        <v>129</v>
      </c>
      <c r="B131" s="15">
        <v>2</v>
      </c>
      <c r="C131" s="141">
        <f t="shared" si="4"/>
        <v>5</v>
      </c>
      <c r="D131" s="142">
        <v>3</v>
      </c>
      <c r="E131" s="141">
        <v>0</v>
      </c>
      <c r="F131" s="143">
        <v>13.94</v>
      </c>
      <c r="G131" s="143"/>
      <c r="H131" s="143"/>
      <c r="I131" s="144">
        <f>SUM(Д402[[#This Row],[Комната 1]:[Комната 3]])</f>
        <v>13.94</v>
      </c>
      <c r="J131" s="145">
        <v>5.98</v>
      </c>
      <c r="K131" s="145">
        <v>4.54</v>
      </c>
      <c r="L131" s="145"/>
      <c r="M131" s="145">
        <v>5.04</v>
      </c>
      <c r="N131" s="145"/>
      <c r="O131" s="145"/>
      <c r="P131" s="146"/>
      <c r="Q131" s="146"/>
      <c r="R131" s="146">
        <f>SUM(Д402[[#This Row],[Лоджия 1]:[Лоджия 3]])</f>
        <v>0</v>
      </c>
      <c r="S131" s="10">
        <f>ROUND(SUM(Д402[[#This Row],[Площадь по проекту жилая]:[Лоджия 3]]),2)</f>
        <v>29.5</v>
      </c>
      <c r="T131" s="10">
        <f>ROUND(Д402[[#This Row],[Площадь по проекту(общая)]]-Д402[[#This Row],[Летние]],2)</f>
        <v>29.5</v>
      </c>
      <c r="U131" s="10">
        <f>ROUND(Д402[[#This Row],[Площадь по проекту(общая)]]-(SUM(Д402[[#This Row],[Лоджия 1]:[Лоджия 3]])/2),2)</f>
        <v>29.5</v>
      </c>
      <c r="V131" s="10">
        <f>VLOOKUP(Д402[[#This Row],[№]],наценка7[],COLUMN(наценка7[[#This Row],[Цена м2 с учетом всех K]]),0)</f>
        <v>142524.6</v>
      </c>
      <c r="W131" s="162"/>
      <c r="X131" s="10">
        <f>Д402[[#This Row],[м2 после К]]+Д402[[#This Row],[02.12.2024]]</f>
        <v>142524.6</v>
      </c>
      <c r="Y131" s="149">
        <v>1000</v>
      </c>
      <c r="Z131" s="10">
        <f>Д402[[#This Row],[Фикс 20.12.24]]+Д402[[#This Row],[23.12.24 СП +1000]]</f>
        <v>143524.6</v>
      </c>
      <c r="AA131" s="149">
        <v>215</v>
      </c>
      <c r="AB131" s="10">
        <f>Д402[[#This Row],[Фикс 23.12.24]]+Д402[[#This Row],[Повышение 20.02.25]]</f>
        <v>143739.6</v>
      </c>
      <c r="AC131" s="149">
        <v>17.5</v>
      </c>
      <c r="AD131" s="10">
        <f>Д402[[#This Row],[Фикс 20.02.25]]+Д402[[#This Row],[Повышение 24.02.2025]]</f>
        <v>143757.1</v>
      </c>
      <c r="AE131" s="10"/>
      <c r="AF131" s="10">
        <f>Д402[[#This Row],[Фикс 24.02.25]]+Д402[[#This Row],[Повышение 05.03.2025
1К: до 40м - 1,5%, 40+ 0,5%
2К - 0,5% ]]</f>
        <v>143757.1</v>
      </c>
      <c r="AG131" s="10"/>
      <c r="AH131" s="10">
        <f>Д402[[#This Row],[Фикс 05.03.25]]+Д402[[#This Row],[повышение 14.03.25 1К-1%]]</f>
        <v>143757.1</v>
      </c>
      <c r="AI131" s="10"/>
      <c r="AJ131" s="10">
        <f>Д402[[#This Row],[Фикс 14.03.25]]+Д402[[#This Row],[повышение 28.03.25 1К-1%]]</f>
        <v>143757.1</v>
      </c>
      <c r="AK131" s="10"/>
      <c r="AL131" s="10">
        <f>Д402[[#This Row],[Фикс 28.03.25]]+Д402[[#This Row],[Повышение 23.07.25
1К 43-46м2 - 2%
2К 55-58 - 2%; 58-64 - 3%
3К 76-79 - 2%
]]</f>
        <v>143757.1</v>
      </c>
      <c r="AM131" s="149">
        <f>ROUND(Д402[[#This Row],[Фикс 23.07.25]],2)</f>
        <v>143757.1</v>
      </c>
      <c r="AN131" s="149">
        <f>ROUNDUP(Д402[[#This Row],[утв цена м2]]*Д402[[#This Row],[Расчетная проектная площадь]],-2)</f>
        <v>4240900</v>
      </c>
      <c r="AO131" s="151"/>
      <c r="AP131" s="152"/>
      <c r="AQ131" s="151">
        <f>Д402[[#This Row],[Стоимость до скидки]]*Д402[[#This Row],[Скидка %]]+Д402[[#This Row],[Скидка фиксированная]]</f>
        <v>0</v>
      </c>
      <c r="AR131" s="3">
        <f>Д402[[#This Row],[Стоимость ОН без отделки со скидкой]]/Д402[[#This Row],[Расчетная проектная площадь]]</f>
        <v>143759.32203389829</v>
      </c>
      <c r="AS131" s="3">
        <f>Д402[[#This Row],[Стоимость до скидки]]-Д402[[#This Row],[Итоговая сумма скидки]]</f>
        <v>4240900</v>
      </c>
      <c r="AT13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31" s="153">
        <v>30000</v>
      </c>
      <c r="AV131" s="153" t="s">
        <v>722</v>
      </c>
      <c r="AW131" s="3">
        <f>Д402[[#This Row],[Цена м2 без отделки со скидкой]]+Д402[[#This Row],[Стоимость отделки]]</f>
        <v>173759.32203389829</v>
      </c>
      <c r="AX131" s="3">
        <f>Д402[[#This Row],[Стоимость квартиры с отделкой]]-Д402[[#This Row],[Стоимость ОН без отделки со скидкой]]</f>
        <v>885000</v>
      </c>
      <c r="AY131" s="3">
        <f>Д402[[#This Row],[Цена м2 с отделкой]]*Д402[[#This Row],[Расчетная проектная площадь]]</f>
        <v>5125900</v>
      </c>
      <c r="AZ131" s="161"/>
      <c r="BA131" s="155" t="s">
        <v>12</v>
      </c>
      <c r="BB131" s="156" t="str" cm="1">
        <f t="array" ref="BB13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1" s="161" t="s">
        <v>738</v>
      </c>
      <c r="BD131" s="161" t="s">
        <v>739</v>
      </c>
      <c r="BE131" s="161" t="s">
        <v>737</v>
      </c>
      <c r="BF131" s="161" t="s">
        <v>743</v>
      </c>
      <c r="BG131" s="161" t="b">
        <f>EXACT(Д402[[#This Row],[Статусы CRM]],Д402[[#This Row],[Статус]])</f>
        <v>1</v>
      </c>
      <c r="BH131" s="3">
        <f>IF(Д402[[#This Row],[ПС]]=0,IF(Д402[[#This Row],[ДС]]=0,Д402[[#This Row],[ТС]],Д402[[#This Row],[ДС]]),Д402[[#This Row],[ПС]])</f>
        <v>4240900</v>
      </c>
      <c r="BI131" s="3">
        <v>4240900</v>
      </c>
      <c r="BJ131" s="3">
        <v>0</v>
      </c>
      <c r="BK131" s="3">
        <v>0</v>
      </c>
      <c r="BL131" s="273">
        <f>Д402[[#This Row],[Стоимость CRM]]-Д402[[#This Row],[Стоимость до скидки]]</f>
        <v>0</v>
      </c>
      <c r="BM131" s="161" t="s">
        <v>11</v>
      </c>
      <c r="BN131" s="161" t="b">
        <f>Д402[[#This Row],[Отделка CRM]]=Д402[[#This Row],[Отделка]]</f>
        <v>1</v>
      </c>
      <c r="BO131" s="275" t="s">
        <v>263</v>
      </c>
      <c r="BP131" s="69"/>
    </row>
    <row r="132" spans="1:68" ht="12" customHeight="1" x14ac:dyDescent="0.25">
      <c r="A132" s="140">
        <v>130</v>
      </c>
      <c r="B132" s="15">
        <v>2</v>
      </c>
      <c r="C132" s="141">
        <f t="shared" si="4"/>
        <v>5</v>
      </c>
      <c r="D132" s="142">
        <v>4</v>
      </c>
      <c r="E132" s="141">
        <v>0</v>
      </c>
      <c r="F132" s="143">
        <v>13.39</v>
      </c>
      <c r="G132" s="143"/>
      <c r="H132" s="143"/>
      <c r="I132" s="144">
        <f>SUM(Д402[[#This Row],[Комната 1]:[Комната 3]])</f>
        <v>13.39</v>
      </c>
      <c r="J132" s="145">
        <v>5.98</v>
      </c>
      <c r="K132" s="145">
        <v>4.54</v>
      </c>
      <c r="L132" s="145"/>
      <c r="M132" s="145">
        <v>4.08</v>
      </c>
      <c r="N132" s="145"/>
      <c r="O132" s="145"/>
      <c r="P132" s="146"/>
      <c r="Q132" s="146"/>
      <c r="R132" s="146">
        <f>SUM(Д402[[#This Row],[Лоджия 1]:[Лоджия 3]])</f>
        <v>0</v>
      </c>
      <c r="S132" s="10">
        <f>ROUND(SUM(Д402[[#This Row],[Площадь по проекту жилая]:[Лоджия 3]]),2)</f>
        <v>27.99</v>
      </c>
      <c r="T132" s="10">
        <f>ROUND(Д402[[#This Row],[Площадь по проекту(общая)]]-Д402[[#This Row],[Летние]],2)</f>
        <v>27.99</v>
      </c>
      <c r="U132" s="10">
        <f>ROUND(Д402[[#This Row],[Площадь по проекту(общая)]]-(SUM(Д402[[#This Row],[Лоджия 1]:[Лоджия 3]])/2),2)</f>
        <v>27.99</v>
      </c>
      <c r="V132" s="10">
        <f>VLOOKUP(Д402[[#This Row],[№]],наценка7[],COLUMN(наценка7[[#This Row],[Цена м2 с учетом всех K]]),0)</f>
        <v>142524.6</v>
      </c>
      <c r="W132" s="162"/>
      <c r="X132" s="10">
        <f>Д402[[#This Row],[м2 после К]]+Д402[[#This Row],[02.12.2024]]</f>
        <v>142524.6</v>
      </c>
      <c r="Y132" s="149">
        <v>1000</v>
      </c>
      <c r="Z132" s="10">
        <f>Д402[[#This Row],[Фикс 20.12.24]]+Д402[[#This Row],[23.12.24 СП +1000]]</f>
        <v>143524.6</v>
      </c>
      <c r="AA132" s="149">
        <v>215</v>
      </c>
      <c r="AB132" s="10">
        <f>Д402[[#This Row],[Фикс 23.12.24]]+Д402[[#This Row],[Повышение 20.02.25]]</f>
        <v>143739.6</v>
      </c>
      <c r="AC132" s="149">
        <v>17.5</v>
      </c>
      <c r="AD132" s="10">
        <f>Д402[[#This Row],[Фикс 20.02.25]]+Д402[[#This Row],[Повышение 24.02.2025]]</f>
        <v>143757.1</v>
      </c>
      <c r="AE132" s="10"/>
      <c r="AF132" s="10">
        <f>Д402[[#This Row],[Фикс 24.02.25]]+Д402[[#This Row],[Повышение 05.03.2025
1К: до 40м - 1,5%, 40+ 0,5%
2К - 0,5% ]]</f>
        <v>143757.1</v>
      </c>
      <c r="AG132" s="10"/>
      <c r="AH132" s="10">
        <f>Д402[[#This Row],[Фикс 05.03.25]]+Д402[[#This Row],[повышение 14.03.25 1К-1%]]</f>
        <v>143757.1</v>
      </c>
      <c r="AI132" s="10"/>
      <c r="AJ132" s="10">
        <f>Д402[[#This Row],[Фикс 14.03.25]]+Д402[[#This Row],[повышение 28.03.25 1К-1%]]</f>
        <v>143757.1</v>
      </c>
      <c r="AK132" s="10"/>
      <c r="AL132" s="10">
        <f>Д402[[#This Row],[Фикс 28.03.25]]+Д402[[#This Row],[Повышение 23.07.25
1К 43-46м2 - 2%
2К 55-58 - 2%; 58-64 - 3%
3К 76-79 - 2%
]]</f>
        <v>143757.1</v>
      </c>
      <c r="AM132" s="149">
        <f>ROUND(Д402[[#This Row],[Фикс 23.07.25]],2)</f>
        <v>143757.1</v>
      </c>
      <c r="AN132" s="149">
        <f>ROUNDUP(Д402[[#This Row],[утв цена м2]]*Д402[[#This Row],[Расчетная проектная площадь]],-2)</f>
        <v>4023800</v>
      </c>
      <c r="AO132" s="151"/>
      <c r="AP132" s="152"/>
      <c r="AQ132" s="151">
        <f>Д402[[#This Row],[Стоимость до скидки]]*Д402[[#This Row],[Скидка %]]+Д402[[#This Row],[Скидка фиксированная]]</f>
        <v>0</v>
      </c>
      <c r="AR132" s="3">
        <f>Д402[[#This Row],[Стоимость ОН без отделки со скидкой]]/Д402[[#This Row],[Расчетная проектная площадь]]</f>
        <v>143758.48517327619</v>
      </c>
      <c r="AS132" s="3">
        <f>Д402[[#This Row],[Стоимость до скидки]]-Д402[[#This Row],[Итоговая сумма скидки]]</f>
        <v>4023800</v>
      </c>
      <c r="AT13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2" s="153"/>
      <c r="AV132" s="153"/>
      <c r="AW132" s="3">
        <f>Д402[[#This Row],[Цена м2 без отделки со скидкой]]+Д402[[#This Row],[Стоимость отделки]]</f>
        <v>143758.48517327619</v>
      </c>
      <c r="AX132" s="3">
        <f>Д402[[#This Row],[Стоимость квартиры с отделкой]]-Д402[[#This Row],[Стоимость ОН без отделки со скидкой]]</f>
        <v>0</v>
      </c>
      <c r="AY132" s="3">
        <f>Д402[[#This Row],[Цена м2 с отделкой]]*Д402[[#This Row],[Расчетная проектная площадь]]</f>
        <v>4023800.0000000005</v>
      </c>
      <c r="AZ132" s="161"/>
      <c r="BA132" s="155" t="s">
        <v>12</v>
      </c>
      <c r="BB132" s="156" t="str" cm="1">
        <f t="array" ref="BB13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2" s="161" t="s">
        <v>738</v>
      </c>
      <c r="BD132" s="161" t="s">
        <v>739</v>
      </c>
      <c r="BE132" s="161" t="s">
        <v>737</v>
      </c>
      <c r="BF132" s="161" t="s">
        <v>743</v>
      </c>
      <c r="BG132" s="161" t="b">
        <f>EXACT(Д402[[#This Row],[Статусы CRM]],Д402[[#This Row],[Статус]])</f>
        <v>1</v>
      </c>
      <c r="BH132" s="3">
        <f>IF(Д402[[#This Row],[ПС]]=0,IF(Д402[[#This Row],[ДС]]=0,Д402[[#This Row],[ТС]],Д402[[#This Row],[ДС]]),Д402[[#This Row],[ПС]])</f>
        <v>4023800</v>
      </c>
      <c r="BI132" s="3">
        <v>4023800</v>
      </c>
      <c r="BJ132" s="3">
        <v>0</v>
      </c>
      <c r="BK132" s="3">
        <v>0</v>
      </c>
      <c r="BL132" s="273">
        <f>Д402[[#This Row],[Стоимость CRM]]-Д402[[#This Row],[Стоимость до скидки]]</f>
        <v>0</v>
      </c>
      <c r="BM132" s="161" t="s">
        <v>9</v>
      </c>
      <c r="BN132" s="161" t="b">
        <f>Д402[[#This Row],[Отделка CRM]]=Д402[[#This Row],[Отделка]]</f>
        <v>1</v>
      </c>
      <c r="BO132" s="275" t="s">
        <v>264</v>
      </c>
      <c r="BP132" s="69"/>
    </row>
    <row r="133" spans="1:68" ht="12" customHeight="1" x14ac:dyDescent="0.25">
      <c r="A133" s="140">
        <v>131</v>
      </c>
      <c r="B133" s="15">
        <v>2</v>
      </c>
      <c r="C133" s="141">
        <f t="shared" si="4"/>
        <v>5</v>
      </c>
      <c r="D133" s="142">
        <v>5</v>
      </c>
      <c r="E133" s="141">
        <v>2</v>
      </c>
      <c r="F133" s="143">
        <v>16.579999999999998</v>
      </c>
      <c r="G133" s="143">
        <v>14.14</v>
      </c>
      <c r="H133" s="143"/>
      <c r="I133" s="144">
        <f>SUM(Д402[[#This Row],[Комната 1]:[Комната 3]])</f>
        <v>30.72</v>
      </c>
      <c r="J133" s="145">
        <v>12.38</v>
      </c>
      <c r="K133" s="145">
        <v>4.1399999999999997</v>
      </c>
      <c r="L133" s="145"/>
      <c r="M133" s="145">
        <v>7.61</v>
      </c>
      <c r="N133" s="145">
        <v>7.03</v>
      </c>
      <c r="O133" s="145">
        <v>3.11</v>
      </c>
      <c r="P133" s="146"/>
      <c r="Q133" s="146"/>
      <c r="R133" s="146">
        <f>SUM(Д402[[#This Row],[Лоджия 1]:[Лоджия 3]])</f>
        <v>3.11</v>
      </c>
      <c r="S133" s="10">
        <f>ROUND(SUM(Д402[[#This Row],[Площадь по проекту жилая]:[Лоджия 3]]),2)</f>
        <v>64.989999999999995</v>
      </c>
      <c r="T133" s="10">
        <f>ROUND(Д402[[#This Row],[Площадь по проекту(общая)]]-Д402[[#This Row],[Летние]],2)</f>
        <v>61.88</v>
      </c>
      <c r="U133" s="10">
        <f>ROUND(Д402[[#This Row],[Площадь по проекту(общая)]]-(SUM(Д402[[#This Row],[Лоджия 1]:[Лоджия 3]])/2),2)</f>
        <v>63.44</v>
      </c>
      <c r="V133" s="10">
        <f>VLOOKUP(Д402[[#This Row],[№]],наценка7[],COLUMN(наценка7[[#This Row],[Цена м2 с учетом всех K]]),0)</f>
        <v>122072.4</v>
      </c>
      <c r="W133" s="162">
        <v>-7000</v>
      </c>
      <c r="X133" s="10">
        <f>Д402[[#This Row],[м2 после К]]+Д402[[#This Row],[02.12.2024]]</f>
        <v>115072.4</v>
      </c>
      <c r="Y133" s="149">
        <v>1000</v>
      </c>
      <c r="Z133" s="10">
        <f>Д402[[#This Row],[Фикс 20.12.24]]+Д402[[#This Row],[23.12.24 СП +1000]]</f>
        <v>116072.4</v>
      </c>
      <c r="AA133" s="149">
        <v>215</v>
      </c>
      <c r="AB133" s="10">
        <f>Д402[[#This Row],[Фикс 23.12.24]]+Д402[[#This Row],[Повышение 20.02.25]]</f>
        <v>116287.4</v>
      </c>
      <c r="AC133" s="149">
        <v>17.5</v>
      </c>
      <c r="AD133" s="10">
        <f>Д402[[#This Row],[Фикс 20.02.25]]+Д402[[#This Row],[Повышение 24.02.2025]]</f>
        <v>116304.9</v>
      </c>
      <c r="AE133" s="149">
        <f>Д402[[#This Row],[Фикс 24.02.25]]*0.5%</f>
        <v>581.52449999999999</v>
      </c>
      <c r="AF133" s="10">
        <f>Д402[[#This Row],[Фикс 24.02.25]]+Д402[[#This Row],[Повышение 05.03.2025
1К: до 40м - 1,5%, 40+ 0,5%
2К - 0,5% ]]</f>
        <v>116886.42449999999</v>
      </c>
      <c r="AG133" s="10"/>
      <c r="AH133" s="10">
        <f>Д402[[#This Row],[Фикс 05.03.25]]+Д402[[#This Row],[повышение 14.03.25 1К-1%]]</f>
        <v>116886.42449999999</v>
      </c>
      <c r="AI133" s="10"/>
      <c r="AJ133" s="10">
        <f>Д402[[#This Row],[Фикс 14.03.25]]+Д402[[#This Row],[повышение 28.03.25 1К-1%]]</f>
        <v>116886.42449999999</v>
      </c>
      <c r="AK133" s="10">
        <f>Д402[[#This Row],[Фикс 28.03.25]]*3%</f>
        <v>3506.5927349999997</v>
      </c>
      <c r="AL133" s="10">
        <f>Д402[[#This Row],[Фикс 28.03.25]]+Д402[[#This Row],[Повышение 23.07.25
1К 43-46м2 - 2%
2К 55-58 - 2%; 58-64 - 3%
3К 76-79 - 2%
]]</f>
        <v>120393.01723499999</v>
      </c>
      <c r="AM133" s="149">
        <f>ROUND(Д402[[#This Row],[Фикс 23.07.25]],2)</f>
        <v>120393.02</v>
      </c>
      <c r="AN133" s="149">
        <f>ROUNDUP(Д402[[#This Row],[утв цена м2]]*Д402[[#This Row],[Расчетная проектная площадь]],-2)</f>
        <v>7637800</v>
      </c>
      <c r="AO133" s="151"/>
      <c r="AP133" s="152"/>
      <c r="AQ133" s="151">
        <f>Д402[[#This Row],[Стоимость до скидки]]*Д402[[#This Row],[Скидка %]]+Д402[[#This Row],[Скидка фиксированная]]</f>
        <v>0</v>
      </c>
      <c r="AR133" s="3">
        <f>Д402[[#This Row],[Стоимость ОН без отделки со скидкой]]/Д402[[#This Row],[Расчетная проектная площадь]]</f>
        <v>120394.07313997479</v>
      </c>
      <c r="AS133" s="3">
        <f>Д402[[#This Row],[Стоимость до скидки]]-Д402[[#This Row],[Итоговая сумма скидки]]</f>
        <v>7637800</v>
      </c>
      <c r="AT13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3" s="153"/>
      <c r="AV133" s="153"/>
      <c r="AW133" s="3">
        <f>Д402[[#This Row],[Цена м2 без отделки со скидкой]]+Д402[[#This Row],[Стоимость отделки]]</f>
        <v>120394.07313997479</v>
      </c>
      <c r="AX133" s="3">
        <f>Д402[[#This Row],[Стоимость квартиры с отделкой]]-Д402[[#This Row],[Стоимость ОН без отделки со скидкой]]</f>
        <v>0</v>
      </c>
      <c r="AY133" s="3">
        <f>Д402[[#This Row],[Цена м2 с отделкой]]*Д402[[#This Row],[Расчетная проектная площадь]]</f>
        <v>7637800</v>
      </c>
      <c r="AZ133" s="161"/>
      <c r="BA133" s="269" t="s">
        <v>12</v>
      </c>
      <c r="BB133" s="269" t="str" cm="1">
        <f t="array" ref="BB13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3" s="161" t="s">
        <v>738</v>
      </c>
      <c r="BD133" s="161" t="s">
        <v>739</v>
      </c>
      <c r="BE133" s="161" t="s">
        <v>737</v>
      </c>
      <c r="BF133" s="161" t="s">
        <v>747</v>
      </c>
      <c r="BG133" s="161" t="b">
        <f>EXACT(Д402[[#This Row],[Статусы CRM]],Д402[[#This Row],[Статус]])</f>
        <v>1</v>
      </c>
      <c r="BH133" s="3">
        <f>IF(Д402[[#This Row],[ПС]]=0,IF(Д402[[#This Row],[ДС]]=0,Д402[[#This Row],[ТС]],Д402[[#This Row],[ДС]]),Д402[[#This Row],[ПС]])</f>
        <v>7637800</v>
      </c>
      <c r="BI133" s="3">
        <v>7637800</v>
      </c>
      <c r="BJ133" s="3">
        <v>0</v>
      </c>
      <c r="BK133" s="3">
        <v>0</v>
      </c>
      <c r="BL133" s="273">
        <f>Д402[[#This Row],[Стоимость CRM]]-Д402[[#This Row],[Стоимость до скидки]]</f>
        <v>0</v>
      </c>
      <c r="BM133" s="161" t="s">
        <v>9</v>
      </c>
      <c r="BN133" s="161" t="b">
        <f>Д402[[#This Row],[Отделка CRM]]=Д402[[#This Row],[Отделка]]</f>
        <v>1</v>
      </c>
      <c r="BO133" s="275" t="s">
        <v>265</v>
      </c>
      <c r="BP133" s="69"/>
    </row>
    <row r="134" spans="1:68" ht="12" customHeight="1" x14ac:dyDescent="0.25">
      <c r="A134" s="140">
        <v>132</v>
      </c>
      <c r="B134" s="15">
        <v>2</v>
      </c>
      <c r="C134" s="141">
        <f t="shared" si="4"/>
        <v>5</v>
      </c>
      <c r="D134" s="142">
        <v>6</v>
      </c>
      <c r="E134" s="141">
        <v>2</v>
      </c>
      <c r="F134" s="143">
        <v>17.73</v>
      </c>
      <c r="G134" s="143">
        <v>12.22</v>
      </c>
      <c r="H134" s="143"/>
      <c r="I134" s="144">
        <f>SUM(Д402[[#This Row],[Комната 1]:[Комната 3]])</f>
        <v>29.950000000000003</v>
      </c>
      <c r="J134" s="145">
        <v>13.65</v>
      </c>
      <c r="K134" s="145">
        <v>5.22</v>
      </c>
      <c r="L134" s="145">
        <v>2.5</v>
      </c>
      <c r="M134" s="145">
        <v>8.06</v>
      </c>
      <c r="N134" s="145"/>
      <c r="O134" s="145">
        <v>3.11</v>
      </c>
      <c r="P134" s="146"/>
      <c r="Q134" s="146"/>
      <c r="R134" s="146">
        <f>SUM(Д402[[#This Row],[Лоджия 1]:[Лоджия 3]])</f>
        <v>3.11</v>
      </c>
      <c r="S134" s="10">
        <f>ROUND(SUM(Д402[[#This Row],[Площадь по проекту жилая]:[Лоджия 3]]),2)</f>
        <v>62.49</v>
      </c>
      <c r="T134" s="10">
        <f>ROUND(Д402[[#This Row],[Площадь по проекту(общая)]]-Д402[[#This Row],[Летние]],2)</f>
        <v>59.38</v>
      </c>
      <c r="U134" s="10">
        <f>ROUND(Д402[[#This Row],[Площадь по проекту(общая)]]-(SUM(Д402[[#This Row],[Лоджия 1]:[Лоджия 3]])/2),2)</f>
        <v>60.94</v>
      </c>
      <c r="V134" s="10">
        <f>VLOOKUP(Д402[[#This Row],[№]],наценка7[],COLUMN(наценка7[[#This Row],[Цена м2 с учетом всех K]]),0)</f>
        <v>126593.60000000001</v>
      </c>
      <c r="W134" s="162">
        <v>-10000</v>
      </c>
      <c r="X134" s="10">
        <f>Д402[[#This Row],[м2 после К]]+Д402[[#This Row],[02.12.2024]]</f>
        <v>116593.60000000001</v>
      </c>
      <c r="Y134" s="149">
        <v>1000</v>
      </c>
      <c r="Z134" s="10">
        <f>Д402[[#This Row],[Фикс 20.12.24]]+Д402[[#This Row],[23.12.24 СП +1000]]</f>
        <v>117593.60000000001</v>
      </c>
      <c r="AA134" s="149">
        <v>215</v>
      </c>
      <c r="AB134" s="10">
        <f>Д402[[#This Row],[Фикс 23.12.24]]+Д402[[#This Row],[Повышение 20.02.25]]</f>
        <v>117808.6</v>
      </c>
      <c r="AC134" s="149">
        <v>17.5</v>
      </c>
      <c r="AD134" s="10">
        <f>Д402[[#This Row],[Фикс 20.02.25]]+Д402[[#This Row],[Повышение 24.02.2025]]</f>
        <v>117826.1</v>
      </c>
      <c r="AE134" s="149">
        <f>Д402[[#This Row],[Фикс 24.02.25]]*0.5%</f>
        <v>589.1305000000001</v>
      </c>
      <c r="AF134" s="10">
        <f>Д402[[#This Row],[Фикс 24.02.25]]+Д402[[#This Row],[Повышение 05.03.2025
1К: до 40м - 1,5%, 40+ 0,5%
2К - 0,5% ]]</f>
        <v>118415.23050000001</v>
      </c>
      <c r="AG134" s="10"/>
      <c r="AH134" s="10">
        <f>Д402[[#This Row],[Фикс 05.03.25]]+Д402[[#This Row],[повышение 14.03.25 1К-1%]]</f>
        <v>118415.23050000001</v>
      </c>
      <c r="AI134" s="10"/>
      <c r="AJ134" s="10">
        <f>Д402[[#This Row],[Фикс 14.03.25]]+Д402[[#This Row],[повышение 28.03.25 1К-1%]]</f>
        <v>118415.23050000001</v>
      </c>
      <c r="AK134" s="10">
        <f>Д402[[#This Row],[Фикс 28.03.25]]*3%</f>
        <v>3552.4569150000002</v>
      </c>
      <c r="AL134" s="10">
        <f>Д402[[#This Row],[Фикс 28.03.25]]+Д402[[#This Row],[Повышение 23.07.25
1К 43-46м2 - 2%
2К 55-58 - 2%; 58-64 - 3%
3К 76-79 - 2%
]]</f>
        <v>121967.68741500001</v>
      </c>
      <c r="AM134" s="149">
        <f>ROUND(Д402[[#This Row],[Фикс 23.07.25]],2)</f>
        <v>121967.69</v>
      </c>
      <c r="AN134" s="149">
        <f>ROUNDUP(Д402[[#This Row],[утв цена м2]]*Д402[[#This Row],[Расчетная проектная площадь]],-2)</f>
        <v>7432800</v>
      </c>
      <c r="AO134" s="151"/>
      <c r="AP134" s="152"/>
      <c r="AQ134" s="151">
        <f>Д402[[#This Row],[Стоимость до скидки]]*Д402[[#This Row],[Скидка %]]+Д402[[#This Row],[Скидка фиксированная]]</f>
        <v>0</v>
      </c>
      <c r="AR134" s="3">
        <f>Д402[[#This Row],[Стоимость ОН без отделки со скидкой]]/Д402[[#This Row],[Расчетная проектная площадь]]</f>
        <v>121969.14998359043</v>
      </c>
      <c r="AS134" s="3">
        <f>Д402[[#This Row],[Стоимость до скидки]]-Д402[[#This Row],[Итоговая сумма скидки]]</f>
        <v>7432800</v>
      </c>
      <c r="AT13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4" s="153"/>
      <c r="AV134" s="153"/>
      <c r="AW134" s="3">
        <f>Д402[[#This Row],[Цена м2 без отделки со скидкой]]+Д402[[#This Row],[Стоимость отделки]]</f>
        <v>121969.14998359043</v>
      </c>
      <c r="AX134" s="3">
        <f>Д402[[#This Row],[Стоимость квартиры с отделкой]]-Д402[[#This Row],[Стоимость ОН без отделки со скидкой]]</f>
        <v>0</v>
      </c>
      <c r="AY134" s="3">
        <f>Д402[[#This Row],[Цена м2 с отделкой]]*Д402[[#This Row],[Расчетная проектная площадь]]</f>
        <v>7432800</v>
      </c>
      <c r="AZ134" s="161"/>
      <c r="BA134" s="269" t="s">
        <v>12</v>
      </c>
      <c r="BB134" s="269" t="str" cm="1">
        <f t="array" ref="BB13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4" s="161" t="s">
        <v>738</v>
      </c>
      <c r="BD134" s="161" t="s">
        <v>739</v>
      </c>
      <c r="BE134" s="161" t="s">
        <v>737</v>
      </c>
      <c r="BF134" s="161" t="s">
        <v>747</v>
      </c>
      <c r="BG134" s="161" t="b">
        <f>EXACT(Д402[[#This Row],[Статусы CRM]],Д402[[#This Row],[Статус]])</f>
        <v>1</v>
      </c>
      <c r="BH134" s="3">
        <f>IF(Д402[[#This Row],[ПС]]=0,IF(Д402[[#This Row],[ДС]]=0,Д402[[#This Row],[ТС]],Д402[[#This Row],[ДС]]),Д402[[#This Row],[ПС]])</f>
        <v>7432800</v>
      </c>
      <c r="BI134" s="3">
        <v>7432800</v>
      </c>
      <c r="BJ134" s="3">
        <v>0</v>
      </c>
      <c r="BK134" s="3">
        <v>0</v>
      </c>
      <c r="BL134" s="273">
        <f>Д402[[#This Row],[Стоимость CRM]]-Д402[[#This Row],[Стоимость до скидки]]</f>
        <v>0</v>
      </c>
      <c r="BM134" s="161" t="s">
        <v>9</v>
      </c>
      <c r="BN134" s="161" t="b">
        <f>Д402[[#This Row],[Отделка CRM]]=Д402[[#This Row],[Отделка]]</f>
        <v>1</v>
      </c>
      <c r="BO134" s="275" t="s">
        <v>266</v>
      </c>
      <c r="BP134" s="69"/>
    </row>
    <row r="135" spans="1:68" ht="12" customHeight="1" x14ac:dyDescent="0.25">
      <c r="A135" s="140">
        <v>133</v>
      </c>
      <c r="B135" s="15">
        <v>2</v>
      </c>
      <c r="C135" s="141">
        <f t="shared" si="4"/>
        <v>6</v>
      </c>
      <c r="D135" s="142">
        <v>1</v>
      </c>
      <c r="E135" s="141">
        <v>2</v>
      </c>
      <c r="F135" s="143">
        <v>17.579999999999998</v>
      </c>
      <c r="G135" s="143">
        <v>14.37</v>
      </c>
      <c r="H135" s="143"/>
      <c r="I135" s="144">
        <f>SUM(Д402[[#This Row],[Комната 1]:[Комната 3]])</f>
        <v>31.949999999999996</v>
      </c>
      <c r="J135" s="145">
        <v>14.29</v>
      </c>
      <c r="K135" s="145">
        <v>4.5199999999999996</v>
      </c>
      <c r="L135" s="145"/>
      <c r="M135" s="145">
        <v>8.64</v>
      </c>
      <c r="N135" s="145">
        <v>4.76</v>
      </c>
      <c r="O135" s="145">
        <v>3.11</v>
      </c>
      <c r="P135" s="146"/>
      <c r="Q135" s="146"/>
      <c r="R135" s="146">
        <f>SUM(Д402[[#This Row],[Лоджия 1]:[Лоджия 3]])</f>
        <v>3.11</v>
      </c>
      <c r="S135" s="10">
        <f>ROUND(SUM(Д402[[#This Row],[Площадь по проекту жилая]:[Лоджия 3]]),2)</f>
        <v>67.27</v>
      </c>
      <c r="T135" s="10">
        <f>ROUND(Д402[[#This Row],[Площадь по проекту(общая)]]-Д402[[#This Row],[Летние]],2)</f>
        <v>64.16</v>
      </c>
      <c r="U135" s="10">
        <f>ROUND(Д402[[#This Row],[Площадь по проекту(общая)]]-(SUM(Д402[[#This Row],[Лоджия 1]:[Лоджия 3]])/2),2)</f>
        <v>65.72</v>
      </c>
      <c r="V135" s="10">
        <f>VLOOKUP(Д402[[#This Row],[№]],наценка7[],COLUMN(наценка7[[#This Row],[Цена м2 с учетом всех K]]),0)</f>
        <v>119811.8</v>
      </c>
      <c r="W135" s="162"/>
      <c r="X135" s="10">
        <f>Д402[[#This Row],[м2 после К]]+Д402[[#This Row],[02.12.2024]]</f>
        <v>119811.8</v>
      </c>
      <c r="Y135" s="149">
        <v>1000</v>
      </c>
      <c r="Z135" s="10">
        <f>Д402[[#This Row],[Фикс 20.12.24]]+Д402[[#This Row],[23.12.24 СП +1000]]</f>
        <v>120811.8</v>
      </c>
      <c r="AA135" s="149">
        <v>215</v>
      </c>
      <c r="AB135" s="10">
        <f>Д402[[#This Row],[Фикс 23.12.24]]+Д402[[#This Row],[Повышение 20.02.25]]</f>
        <v>121026.8</v>
      </c>
      <c r="AC135" s="149">
        <v>17.5</v>
      </c>
      <c r="AD135" s="10">
        <f>Д402[[#This Row],[Фикс 20.02.25]]+Д402[[#This Row],[Повышение 24.02.2025]]</f>
        <v>121044.3</v>
      </c>
      <c r="AE135" s="149">
        <f>Д402[[#This Row],[Фикс 24.02.25]]*0.5%</f>
        <v>605.22149999999999</v>
      </c>
      <c r="AF135" s="10">
        <f>Д402[[#This Row],[Фикс 24.02.25]]+Д402[[#This Row],[Повышение 05.03.2025
1К: до 40м - 1,5%, 40+ 0,5%
2К - 0,5% ]]</f>
        <v>121649.5215</v>
      </c>
      <c r="AG135" s="10"/>
      <c r="AH135" s="10">
        <f>Д402[[#This Row],[Фикс 05.03.25]]+Д402[[#This Row],[повышение 14.03.25 1К-1%]]</f>
        <v>121649.5215</v>
      </c>
      <c r="AI135" s="10"/>
      <c r="AJ135" s="10">
        <f>Д402[[#This Row],[Фикс 14.03.25]]+Д402[[#This Row],[повышение 28.03.25 1К-1%]]</f>
        <v>121649.5215</v>
      </c>
      <c r="AK135" s="10"/>
      <c r="AL135" s="10">
        <f>Д402[[#This Row],[Фикс 28.03.25]]+Д402[[#This Row],[Повышение 23.07.25
1К 43-46м2 - 2%
2К 55-58 - 2%; 58-64 - 3%
3К 76-79 - 2%
]]</f>
        <v>121649.5215</v>
      </c>
      <c r="AM135" s="149">
        <f>ROUND(Д402[[#This Row],[Фикс 23.07.25]],2)</f>
        <v>121649.52</v>
      </c>
      <c r="AN135" s="149">
        <f>ROUNDUP(Д402[[#This Row],[утв цена м2]]*Д402[[#This Row],[Расчетная проектная площадь]],-2)</f>
        <v>7994900</v>
      </c>
      <c r="AO135" s="151"/>
      <c r="AP135" s="152"/>
      <c r="AQ135" s="151">
        <f>Д402[[#This Row],[Стоимость до скидки]]*Д402[[#This Row],[Скидка %]]+Д402[[#This Row],[Скидка фиксированная]]</f>
        <v>0</v>
      </c>
      <c r="AR135" s="3">
        <f>Д402[[#This Row],[Стоимость ОН без отделки со скидкой]]/Д402[[#This Row],[Расчетная проектная площадь]]</f>
        <v>121650.94339622642</v>
      </c>
      <c r="AS135" s="3">
        <f>Д402[[#This Row],[Стоимость до скидки]]-Д402[[#This Row],[Итоговая сумма скидки]]</f>
        <v>7994900</v>
      </c>
      <c r="AT13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35" s="153">
        <v>30000</v>
      </c>
      <c r="AV135" s="153" t="s">
        <v>722</v>
      </c>
      <c r="AW135" s="3">
        <f>Д402[[#This Row],[Цена м2 без отделки со скидкой]]+Д402[[#This Row],[Стоимость отделки]]</f>
        <v>151650.94339622642</v>
      </c>
      <c r="AX135" s="3">
        <f>Д402[[#This Row],[Стоимость квартиры с отделкой]]-Д402[[#This Row],[Стоимость ОН без отделки со скидкой]]</f>
        <v>1971600</v>
      </c>
      <c r="AY135" s="3">
        <f>Д402[[#This Row],[Цена м2 с отделкой]]*Д402[[#This Row],[Расчетная проектная площадь]]</f>
        <v>9966500</v>
      </c>
      <c r="AZ135" s="161"/>
      <c r="BA135" s="155" t="s">
        <v>12</v>
      </c>
      <c r="BB135" s="156" t="str" cm="1">
        <f t="array" ref="BB13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5" s="161" t="s">
        <v>738</v>
      </c>
      <c r="BD135" s="161" t="s">
        <v>739</v>
      </c>
      <c r="BE135" s="161" t="s">
        <v>737</v>
      </c>
      <c r="BF135" s="161" t="s">
        <v>744</v>
      </c>
      <c r="BG135" s="161" t="b">
        <f>EXACT(Д402[[#This Row],[Статусы CRM]],Д402[[#This Row],[Статус]])</f>
        <v>1</v>
      </c>
      <c r="BH135" s="3">
        <f>IF(Д402[[#This Row],[ПС]]=0,IF(Д402[[#This Row],[ДС]]=0,Д402[[#This Row],[ТС]],Д402[[#This Row],[ДС]]),Д402[[#This Row],[ПС]])</f>
        <v>7994900</v>
      </c>
      <c r="BI135" s="3">
        <v>7994900</v>
      </c>
      <c r="BJ135" s="3">
        <v>0</v>
      </c>
      <c r="BK135" s="3">
        <v>0</v>
      </c>
      <c r="BL135" s="273">
        <f>Д402[[#This Row],[Стоимость CRM]]-Д402[[#This Row],[Стоимость до скидки]]</f>
        <v>0</v>
      </c>
      <c r="BM135" s="161" t="s">
        <v>11</v>
      </c>
      <c r="BN135" s="161" t="b">
        <f>Д402[[#This Row],[Отделка CRM]]=Д402[[#This Row],[Отделка]]</f>
        <v>1</v>
      </c>
      <c r="BO135" s="275" t="s">
        <v>267</v>
      </c>
      <c r="BP135" s="69"/>
    </row>
    <row r="136" spans="1:68" ht="12" customHeight="1" x14ac:dyDescent="0.25">
      <c r="A136" s="140">
        <v>134</v>
      </c>
      <c r="B136" s="175">
        <v>2</v>
      </c>
      <c r="C136" s="141">
        <f t="shared" si="4"/>
        <v>6</v>
      </c>
      <c r="D136" s="142">
        <v>2</v>
      </c>
      <c r="E136" s="141">
        <v>1</v>
      </c>
      <c r="F136" s="143">
        <v>14.77</v>
      </c>
      <c r="G136" s="143"/>
      <c r="H136" s="143"/>
      <c r="I136" s="144">
        <f>SUM(Д402[[#This Row],[Комната 1]:[Комната 3]])</f>
        <v>14.77</v>
      </c>
      <c r="J136" s="145">
        <v>11.88</v>
      </c>
      <c r="K136" s="145">
        <v>4.1399999999999997</v>
      </c>
      <c r="L136" s="145"/>
      <c r="M136" s="145">
        <v>4.28</v>
      </c>
      <c r="N136" s="145"/>
      <c r="O136" s="145">
        <v>3.11</v>
      </c>
      <c r="P136" s="146"/>
      <c r="Q136" s="146"/>
      <c r="R136" s="146">
        <f>SUM(Д402[[#This Row],[Лоджия 1]:[Лоджия 3]])</f>
        <v>3.11</v>
      </c>
      <c r="S136" s="10">
        <f>ROUND(SUM(Д402[[#This Row],[Площадь по проекту жилая]:[Лоджия 3]]),2)</f>
        <v>38.18</v>
      </c>
      <c r="T136" s="10">
        <f>ROUND(Д402[[#This Row],[Площадь по проекту(общая)]]-Д402[[#This Row],[Летние]],2)</f>
        <v>35.07</v>
      </c>
      <c r="U136" s="10">
        <f>ROUND(Д402[[#This Row],[Площадь по проекту(общая)]]-(SUM(Д402[[#This Row],[Лоджия 1]:[Лоджия 3]])/2),2)</f>
        <v>36.630000000000003</v>
      </c>
      <c r="V136" s="10">
        <f>VLOOKUP(Д402[[#This Row],[№]],наценка7[],COLUMN(наценка7[[#This Row],[Цена м2 с учетом всех K]]),0)</f>
        <v>125223</v>
      </c>
      <c r="W136" s="162"/>
      <c r="X136" s="10">
        <f>Д402[[#This Row],[м2 после К]]+Д402[[#This Row],[02.12.2024]]</f>
        <v>125223</v>
      </c>
      <c r="Y136" s="149">
        <v>1000</v>
      </c>
      <c r="Z136" s="10">
        <f>Д402[[#This Row],[Фикс 20.12.24]]+Д402[[#This Row],[23.12.24 СП +1000]]</f>
        <v>126223</v>
      </c>
      <c r="AA136" s="149">
        <v>215</v>
      </c>
      <c r="AB136" s="10">
        <f>Д402[[#This Row],[Фикс 23.12.24]]+Д402[[#This Row],[Повышение 20.02.25]]</f>
        <v>126438</v>
      </c>
      <c r="AC136" s="149">
        <v>17.5</v>
      </c>
      <c r="AD136" s="10">
        <f>Д402[[#This Row],[Фикс 20.02.25]]+Д402[[#This Row],[Повышение 24.02.2025]]</f>
        <v>126455.5</v>
      </c>
      <c r="AE136" s="149">
        <f>Д402[[#This Row],[Фикс 24.02.25]]*1.5%</f>
        <v>1896.8325</v>
      </c>
      <c r="AF136" s="10">
        <f>Д402[[#This Row],[Фикс 24.02.25]]+Д402[[#This Row],[Повышение 05.03.2025
1К: до 40м - 1,5%, 40+ 0,5%
2К - 0,5% ]]</f>
        <v>128352.3325</v>
      </c>
      <c r="AG136" s="149">
        <f>Д402[[#This Row],[Фикс 05.03.25]]*1%</f>
        <v>1283.5233250000001</v>
      </c>
      <c r="AH136" s="10">
        <f>Д402[[#This Row],[Фикс 05.03.25]]+Д402[[#This Row],[повышение 14.03.25 1К-1%]]</f>
        <v>129635.85582500001</v>
      </c>
      <c r="AI136" s="149">
        <f>Д402[[#This Row],[Фикс 14.03.25]]*1%</f>
        <v>1296.35855825</v>
      </c>
      <c r="AJ136" s="10">
        <f>Д402[[#This Row],[Фикс 14.03.25]]+Д402[[#This Row],[повышение 28.03.25 1К-1%]]</f>
        <v>130932.21438325</v>
      </c>
      <c r="AK136" s="10"/>
      <c r="AL136" s="10">
        <f>Д402[[#This Row],[Фикс 28.03.25]]+Д402[[#This Row],[Повышение 23.07.25
1К 43-46м2 - 2%
2К 55-58 - 2%; 58-64 - 3%
3К 76-79 - 2%
]]</f>
        <v>130932.21438325</v>
      </c>
      <c r="AM136" s="149">
        <f>ROUND(Д402[[#This Row],[Фикс 23.07.25]],2)</f>
        <v>130932.21</v>
      </c>
      <c r="AN136" s="149">
        <f>ROUNDUP(Д402[[#This Row],[утв цена м2]]*Д402[[#This Row],[Расчетная проектная площадь]],-2)</f>
        <v>4796100</v>
      </c>
      <c r="AO136" s="151"/>
      <c r="AP136" s="152">
        <v>0.02</v>
      </c>
      <c r="AQ136" s="151">
        <f>Д402[[#This Row],[Стоимость до скидки]]*Д402[[#This Row],[Скидка %]]+Д402[[#This Row],[Скидка фиксированная]]</f>
        <v>95922</v>
      </c>
      <c r="AR136" s="3">
        <f>Д402[[#This Row],[Стоимость ОН без отделки со скидкой]]/Д402[[#This Row],[Расчетная проектная площадь]]</f>
        <v>128314.9877149877</v>
      </c>
      <c r="AS136" s="3">
        <f>Д402[[#This Row],[Стоимость до скидки]]-Д402[[#This Row],[Итоговая сумма скидки]]</f>
        <v>4700178</v>
      </c>
      <c r="AT13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36" s="153">
        <v>30000</v>
      </c>
      <c r="AV136" s="153" t="s">
        <v>722</v>
      </c>
      <c r="AW136" s="3">
        <f>Д402[[#This Row],[Цена м2 без отделки со скидкой]]+Д402[[#This Row],[Стоимость отделки]]</f>
        <v>158314.98771498771</v>
      </c>
      <c r="AX136" s="3">
        <f>Д402[[#This Row],[Стоимость квартиры с отделкой]]-Д402[[#This Row],[Стоимость ОН без отделки со скидкой]]</f>
        <v>1098900</v>
      </c>
      <c r="AY136" s="3">
        <f>Д402[[#This Row],[Цена м2 с отделкой]]*Д402[[#This Row],[Расчетная проектная площадь]]</f>
        <v>5799078</v>
      </c>
      <c r="AZ136" s="161"/>
      <c r="BA136" s="269" t="s">
        <v>755</v>
      </c>
      <c r="BB136" s="156" t="str" cm="1">
        <f t="array" ref="BB13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Гарантированная бронь</v>
      </c>
      <c r="BC136" s="161" t="s">
        <v>738</v>
      </c>
      <c r="BD136" s="161" t="s">
        <v>754</v>
      </c>
      <c r="BE136" s="161" t="s">
        <v>737</v>
      </c>
      <c r="BF136" s="161" t="s">
        <v>746</v>
      </c>
      <c r="BG136" s="161" t="b">
        <f>EXACT(Д402[[#This Row],[Статусы CRM]],Д402[[#This Row],[Статус]])</f>
        <v>1</v>
      </c>
      <c r="BH136" s="3">
        <f>IF(Д402[[#This Row],[ПС]]=0,IF(Д402[[#This Row],[ДС]]=0,Д402[[#This Row],[ТС]],Д402[[#This Row],[ДС]]),Д402[[#This Row],[ПС]])</f>
        <v>4796100</v>
      </c>
      <c r="BI136" s="3">
        <v>4796100</v>
      </c>
      <c r="BJ136" s="3">
        <v>0</v>
      </c>
      <c r="BK136" s="3">
        <v>0</v>
      </c>
      <c r="BL136" s="273">
        <f>Д402[[#This Row],[Стоимость CRM]]-Д402[[#This Row],[Стоимость до скидки]]</f>
        <v>0</v>
      </c>
      <c r="BM136" s="161" t="s">
        <v>11</v>
      </c>
      <c r="BN136" s="161" t="b">
        <f>Д402[[#This Row],[Отделка CRM]]=Д402[[#This Row],[Отделка]]</f>
        <v>1</v>
      </c>
      <c r="BO136" s="275" t="s">
        <v>268</v>
      </c>
      <c r="BP136" s="69"/>
    </row>
    <row r="137" spans="1:68" ht="12" customHeight="1" x14ac:dyDescent="0.25">
      <c r="A137" s="140">
        <v>135</v>
      </c>
      <c r="B137" s="15">
        <v>2</v>
      </c>
      <c r="C137" s="141">
        <f t="shared" si="4"/>
        <v>6</v>
      </c>
      <c r="D137" s="142">
        <v>3</v>
      </c>
      <c r="E137" s="141">
        <v>0</v>
      </c>
      <c r="F137" s="143">
        <v>13.94</v>
      </c>
      <c r="G137" s="143"/>
      <c r="H137" s="143"/>
      <c r="I137" s="144">
        <f>SUM(Д402[[#This Row],[Комната 1]:[Комната 3]])</f>
        <v>13.94</v>
      </c>
      <c r="J137" s="145">
        <v>5.98</v>
      </c>
      <c r="K137" s="145">
        <v>4.54</v>
      </c>
      <c r="L137" s="145"/>
      <c r="M137" s="145">
        <v>5.04</v>
      </c>
      <c r="N137" s="145"/>
      <c r="O137" s="145"/>
      <c r="P137" s="146"/>
      <c r="Q137" s="146"/>
      <c r="R137" s="146">
        <f>SUM(Д402[[#This Row],[Лоджия 1]:[Лоджия 3]])</f>
        <v>0</v>
      </c>
      <c r="S137" s="10">
        <f>ROUND(SUM(Д402[[#This Row],[Площадь по проекту жилая]:[Лоджия 3]]),2)</f>
        <v>29.5</v>
      </c>
      <c r="T137" s="10">
        <f>ROUND(Д402[[#This Row],[Площадь по проекту(общая)]]-Д402[[#This Row],[Летние]],2)</f>
        <v>29.5</v>
      </c>
      <c r="U137" s="10">
        <f>ROUND(Д402[[#This Row],[Площадь по проекту(общая)]]-(SUM(Д402[[#This Row],[Лоджия 1]:[Лоджия 3]])/2),2)</f>
        <v>29.5</v>
      </c>
      <c r="V137" s="10">
        <f>VLOOKUP(Д402[[#This Row],[№]],наценка7[],COLUMN(наценка7[[#This Row],[Цена м2 с учетом всех K]]),0)</f>
        <v>145319.20000000001</v>
      </c>
      <c r="W137" s="162"/>
      <c r="X137" s="10">
        <f>Д402[[#This Row],[м2 после К]]+Д402[[#This Row],[02.12.2024]]</f>
        <v>145319.20000000001</v>
      </c>
      <c r="Y137" s="149">
        <v>1000</v>
      </c>
      <c r="Z137" s="10">
        <f>Д402[[#This Row],[Фикс 20.12.24]]+Д402[[#This Row],[23.12.24 СП +1000]]</f>
        <v>146319.20000000001</v>
      </c>
      <c r="AA137" s="149">
        <v>215</v>
      </c>
      <c r="AB137" s="10">
        <f>Д402[[#This Row],[Фикс 23.12.24]]+Д402[[#This Row],[Повышение 20.02.25]]</f>
        <v>146534.20000000001</v>
      </c>
      <c r="AC137" s="149">
        <v>17.5</v>
      </c>
      <c r="AD137" s="10">
        <f>Д402[[#This Row],[Фикс 20.02.25]]+Д402[[#This Row],[Повышение 24.02.2025]]</f>
        <v>146551.70000000001</v>
      </c>
      <c r="AE137" s="10"/>
      <c r="AF137" s="10">
        <f>Д402[[#This Row],[Фикс 24.02.25]]+Д402[[#This Row],[Повышение 05.03.2025
1К: до 40м - 1,5%, 40+ 0,5%
2К - 0,5% ]]</f>
        <v>146551.70000000001</v>
      </c>
      <c r="AG137" s="10"/>
      <c r="AH137" s="10">
        <f>Д402[[#This Row],[Фикс 05.03.25]]+Д402[[#This Row],[повышение 14.03.25 1К-1%]]</f>
        <v>146551.70000000001</v>
      </c>
      <c r="AI137" s="10"/>
      <c r="AJ137" s="10">
        <f>Д402[[#This Row],[Фикс 14.03.25]]+Д402[[#This Row],[повышение 28.03.25 1К-1%]]</f>
        <v>146551.70000000001</v>
      </c>
      <c r="AK137" s="10"/>
      <c r="AL137" s="10">
        <f>Д402[[#This Row],[Фикс 28.03.25]]+Д402[[#This Row],[Повышение 23.07.25
1К 43-46м2 - 2%
2К 55-58 - 2%; 58-64 - 3%
3К 76-79 - 2%
]]</f>
        <v>146551.70000000001</v>
      </c>
      <c r="AM137" s="149">
        <f>ROUND(Д402[[#This Row],[Фикс 23.07.25]],2)</f>
        <v>146551.70000000001</v>
      </c>
      <c r="AN137" s="149">
        <f>ROUNDUP(Д402[[#This Row],[утв цена м2]]*Д402[[#This Row],[Расчетная проектная площадь]],-2)</f>
        <v>4323300</v>
      </c>
      <c r="AO137" s="151"/>
      <c r="AP137" s="152"/>
      <c r="AQ137" s="151">
        <f>Д402[[#This Row],[Стоимость до скидки]]*Д402[[#This Row],[Скидка %]]+Д402[[#This Row],[Скидка фиксированная]]</f>
        <v>0</v>
      </c>
      <c r="AR137" s="3">
        <f>Д402[[#This Row],[Стоимость ОН без отделки со скидкой]]/Д402[[#This Row],[Расчетная проектная площадь]]</f>
        <v>146552.54237288135</v>
      </c>
      <c r="AS137" s="3">
        <f>Д402[[#This Row],[Стоимость до скидки]]-Д402[[#This Row],[Итоговая сумма скидки]]</f>
        <v>4323300</v>
      </c>
      <c r="AT13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7" s="153"/>
      <c r="AV137" s="153"/>
      <c r="AW137" s="3">
        <f>Д402[[#This Row],[Цена м2 без отделки со скидкой]]+Д402[[#This Row],[Стоимость отделки]]</f>
        <v>146552.54237288135</v>
      </c>
      <c r="AX137" s="3">
        <f>Д402[[#This Row],[Стоимость квартиры с отделкой]]-Д402[[#This Row],[Стоимость ОН без отделки со скидкой]]</f>
        <v>0</v>
      </c>
      <c r="AY137" s="3">
        <f>Д402[[#This Row],[Цена м2 с отделкой]]*Д402[[#This Row],[Расчетная проектная площадь]]</f>
        <v>4323300</v>
      </c>
      <c r="AZ137" s="161"/>
      <c r="BA137" s="155" t="s">
        <v>12</v>
      </c>
      <c r="BB137" s="156" t="str" cm="1">
        <f t="array" ref="BB13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7" s="161" t="s">
        <v>738</v>
      </c>
      <c r="BD137" s="161" t="s">
        <v>739</v>
      </c>
      <c r="BE137" s="161" t="s">
        <v>737</v>
      </c>
      <c r="BF137" s="161" t="s">
        <v>743</v>
      </c>
      <c r="BG137" s="161" t="b">
        <f>EXACT(Д402[[#This Row],[Статусы CRM]],Д402[[#This Row],[Статус]])</f>
        <v>1</v>
      </c>
      <c r="BH137" s="3">
        <f>IF(Д402[[#This Row],[ПС]]=0,IF(Д402[[#This Row],[ДС]]=0,Д402[[#This Row],[ТС]],Д402[[#This Row],[ДС]]),Д402[[#This Row],[ПС]])</f>
        <v>4323300</v>
      </c>
      <c r="BI137" s="3">
        <v>4323300</v>
      </c>
      <c r="BJ137" s="3">
        <v>0</v>
      </c>
      <c r="BK137" s="3">
        <v>0</v>
      </c>
      <c r="BL137" s="273">
        <f>Д402[[#This Row],[Стоимость CRM]]-Д402[[#This Row],[Стоимость до скидки]]</f>
        <v>0</v>
      </c>
      <c r="BM137" s="161" t="s">
        <v>9</v>
      </c>
      <c r="BN137" s="161" t="b">
        <f>Д402[[#This Row],[Отделка CRM]]=Д402[[#This Row],[Отделка]]</f>
        <v>1</v>
      </c>
      <c r="BO137" s="275" t="s">
        <v>269</v>
      </c>
      <c r="BP137" s="69"/>
    </row>
    <row r="138" spans="1:68" ht="12" customHeight="1" x14ac:dyDescent="0.25">
      <c r="A138" s="140">
        <v>136</v>
      </c>
      <c r="B138" s="15">
        <v>2</v>
      </c>
      <c r="C138" s="141">
        <f t="shared" si="4"/>
        <v>6</v>
      </c>
      <c r="D138" s="142">
        <v>4</v>
      </c>
      <c r="E138" s="141">
        <v>0</v>
      </c>
      <c r="F138" s="143">
        <v>13.39</v>
      </c>
      <c r="G138" s="143"/>
      <c r="H138" s="143"/>
      <c r="I138" s="144">
        <f>SUM(Д402[[#This Row],[Комната 1]:[Комната 3]])</f>
        <v>13.39</v>
      </c>
      <c r="J138" s="145">
        <v>5.98</v>
      </c>
      <c r="K138" s="145">
        <v>4.54</v>
      </c>
      <c r="L138" s="145"/>
      <c r="M138" s="145">
        <v>4.08</v>
      </c>
      <c r="N138" s="145"/>
      <c r="O138" s="145"/>
      <c r="P138" s="146"/>
      <c r="Q138" s="146"/>
      <c r="R138" s="146">
        <f>SUM(Д402[[#This Row],[Лоджия 1]:[Лоджия 3]])</f>
        <v>0</v>
      </c>
      <c r="S138" s="10">
        <f>ROUND(SUM(Д402[[#This Row],[Площадь по проекту жилая]:[Лоджия 3]]),2)</f>
        <v>27.99</v>
      </c>
      <c r="T138" s="10">
        <f>ROUND(Д402[[#This Row],[Площадь по проекту(общая)]]-Д402[[#This Row],[Летние]],2)</f>
        <v>27.99</v>
      </c>
      <c r="U138" s="10">
        <f>ROUND(Д402[[#This Row],[Площадь по проекту(общая)]]-(SUM(Д402[[#This Row],[Лоджия 1]:[Лоджия 3]])/2),2)</f>
        <v>27.99</v>
      </c>
      <c r="V138" s="10">
        <f>VLOOKUP(Д402[[#This Row],[№]],наценка7[],COLUMN(наценка7[[#This Row],[Цена м2 с учетом всех K]]),0)</f>
        <v>142524.6</v>
      </c>
      <c r="W138" s="162"/>
      <c r="X138" s="10">
        <f>Д402[[#This Row],[м2 после К]]+Д402[[#This Row],[02.12.2024]]</f>
        <v>142524.6</v>
      </c>
      <c r="Y138" s="149">
        <v>1000</v>
      </c>
      <c r="Z138" s="10">
        <f>Д402[[#This Row],[Фикс 20.12.24]]+Д402[[#This Row],[23.12.24 СП +1000]]</f>
        <v>143524.6</v>
      </c>
      <c r="AA138" s="149">
        <v>215</v>
      </c>
      <c r="AB138" s="10">
        <f>Д402[[#This Row],[Фикс 23.12.24]]+Д402[[#This Row],[Повышение 20.02.25]]</f>
        <v>143739.6</v>
      </c>
      <c r="AC138" s="149">
        <v>17.5</v>
      </c>
      <c r="AD138" s="10">
        <f>Д402[[#This Row],[Фикс 20.02.25]]+Д402[[#This Row],[Повышение 24.02.2025]]</f>
        <v>143757.1</v>
      </c>
      <c r="AE138" s="10"/>
      <c r="AF138" s="10">
        <f>Д402[[#This Row],[Фикс 24.02.25]]+Д402[[#This Row],[Повышение 05.03.2025
1К: до 40м - 1,5%, 40+ 0,5%
2К - 0,5% ]]</f>
        <v>143757.1</v>
      </c>
      <c r="AG138" s="10"/>
      <c r="AH138" s="10">
        <f>Д402[[#This Row],[Фикс 05.03.25]]+Д402[[#This Row],[повышение 14.03.25 1К-1%]]</f>
        <v>143757.1</v>
      </c>
      <c r="AI138" s="10"/>
      <c r="AJ138" s="10">
        <f>Д402[[#This Row],[Фикс 14.03.25]]+Д402[[#This Row],[повышение 28.03.25 1К-1%]]</f>
        <v>143757.1</v>
      </c>
      <c r="AK138" s="10"/>
      <c r="AL138" s="10">
        <f>Д402[[#This Row],[Фикс 28.03.25]]+Д402[[#This Row],[Повышение 23.07.25
1К 43-46м2 - 2%
2К 55-58 - 2%; 58-64 - 3%
3К 76-79 - 2%
]]</f>
        <v>143757.1</v>
      </c>
      <c r="AM138" s="149">
        <f>ROUND(Д402[[#This Row],[Фикс 23.07.25]],2)</f>
        <v>143757.1</v>
      </c>
      <c r="AN138" s="149">
        <f>ROUNDUP(Д402[[#This Row],[утв цена м2]]*Д402[[#This Row],[Расчетная проектная площадь]],-2)</f>
        <v>4023800</v>
      </c>
      <c r="AO138" s="151"/>
      <c r="AP138" s="152"/>
      <c r="AQ138" s="151">
        <f>Д402[[#This Row],[Стоимость до скидки]]*Д402[[#This Row],[Скидка %]]+Д402[[#This Row],[Скидка фиксированная]]</f>
        <v>0</v>
      </c>
      <c r="AR138" s="3">
        <f>Д402[[#This Row],[Стоимость ОН без отделки со скидкой]]/Д402[[#This Row],[Расчетная проектная площадь]]</f>
        <v>143758.48517327619</v>
      </c>
      <c r="AS138" s="3">
        <f>Д402[[#This Row],[Стоимость до скидки]]-Д402[[#This Row],[Итоговая сумма скидки]]</f>
        <v>4023800</v>
      </c>
      <c r="AT13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8" s="153"/>
      <c r="AV138" s="153"/>
      <c r="AW138" s="3">
        <f>Д402[[#This Row],[Цена м2 без отделки со скидкой]]+Д402[[#This Row],[Стоимость отделки]]</f>
        <v>143758.48517327619</v>
      </c>
      <c r="AX138" s="3">
        <f>Д402[[#This Row],[Стоимость квартиры с отделкой]]-Д402[[#This Row],[Стоимость ОН без отделки со скидкой]]</f>
        <v>0</v>
      </c>
      <c r="AY138" s="3">
        <f>Д402[[#This Row],[Цена м2 с отделкой]]*Д402[[#This Row],[Расчетная проектная площадь]]</f>
        <v>4023800.0000000005</v>
      </c>
      <c r="AZ138" s="161"/>
      <c r="BA138" s="155" t="s">
        <v>12</v>
      </c>
      <c r="BB138" s="156" t="str" cm="1">
        <f t="array" ref="BB13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8" s="161" t="s">
        <v>738</v>
      </c>
      <c r="BD138" s="161" t="s">
        <v>739</v>
      </c>
      <c r="BE138" s="161" t="s">
        <v>737</v>
      </c>
      <c r="BF138" s="161" t="s">
        <v>743</v>
      </c>
      <c r="BG138" s="161" t="b">
        <f>EXACT(Д402[[#This Row],[Статусы CRM]],Д402[[#This Row],[Статус]])</f>
        <v>1</v>
      </c>
      <c r="BH138" s="3">
        <f>IF(Д402[[#This Row],[ПС]]=0,IF(Д402[[#This Row],[ДС]]=0,Д402[[#This Row],[ТС]],Д402[[#This Row],[ДС]]),Д402[[#This Row],[ПС]])</f>
        <v>4023800</v>
      </c>
      <c r="BI138" s="3">
        <v>4023800</v>
      </c>
      <c r="BJ138" s="3">
        <v>0</v>
      </c>
      <c r="BK138" s="3">
        <v>0</v>
      </c>
      <c r="BL138" s="273">
        <f>Д402[[#This Row],[Стоимость CRM]]-Д402[[#This Row],[Стоимость до скидки]]</f>
        <v>0</v>
      </c>
      <c r="BM138" s="161" t="s">
        <v>9</v>
      </c>
      <c r="BN138" s="161" t="b">
        <f>Д402[[#This Row],[Отделка CRM]]=Д402[[#This Row],[Отделка]]</f>
        <v>1</v>
      </c>
      <c r="BO138" s="275" t="s">
        <v>270</v>
      </c>
      <c r="BP138" s="69"/>
    </row>
    <row r="139" spans="1:68" ht="12" customHeight="1" x14ac:dyDescent="0.25">
      <c r="A139" s="140">
        <v>137</v>
      </c>
      <c r="B139" s="15">
        <v>2</v>
      </c>
      <c r="C139" s="141">
        <f t="shared" si="4"/>
        <v>6</v>
      </c>
      <c r="D139" s="142">
        <v>5</v>
      </c>
      <c r="E139" s="141">
        <v>2</v>
      </c>
      <c r="F139" s="143">
        <v>16.579999999999998</v>
      </c>
      <c r="G139" s="143">
        <v>14.14</v>
      </c>
      <c r="H139" s="143"/>
      <c r="I139" s="144">
        <f>SUM(Д402[[#This Row],[Комната 1]:[Комната 3]])</f>
        <v>30.72</v>
      </c>
      <c r="J139" s="145">
        <v>12.38</v>
      </c>
      <c r="K139" s="145">
        <v>4.1399999999999997</v>
      </c>
      <c r="L139" s="145"/>
      <c r="M139" s="145">
        <v>7.61</v>
      </c>
      <c r="N139" s="145">
        <v>7.03</v>
      </c>
      <c r="O139" s="145">
        <v>3.11</v>
      </c>
      <c r="P139" s="146"/>
      <c r="Q139" s="146"/>
      <c r="R139" s="146">
        <f>SUM(Д402[[#This Row],[Лоджия 1]:[Лоджия 3]])</f>
        <v>3.11</v>
      </c>
      <c r="S139" s="10">
        <f>ROUND(SUM(Д402[[#This Row],[Площадь по проекту жилая]:[Лоджия 3]]),2)</f>
        <v>64.989999999999995</v>
      </c>
      <c r="T139" s="10">
        <f>ROUND(Д402[[#This Row],[Площадь по проекту(общая)]]-Д402[[#This Row],[Летние]],2)</f>
        <v>61.88</v>
      </c>
      <c r="U139" s="10">
        <f>ROUND(Д402[[#This Row],[Площадь по проекту(общая)]]-(SUM(Д402[[#This Row],[Лоджия 1]:[Лоджия 3]])/2),2)</f>
        <v>63.44</v>
      </c>
      <c r="V139" s="10">
        <f>VLOOKUP(Д402[[#This Row],[№]],наценка7[],COLUMN(наценка7[[#This Row],[Цена м2 с учетом всех K]]),0)</f>
        <v>122072.4</v>
      </c>
      <c r="W139" s="162">
        <v>-7000</v>
      </c>
      <c r="X139" s="10">
        <f>Д402[[#This Row],[м2 после К]]+Д402[[#This Row],[02.12.2024]]</f>
        <v>115072.4</v>
      </c>
      <c r="Y139" s="149">
        <v>1000</v>
      </c>
      <c r="Z139" s="10">
        <f>Д402[[#This Row],[Фикс 20.12.24]]+Д402[[#This Row],[23.12.24 СП +1000]]</f>
        <v>116072.4</v>
      </c>
      <c r="AA139" s="149">
        <v>215</v>
      </c>
      <c r="AB139" s="10">
        <f>Д402[[#This Row],[Фикс 23.12.24]]+Д402[[#This Row],[Повышение 20.02.25]]</f>
        <v>116287.4</v>
      </c>
      <c r="AC139" s="149">
        <v>17.5</v>
      </c>
      <c r="AD139" s="10">
        <f>Д402[[#This Row],[Фикс 20.02.25]]+Д402[[#This Row],[Повышение 24.02.2025]]</f>
        <v>116304.9</v>
      </c>
      <c r="AE139" s="149">
        <f>Д402[[#This Row],[Фикс 24.02.25]]*0.5%</f>
        <v>581.52449999999999</v>
      </c>
      <c r="AF139" s="10">
        <f>Д402[[#This Row],[Фикс 24.02.25]]+Д402[[#This Row],[Повышение 05.03.2025
1К: до 40м - 1,5%, 40+ 0,5%
2К - 0,5% ]]</f>
        <v>116886.42449999999</v>
      </c>
      <c r="AG139" s="10"/>
      <c r="AH139" s="10">
        <f>Д402[[#This Row],[Фикс 05.03.25]]+Д402[[#This Row],[повышение 14.03.25 1К-1%]]</f>
        <v>116886.42449999999</v>
      </c>
      <c r="AI139" s="10"/>
      <c r="AJ139" s="10">
        <f>Д402[[#This Row],[Фикс 14.03.25]]+Д402[[#This Row],[повышение 28.03.25 1К-1%]]</f>
        <v>116886.42449999999</v>
      </c>
      <c r="AK139" s="10">
        <f>Д402[[#This Row],[Фикс 28.03.25]]*3%</f>
        <v>3506.5927349999997</v>
      </c>
      <c r="AL139" s="10">
        <f>Д402[[#This Row],[Фикс 28.03.25]]+Д402[[#This Row],[Повышение 23.07.25
1К 43-46м2 - 2%
2К 55-58 - 2%; 58-64 - 3%
3К 76-79 - 2%
]]</f>
        <v>120393.01723499999</v>
      </c>
      <c r="AM139" s="149">
        <f>ROUND(Д402[[#This Row],[Фикс 23.07.25]],2)</f>
        <v>120393.02</v>
      </c>
      <c r="AN139" s="149">
        <f>ROUNDUP(Д402[[#This Row],[утв цена м2]]*Д402[[#This Row],[Расчетная проектная площадь]],-2)</f>
        <v>7637800</v>
      </c>
      <c r="AO139" s="151"/>
      <c r="AP139" s="152"/>
      <c r="AQ139" s="151">
        <f>Д402[[#This Row],[Стоимость до скидки]]*Д402[[#This Row],[Скидка %]]+Д402[[#This Row],[Скидка фиксированная]]</f>
        <v>0</v>
      </c>
      <c r="AR139" s="3">
        <f>Д402[[#This Row],[Стоимость ОН без отделки со скидкой]]/Д402[[#This Row],[Расчетная проектная площадь]]</f>
        <v>120394.07313997479</v>
      </c>
      <c r="AS139" s="3">
        <f>Д402[[#This Row],[Стоимость до скидки]]-Д402[[#This Row],[Итоговая сумма скидки]]</f>
        <v>7637800</v>
      </c>
      <c r="AT13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39" s="153"/>
      <c r="AV139" s="153"/>
      <c r="AW139" s="3">
        <f>Д402[[#This Row],[Цена м2 без отделки со скидкой]]+Д402[[#This Row],[Стоимость отделки]]</f>
        <v>120394.07313997479</v>
      </c>
      <c r="AX139" s="3">
        <f>Д402[[#This Row],[Стоимость квартиры с отделкой]]-Д402[[#This Row],[Стоимость ОН без отделки со скидкой]]</f>
        <v>0</v>
      </c>
      <c r="AY139" s="3">
        <f>Д402[[#This Row],[Цена м2 с отделкой]]*Д402[[#This Row],[Расчетная проектная площадь]]</f>
        <v>7637800</v>
      </c>
      <c r="AZ139" s="161"/>
      <c r="BA139" s="269" t="s">
        <v>12</v>
      </c>
      <c r="BB139" s="269" t="str" cm="1">
        <f t="array" ref="BB13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39" s="161" t="s">
        <v>738</v>
      </c>
      <c r="BD139" s="161" t="s">
        <v>739</v>
      </c>
      <c r="BE139" s="161" t="s">
        <v>737</v>
      </c>
      <c r="BF139" s="161" t="s">
        <v>747</v>
      </c>
      <c r="BG139" s="161" t="b">
        <f>EXACT(Д402[[#This Row],[Статусы CRM]],Д402[[#This Row],[Статус]])</f>
        <v>1</v>
      </c>
      <c r="BH139" s="3">
        <f>IF(Д402[[#This Row],[ПС]]=0,IF(Д402[[#This Row],[ДС]]=0,Д402[[#This Row],[ТС]],Д402[[#This Row],[ДС]]),Д402[[#This Row],[ПС]])</f>
        <v>7637800</v>
      </c>
      <c r="BI139" s="3">
        <v>7637800</v>
      </c>
      <c r="BJ139" s="3">
        <v>0</v>
      </c>
      <c r="BK139" s="3">
        <v>0</v>
      </c>
      <c r="BL139" s="273">
        <f>Д402[[#This Row],[Стоимость CRM]]-Д402[[#This Row],[Стоимость до скидки]]</f>
        <v>0</v>
      </c>
      <c r="BM139" s="161" t="s">
        <v>9</v>
      </c>
      <c r="BN139" s="161" t="b">
        <f>Д402[[#This Row],[Отделка CRM]]=Д402[[#This Row],[Отделка]]</f>
        <v>1</v>
      </c>
      <c r="BO139" s="275" t="s">
        <v>271</v>
      </c>
      <c r="BP139" s="69"/>
    </row>
    <row r="140" spans="1:68" ht="12" customHeight="1" x14ac:dyDescent="0.25">
      <c r="A140" s="140">
        <v>138</v>
      </c>
      <c r="B140" s="15">
        <v>2</v>
      </c>
      <c r="C140" s="141">
        <f t="shared" si="4"/>
        <v>6</v>
      </c>
      <c r="D140" s="142">
        <v>6</v>
      </c>
      <c r="E140" s="141">
        <v>2</v>
      </c>
      <c r="F140" s="143">
        <v>17.73</v>
      </c>
      <c r="G140" s="143">
        <v>12.22</v>
      </c>
      <c r="H140" s="143"/>
      <c r="I140" s="144">
        <f>SUM(Д402[[#This Row],[Комната 1]:[Комната 3]])</f>
        <v>29.950000000000003</v>
      </c>
      <c r="J140" s="145">
        <v>13.65</v>
      </c>
      <c r="K140" s="145">
        <v>5.22</v>
      </c>
      <c r="L140" s="145">
        <v>2.5</v>
      </c>
      <c r="M140" s="145">
        <v>8.06</v>
      </c>
      <c r="N140" s="145"/>
      <c r="O140" s="145">
        <v>3.11</v>
      </c>
      <c r="P140" s="146"/>
      <c r="Q140" s="146"/>
      <c r="R140" s="146">
        <f>SUM(Д402[[#This Row],[Лоджия 1]:[Лоджия 3]])</f>
        <v>3.11</v>
      </c>
      <c r="S140" s="10">
        <f>ROUND(SUM(Д402[[#This Row],[Площадь по проекту жилая]:[Лоджия 3]]),2)</f>
        <v>62.49</v>
      </c>
      <c r="T140" s="10">
        <f>ROUND(Д402[[#This Row],[Площадь по проекту(общая)]]-Д402[[#This Row],[Летние]],2)</f>
        <v>59.38</v>
      </c>
      <c r="U140" s="10">
        <f>ROUND(Д402[[#This Row],[Площадь по проекту(общая)]]-(SUM(Д402[[#This Row],[Лоджия 1]:[Лоджия 3]])/2),2)</f>
        <v>60.94</v>
      </c>
      <c r="V140" s="10">
        <f>VLOOKUP(Д402[[#This Row],[№]],наценка7[],COLUMN(наценка7[[#This Row],[Цена м2 с учетом всех K]]),0)</f>
        <v>124333</v>
      </c>
      <c r="W140" s="162">
        <v>-10000</v>
      </c>
      <c r="X140" s="10">
        <f>Д402[[#This Row],[м2 после К]]+Д402[[#This Row],[02.12.2024]]</f>
        <v>114333</v>
      </c>
      <c r="Y140" s="149">
        <v>1000</v>
      </c>
      <c r="Z140" s="10">
        <f>Д402[[#This Row],[Фикс 20.12.24]]+Д402[[#This Row],[23.12.24 СП +1000]]</f>
        <v>115333</v>
      </c>
      <c r="AA140" s="10"/>
      <c r="AB140" s="10">
        <f>Д402[[#This Row],[Фикс 23.12.24]]+Д402[[#This Row],[Повышение 20.02.25]]</f>
        <v>115333</v>
      </c>
      <c r="AC140" s="10"/>
      <c r="AD140" s="10">
        <f>Д402[[#This Row],[Фикс 20.02.25]]+Д402[[#This Row],[Повышение 24.02.2025]]</f>
        <v>115333</v>
      </c>
      <c r="AE140" s="10"/>
      <c r="AF140" s="10">
        <f>Д402[[#This Row],[Фикс 24.02.25]]+Д402[[#This Row],[Повышение 05.03.2025
1К: до 40м - 1,5%, 40+ 0,5%
2К - 0,5% ]]</f>
        <v>115333</v>
      </c>
      <c r="AG140" s="10"/>
      <c r="AH140" s="10">
        <f>Д402[[#This Row],[Фикс 05.03.25]]+Д402[[#This Row],[повышение 14.03.25 1К-1%]]</f>
        <v>115333</v>
      </c>
      <c r="AI140" s="10"/>
      <c r="AJ140" s="10">
        <f>Д402[[#This Row],[Фикс 14.03.25]]+Д402[[#This Row],[повышение 28.03.25 1К-1%]]</f>
        <v>115333</v>
      </c>
      <c r="AK140" s="10"/>
      <c r="AL140" s="10">
        <f>Д402[[#This Row],[Фикс 28.03.25]]+Д402[[#This Row],[Повышение 23.07.25
1К 43-46м2 - 2%
2К 55-58 - 2%; 58-64 - 3%
3К 76-79 - 2%
]]</f>
        <v>115333</v>
      </c>
      <c r="AM140" s="149">
        <f>ROUND(Д402[[#This Row],[Фикс 23.07.25]],2)</f>
        <v>115333</v>
      </c>
      <c r="AN140" s="149">
        <f>ROUNDUP(Д402[[#This Row],[утв цена м2]]*Д402[[#This Row],[Расчетная проектная площадь]],-2)</f>
        <v>7028400</v>
      </c>
      <c r="AO140" s="151"/>
      <c r="AP140" s="152">
        <v>0.03</v>
      </c>
      <c r="AQ140" s="151">
        <f>Д402[[#This Row],[Стоимость до скидки]]*Д402[[#This Row],[Скидка %]]+Д402[[#This Row],[Скидка фиксированная]]</f>
        <v>210852</v>
      </c>
      <c r="AR140" s="3">
        <f>Д402[[#This Row],[Стоимость ОН без отделки со скидкой]]/Д402[[#This Row],[Расчетная проектная площадь]]</f>
        <v>111873.12110272399</v>
      </c>
      <c r="AS140" s="3">
        <f>Д402[[#This Row],[Стоимость до скидки]]-Д402[[#This Row],[Итоговая сумма скидки]]</f>
        <v>6817548</v>
      </c>
      <c r="AT14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0" s="153"/>
      <c r="AV140" s="153"/>
      <c r="AW140" s="3">
        <f>Д402[[#This Row],[Цена м2 без отделки со скидкой]]+Д402[[#This Row],[Стоимость отделки]]</f>
        <v>111873.12110272399</v>
      </c>
      <c r="AX140" s="3">
        <f>Д402[[#This Row],[Стоимость квартиры с отделкой]]-Д402[[#This Row],[Стоимость ОН без отделки со скидкой]]</f>
        <v>0</v>
      </c>
      <c r="AY140" s="3">
        <f>Д402[[#This Row],[Цена м2 с отделкой]]*Д402[[#This Row],[Расчетная проектная площадь]]</f>
        <v>6817548</v>
      </c>
      <c r="AZ140" s="161" t="s">
        <v>435</v>
      </c>
      <c r="BA140" s="269" t="s">
        <v>426</v>
      </c>
      <c r="BB140" s="269" t="str" cm="1">
        <f t="array" ref="BB14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40" s="161" t="s">
        <v>741</v>
      </c>
      <c r="BD140" s="161" t="s">
        <v>506</v>
      </c>
      <c r="BE140" s="161" t="s">
        <v>737</v>
      </c>
      <c r="BF140" s="161" t="s">
        <v>747</v>
      </c>
      <c r="BG140" s="161" t="b">
        <f>EXACT(Д402[[#This Row],[Статусы CRM]],Д402[[#This Row],[Статус]])</f>
        <v>1</v>
      </c>
      <c r="BH140" s="3">
        <f>IF(Д402[[#This Row],[ПС]]=0,IF(Д402[[#This Row],[ДС]]=0,Д402[[#This Row],[ТС]],Д402[[#This Row],[ДС]]),Д402[[#This Row],[ПС]])</f>
        <v>7028400</v>
      </c>
      <c r="BI140" s="3" t="s">
        <v>749</v>
      </c>
      <c r="BJ140" s="3">
        <v>0</v>
      </c>
      <c r="BK140" s="3">
        <v>7028400</v>
      </c>
      <c r="BL140" s="273">
        <f>Д402[[#This Row],[Стоимость CRM]]-Д402[[#This Row],[Стоимость до скидки]]</f>
        <v>0</v>
      </c>
      <c r="BM140" s="161" t="s">
        <v>9</v>
      </c>
      <c r="BN140" s="161" t="b">
        <f>Д402[[#This Row],[Отделка CRM]]=Д402[[#This Row],[Отделка]]</f>
        <v>1</v>
      </c>
      <c r="BO140" s="275" t="s">
        <v>272</v>
      </c>
      <c r="BP140" s="69"/>
    </row>
    <row r="141" spans="1:68" ht="12" customHeight="1" x14ac:dyDescent="0.25">
      <c r="A141" s="140">
        <v>139</v>
      </c>
      <c r="B141" s="15">
        <v>2</v>
      </c>
      <c r="C141" s="141">
        <f t="shared" si="4"/>
        <v>7</v>
      </c>
      <c r="D141" s="142">
        <v>1</v>
      </c>
      <c r="E141" s="141">
        <v>2</v>
      </c>
      <c r="F141" s="143">
        <v>17.579999999999998</v>
      </c>
      <c r="G141" s="143">
        <v>14.37</v>
      </c>
      <c r="H141" s="143"/>
      <c r="I141" s="144">
        <f>SUM(Д402[[#This Row],[Комната 1]:[Комната 3]])</f>
        <v>31.949999999999996</v>
      </c>
      <c r="J141" s="145">
        <v>14.29</v>
      </c>
      <c r="K141" s="145">
        <v>4.5199999999999996</v>
      </c>
      <c r="L141" s="145"/>
      <c r="M141" s="145">
        <v>8.64</v>
      </c>
      <c r="N141" s="145">
        <v>4.76</v>
      </c>
      <c r="O141" s="145">
        <v>3.11</v>
      </c>
      <c r="P141" s="146"/>
      <c r="Q141" s="146"/>
      <c r="R141" s="146">
        <f>SUM(Д402[[#This Row],[Лоджия 1]:[Лоджия 3]])</f>
        <v>3.11</v>
      </c>
      <c r="S141" s="10">
        <f>ROUND(SUM(Д402[[#This Row],[Площадь по проекту жилая]:[Лоджия 3]]),2)</f>
        <v>67.27</v>
      </c>
      <c r="T141" s="10">
        <f>ROUND(Д402[[#This Row],[Площадь по проекту(общая)]]-Д402[[#This Row],[Летние]],2)</f>
        <v>64.16</v>
      </c>
      <c r="U141" s="10">
        <f>ROUND(Д402[[#This Row],[Площадь по проекту(общая)]]-(SUM(Д402[[#This Row],[Лоджия 1]:[Лоджия 3]])/2),2)</f>
        <v>65.72</v>
      </c>
      <c r="V141" s="10">
        <f>VLOOKUP(Д402[[#This Row],[№]],наценка7[],COLUMN(наценка7[[#This Row],[Цена м2 с учетом всех K]]),0)</f>
        <v>117551.2</v>
      </c>
      <c r="W141" s="162"/>
      <c r="X141" s="10">
        <f>Д402[[#This Row],[м2 после К]]+Д402[[#This Row],[02.12.2024]]</f>
        <v>117551.2</v>
      </c>
      <c r="Y141" s="149">
        <v>1000</v>
      </c>
      <c r="Z141" s="10">
        <f>Д402[[#This Row],[Фикс 20.12.24]]+Д402[[#This Row],[23.12.24 СП +1000]]</f>
        <v>118551.2</v>
      </c>
      <c r="AA141" s="149">
        <v>215</v>
      </c>
      <c r="AB141" s="10">
        <f>Д402[[#This Row],[Фикс 23.12.24]]+Д402[[#This Row],[Повышение 20.02.25]]</f>
        <v>118766.2</v>
      </c>
      <c r="AC141" s="149">
        <v>17.5</v>
      </c>
      <c r="AD141" s="10">
        <f>Д402[[#This Row],[Фикс 20.02.25]]+Д402[[#This Row],[Повышение 24.02.2025]]</f>
        <v>118783.7</v>
      </c>
      <c r="AE141" s="149">
        <f>Д402[[#This Row],[Фикс 24.02.25]]*0.5%</f>
        <v>593.91849999999999</v>
      </c>
      <c r="AF141" s="10">
        <f>Д402[[#This Row],[Фикс 24.02.25]]+Д402[[#This Row],[Повышение 05.03.2025
1К: до 40м - 1,5%, 40+ 0,5%
2К - 0,5% ]]</f>
        <v>119377.6185</v>
      </c>
      <c r="AG141" s="10"/>
      <c r="AH141" s="10">
        <f>Д402[[#This Row],[Фикс 05.03.25]]+Д402[[#This Row],[повышение 14.03.25 1К-1%]]</f>
        <v>119377.6185</v>
      </c>
      <c r="AI141" s="10"/>
      <c r="AJ141" s="10">
        <f>Д402[[#This Row],[Фикс 14.03.25]]+Д402[[#This Row],[повышение 28.03.25 1К-1%]]</f>
        <v>119377.6185</v>
      </c>
      <c r="AK141" s="10"/>
      <c r="AL141" s="10">
        <f>Д402[[#This Row],[Фикс 28.03.25]]+Д402[[#This Row],[Повышение 23.07.25
1К 43-46м2 - 2%
2К 55-58 - 2%; 58-64 - 3%
3К 76-79 - 2%
]]</f>
        <v>119377.6185</v>
      </c>
      <c r="AM141" s="149">
        <f>ROUND(Д402[[#This Row],[Фикс 23.07.25]],2)</f>
        <v>119377.62</v>
      </c>
      <c r="AN141" s="149">
        <f>ROUNDUP(Д402[[#This Row],[утв цена м2]]*Д402[[#This Row],[Расчетная проектная площадь]],-2)</f>
        <v>7845500</v>
      </c>
      <c r="AO141" s="151"/>
      <c r="AP141" s="152"/>
      <c r="AQ141" s="151">
        <f>Д402[[#This Row],[Стоимость до скидки]]*Д402[[#This Row],[Скидка %]]+Д402[[#This Row],[Скидка фиксированная]]</f>
        <v>0</v>
      </c>
      <c r="AR141" s="3">
        <f>Д402[[#This Row],[Стоимость ОН без отделки со скидкой]]/Д402[[#This Row],[Расчетная проектная площадь]]</f>
        <v>119377.6628119294</v>
      </c>
      <c r="AS141" s="3">
        <f>Д402[[#This Row],[Стоимость до скидки]]-Д402[[#This Row],[Итоговая сумма скидки]]</f>
        <v>7845500</v>
      </c>
      <c r="AT14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1" s="153"/>
      <c r="AV141" s="153"/>
      <c r="AW141" s="3">
        <f>Д402[[#This Row],[Цена м2 без отделки со скидкой]]+Д402[[#This Row],[Стоимость отделки]]</f>
        <v>119377.6628119294</v>
      </c>
      <c r="AX141" s="3">
        <f>Д402[[#This Row],[Стоимость квартиры с отделкой]]-Д402[[#This Row],[Стоимость ОН без отделки со скидкой]]</f>
        <v>0</v>
      </c>
      <c r="AY141" s="3">
        <f>Д402[[#This Row],[Цена м2 с отделкой]]*Д402[[#This Row],[Расчетная проектная площадь]]</f>
        <v>7845500</v>
      </c>
      <c r="AZ141" s="161"/>
      <c r="BA141" s="155" t="s">
        <v>12</v>
      </c>
      <c r="BB141" s="156" t="str" cm="1">
        <f t="array" ref="BB14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1" s="161" t="s">
        <v>738</v>
      </c>
      <c r="BD141" s="161" t="s">
        <v>739</v>
      </c>
      <c r="BE141" s="161" t="s">
        <v>737</v>
      </c>
      <c r="BF141" s="161" t="s">
        <v>744</v>
      </c>
      <c r="BG141" s="161" t="b">
        <f>EXACT(Д402[[#This Row],[Статусы CRM]],Д402[[#This Row],[Статус]])</f>
        <v>1</v>
      </c>
      <c r="BH141" s="3">
        <f>IF(Д402[[#This Row],[ПС]]=0,IF(Д402[[#This Row],[ДС]]=0,Д402[[#This Row],[ТС]],Д402[[#This Row],[ДС]]),Д402[[#This Row],[ПС]])</f>
        <v>7845500</v>
      </c>
      <c r="BI141" s="3">
        <v>7845500</v>
      </c>
      <c r="BJ141" s="3">
        <v>0</v>
      </c>
      <c r="BK141" s="3">
        <v>0</v>
      </c>
      <c r="BL141" s="273">
        <f>Д402[[#This Row],[Стоимость CRM]]-Д402[[#This Row],[Стоимость до скидки]]</f>
        <v>0</v>
      </c>
      <c r="BM141" s="161" t="s">
        <v>9</v>
      </c>
      <c r="BN141" s="161" t="b">
        <f>Д402[[#This Row],[Отделка CRM]]=Д402[[#This Row],[Отделка]]</f>
        <v>1</v>
      </c>
      <c r="BO141" s="275" t="s">
        <v>273</v>
      </c>
      <c r="BP141" s="69"/>
    </row>
    <row r="142" spans="1:68" ht="12" customHeight="1" x14ac:dyDescent="0.25">
      <c r="A142" s="140">
        <v>140</v>
      </c>
      <c r="B142" s="175">
        <v>2</v>
      </c>
      <c r="C142" s="141">
        <f t="shared" si="4"/>
        <v>7</v>
      </c>
      <c r="D142" s="142">
        <v>2</v>
      </c>
      <c r="E142" s="141">
        <v>1</v>
      </c>
      <c r="F142" s="143">
        <v>14.77</v>
      </c>
      <c r="G142" s="143"/>
      <c r="H142" s="143"/>
      <c r="I142" s="144">
        <f>SUM(Д402[[#This Row],[Комната 1]:[Комната 3]])</f>
        <v>14.77</v>
      </c>
      <c r="J142" s="145">
        <v>11.88</v>
      </c>
      <c r="K142" s="145">
        <v>4.1399999999999997</v>
      </c>
      <c r="L142" s="145"/>
      <c r="M142" s="145">
        <v>4.28</v>
      </c>
      <c r="N142" s="145"/>
      <c r="O142" s="145">
        <v>3.11</v>
      </c>
      <c r="P142" s="146"/>
      <c r="Q142" s="146"/>
      <c r="R142" s="146">
        <f>SUM(Д402[[#This Row],[Лоджия 1]:[Лоджия 3]])</f>
        <v>3.11</v>
      </c>
      <c r="S142" s="10">
        <f>ROUND(SUM(Д402[[#This Row],[Площадь по проекту жилая]:[Лоджия 3]]),2)</f>
        <v>38.18</v>
      </c>
      <c r="T142" s="10">
        <f>ROUND(Д402[[#This Row],[Площадь по проекту(общая)]]-Д402[[#This Row],[Летние]],2)</f>
        <v>35.07</v>
      </c>
      <c r="U142" s="10">
        <f>ROUND(Д402[[#This Row],[Площадь по проекту(общая)]]-(SUM(Д402[[#This Row],[Лоджия 1]:[Лоджия 3]])/2),2)</f>
        <v>36.630000000000003</v>
      </c>
      <c r="V142" s="10">
        <f>VLOOKUP(Д402[[#This Row],[№]],наценка7[],COLUMN(наценка7[[#This Row],[Цена м2 с учетом всех K]]),0)</f>
        <v>125223</v>
      </c>
      <c r="W142" s="162"/>
      <c r="X142" s="10">
        <f>Д402[[#This Row],[м2 после К]]+Д402[[#This Row],[02.12.2024]]</f>
        <v>125223</v>
      </c>
      <c r="Y142" s="149">
        <v>1000</v>
      </c>
      <c r="Z142" s="10">
        <f>Д402[[#This Row],[Фикс 20.12.24]]+Д402[[#This Row],[23.12.24 СП +1000]]</f>
        <v>126223</v>
      </c>
      <c r="AA142" s="149">
        <v>215</v>
      </c>
      <c r="AB142" s="10">
        <f>Д402[[#This Row],[Фикс 23.12.24]]+Д402[[#This Row],[Повышение 20.02.25]]</f>
        <v>126438</v>
      </c>
      <c r="AC142" s="149">
        <v>17.5</v>
      </c>
      <c r="AD142" s="10">
        <f>Д402[[#This Row],[Фикс 20.02.25]]+Д402[[#This Row],[Повышение 24.02.2025]]</f>
        <v>126455.5</v>
      </c>
      <c r="AE142" s="149">
        <f>Д402[[#This Row],[Фикс 24.02.25]]*1.5%</f>
        <v>1896.8325</v>
      </c>
      <c r="AF142" s="10">
        <f>Д402[[#This Row],[Фикс 24.02.25]]+Д402[[#This Row],[Повышение 05.03.2025
1К: до 40м - 1,5%, 40+ 0,5%
2К - 0,5% ]]</f>
        <v>128352.3325</v>
      </c>
      <c r="AG142" s="149">
        <f>Д402[[#This Row],[Фикс 05.03.25]]*1%</f>
        <v>1283.5233250000001</v>
      </c>
      <c r="AH142" s="10">
        <f>Д402[[#This Row],[Фикс 05.03.25]]+Д402[[#This Row],[повышение 14.03.25 1К-1%]]</f>
        <v>129635.85582500001</v>
      </c>
      <c r="AI142" s="149">
        <f>Д402[[#This Row],[Фикс 14.03.25]]*1%</f>
        <v>1296.35855825</v>
      </c>
      <c r="AJ142" s="10">
        <f>Д402[[#This Row],[Фикс 14.03.25]]+Д402[[#This Row],[повышение 28.03.25 1К-1%]]</f>
        <v>130932.21438325</v>
      </c>
      <c r="AK142" s="10"/>
      <c r="AL142" s="10">
        <f>Д402[[#This Row],[Фикс 28.03.25]]+Д402[[#This Row],[Повышение 23.07.25
1К 43-46м2 - 2%
2К 55-58 - 2%; 58-64 - 3%
3К 76-79 - 2%
]]</f>
        <v>130932.21438325</v>
      </c>
      <c r="AM142" s="149">
        <f>ROUND(Д402[[#This Row],[Фикс 23.07.25]],2)</f>
        <v>130932.21</v>
      </c>
      <c r="AN142" s="149">
        <f>ROUNDUP(Д402[[#This Row],[утв цена м2]]*Д402[[#This Row],[Расчетная проектная площадь]],-2)</f>
        <v>4796100</v>
      </c>
      <c r="AO142" s="151"/>
      <c r="AP142" s="152"/>
      <c r="AQ142" s="151">
        <f>Д402[[#This Row],[Стоимость до скидки]]*Д402[[#This Row],[Скидка %]]+Д402[[#This Row],[Скидка фиксированная]]</f>
        <v>0</v>
      </c>
      <c r="AR142" s="3">
        <f>Д402[[#This Row],[Стоимость ОН без отделки со скидкой]]/Д402[[#This Row],[Расчетная проектная площадь]]</f>
        <v>130933.66093366093</v>
      </c>
      <c r="AS142" s="3">
        <f>Д402[[#This Row],[Стоимость до скидки]]-Д402[[#This Row],[Итоговая сумма скидки]]</f>
        <v>4796100</v>
      </c>
      <c r="AT14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2" s="153"/>
      <c r="AV142" s="153"/>
      <c r="AW142" s="3">
        <f>Д402[[#This Row],[Цена м2 без отделки со скидкой]]+Д402[[#This Row],[Стоимость отделки]]</f>
        <v>130933.66093366093</v>
      </c>
      <c r="AX142" s="3">
        <f>Д402[[#This Row],[Стоимость квартиры с отделкой]]-Д402[[#This Row],[Стоимость ОН без отделки со скидкой]]</f>
        <v>0</v>
      </c>
      <c r="AY142" s="3">
        <f>Д402[[#This Row],[Цена м2 с отделкой]]*Д402[[#This Row],[Расчетная проектная площадь]]</f>
        <v>4796100</v>
      </c>
      <c r="AZ142" s="161"/>
      <c r="BA142" s="155" t="s">
        <v>12</v>
      </c>
      <c r="BB142" s="156" t="str" cm="1">
        <f t="array" ref="BB14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2" s="161" t="s">
        <v>738</v>
      </c>
      <c r="BD142" s="161" t="s">
        <v>739</v>
      </c>
      <c r="BE142" s="161" t="s">
        <v>737</v>
      </c>
      <c r="BF142" s="161" t="s">
        <v>746</v>
      </c>
      <c r="BG142" s="161" t="b">
        <f>EXACT(Д402[[#This Row],[Статусы CRM]],Д402[[#This Row],[Статус]])</f>
        <v>1</v>
      </c>
      <c r="BH142" s="3">
        <f>IF(Д402[[#This Row],[ПС]]=0,IF(Д402[[#This Row],[ДС]]=0,Д402[[#This Row],[ТС]],Д402[[#This Row],[ДС]]),Д402[[#This Row],[ПС]])</f>
        <v>4796100</v>
      </c>
      <c r="BI142" s="3">
        <v>4796100</v>
      </c>
      <c r="BJ142" s="3">
        <v>0</v>
      </c>
      <c r="BK142" s="3">
        <v>0</v>
      </c>
      <c r="BL142" s="273">
        <f>Д402[[#This Row],[Стоимость CRM]]-Д402[[#This Row],[Стоимость до скидки]]</f>
        <v>0</v>
      </c>
      <c r="BM142" s="161" t="s">
        <v>9</v>
      </c>
      <c r="BN142" s="161" t="b">
        <f>Д402[[#This Row],[Отделка CRM]]=Д402[[#This Row],[Отделка]]</f>
        <v>1</v>
      </c>
      <c r="BO142" s="275" t="s">
        <v>274</v>
      </c>
      <c r="BP142" s="69"/>
    </row>
    <row r="143" spans="1:68" ht="12" customHeight="1" x14ac:dyDescent="0.25">
      <c r="A143" s="140">
        <v>141</v>
      </c>
      <c r="B143" s="15">
        <v>2</v>
      </c>
      <c r="C143" s="141">
        <f t="shared" si="4"/>
        <v>7</v>
      </c>
      <c r="D143" s="142">
        <v>3</v>
      </c>
      <c r="E143" s="141">
        <v>0</v>
      </c>
      <c r="F143" s="143">
        <v>13.94</v>
      </c>
      <c r="G143" s="143"/>
      <c r="H143" s="143"/>
      <c r="I143" s="144">
        <f>SUM(Д402[[#This Row],[Комната 1]:[Комната 3]])</f>
        <v>13.94</v>
      </c>
      <c r="J143" s="145">
        <v>5.98</v>
      </c>
      <c r="K143" s="145">
        <v>4.54</v>
      </c>
      <c r="L143" s="145"/>
      <c r="M143" s="145">
        <v>5.04</v>
      </c>
      <c r="N143" s="145"/>
      <c r="O143" s="145"/>
      <c r="P143" s="146"/>
      <c r="Q143" s="146"/>
      <c r="R143" s="146">
        <f>SUM(Д402[[#This Row],[Лоджия 1]:[Лоджия 3]])</f>
        <v>0</v>
      </c>
      <c r="S143" s="10">
        <f>ROUND(SUM(Д402[[#This Row],[Площадь по проекту жилая]:[Лоджия 3]]),2)</f>
        <v>29.5</v>
      </c>
      <c r="T143" s="10">
        <f>ROUND(Д402[[#This Row],[Площадь по проекту(общая)]]-Д402[[#This Row],[Летние]],2)</f>
        <v>29.5</v>
      </c>
      <c r="U143" s="10">
        <f>ROUND(Д402[[#This Row],[Площадь по проекту(общая)]]-(SUM(Д402[[#This Row],[Лоджия 1]:[Лоджия 3]])/2),2)</f>
        <v>29.5</v>
      </c>
      <c r="V143" s="10">
        <f>VLOOKUP(Д402[[#This Row],[№]],наценка7[],COLUMN(наценка7[[#This Row],[Цена м2 с учетом всех K]]),0)</f>
        <v>142524.6</v>
      </c>
      <c r="W143" s="162"/>
      <c r="X143" s="10">
        <f>Д402[[#This Row],[м2 после К]]+Д402[[#This Row],[02.12.2024]]</f>
        <v>142524.6</v>
      </c>
      <c r="Y143" s="149">
        <v>1000</v>
      </c>
      <c r="Z143" s="10">
        <f>Д402[[#This Row],[Фикс 20.12.24]]+Д402[[#This Row],[23.12.24 СП +1000]]</f>
        <v>143524.6</v>
      </c>
      <c r="AA143" s="149">
        <v>215</v>
      </c>
      <c r="AB143" s="10">
        <f>Д402[[#This Row],[Фикс 23.12.24]]+Д402[[#This Row],[Повышение 20.02.25]]</f>
        <v>143739.6</v>
      </c>
      <c r="AC143" s="149">
        <v>17.5</v>
      </c>
      <c r="AD143" s="10">
        <f>Д402[[#This Row],[Фикс 20.02.25]]+Д402[[#This Row],[Повышение 24.02.2025]]</f>
        <v>143757.1</v>
      </c>
      <c r="AE143" s="10"/>
      <c r="AF143" s="10">
        <f>Д402[[#This Row],[Фикс 24.02.25]]+Д402[[#This Row],[Повышение 05.03.2025
1К: до 40м - 1,5%, 40+ 0,5%
2К - 0,5% ]]</f>
        <v>143757.1</v>
      </c>
      <c r="AG143" s="10"/>
      <c r="AH143" s="10">
        <f>Д402[[#This Row],[Фикс 05.03.25]]+Д402[[#This Row],[повышение 14.03.25 1К-1%]]</f>
        <v>143757.1</v>
      </c>
      <c r="AI143" s="10"/>
      <c r="AJ143" s="10">
        <f>Д402[[#This Row],[Фикс 14.03.25]]+Д402[[#This Row],[повышение 28.03.25 1К-1%]]</f>
        <v>143757.1</v>
      </c>
      <c r="AK143" s="10"/>
      <c r="AL143" s="10">
        <f>Д402[[#This Row],[Фикс 28.03.25]]+Д402[[#This Row],[Повышение 23.07.25
1К 43-46м2 - 2%
2К 55-58 - 2%; 58-64 - 3%
3К 76-79 - 2%
]]</f>
        <v>143757.1</v>
      </c>
      <c r="AM143" s="149">
        <f>ROUND(Д402[[#This Row],[Фикс 23.07.25]],2)</f>
        <v>143757.1</v>
      </c>
      <c r="AN143" s="149">
        <f>ROUNDUP(Д402[[#This Row],[утв цена м2]]*Д402[[#This Row],[Расчетная проектная площадь]],-2)</f>
        <v>4240900</v>
      </c>
      <c r="AO143" s="151"/>
      <c r="AP143" s="152"/>
      <c r="AQ143" s="151">
        <f>Д402[[#This Row],[Стоимость до скидки]]*Д402[[#This Row],[Скидка %]]+Д402[[#This Row],[Скидка фиксированная]]</f>
        <v>0</v>
      </c>
      <c r="AR143" s="3">
        <f>Д402[[#This Row],[Стоимость ОН без отделки со скидкой]]/Д402[[#This Row],[Расчетная проектная площадь]]</f>
        <v>143759.32203389829</v>
      </c>
      <c r="AS143" s="3">
        <f>Д402[[#This Row],[Стоимость до скидки]]-Д402[[#This Row],[Итоговая сумма скидки]]</f>
        <v>4240900</v>
      </c>
      <c r="AT14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3" s="153"/>
      <c r="AV143" s="153"/>
      <c r="AW143" s="3">
        <f>Д402[[#This Row],[Цена м2 без отделки со скидкой]]+Д402[[#This Row],[Стоимость отделки]]</f>
        <v>143759.32203389829</v>
      </c>
      <c r="AX143" s="3">
        <f>Д402[[#This Row],[Стоимость квартиры с отделкой]]-Д402[[#This Row],[Стоимость ОН без отделки со скидкой]]</f>
        <v>0</v>
      </c>
      <c r="AY143" s="3">
        <f>Д402[[#This Row],[Цена м2 с отделкой]]*Д402[[#This Row],[Расчетная проектная площадь]]</f>
        <v>4240900</v>
      </c>
      <c r="AZ143" s="161"/>
      <c r="BA143" s="155" t="s">
        <v>12</v>
      </c>
      <c r="BB143" s="156" t="str" cm="1">
        <f t="array" ref="BB14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3" s="161" t="s">
        <v>738</v>
      </c>
      <c r="BD143" s="161" t="s">
        <v>739</v>
      </c>
      <c r="BE143" s="161" t="s">
        <v>737</v>
      </c>
      <c r="BF143" s="161" t="s">
        <v>743</v>
      </c>
      <c r="BG143" s="161" t="b">
        <f>EXACT(Д402[[#This Row],[Статусы CRM]],Д402[[#This Row],[Статус]])</f>
        <v>1</v>
      </c>
      <c r="BH143" s="3">
        <f>IF(Д402[[#This Row],[ПС]]=0,IF(Д402[[#This Row],[ДС]]=0,Д402[[#This Row],[ТС]],Д402[[#This Row],[ДС]]),Д402[[#This Row],[ПС]])</f>
        <v>4240900</v>
      </c>
      <c r="BI143" s="3">
        <v>4240900</v>
      </c>
      <c r="BJ143" s="3">
        <v>0</v>
      </c>
      <c r="BK143" s="3">
        <v>0</v>
      </c>
      <c r="BL143" s="273">
        <f>Д402[[#This Row],[Стоимость CRM]]-Д402[[#This Row],[Стоимость до скидки]]</f>
        <v>0</v>
      </c>
      <c r="BM143" s="161" t="s">
        <v>9</v>
      </c>
      <c r="BN143" s="161" t="b">
        <f>Д402[[#This Row],[Отделка CRM]]=Д402[[#This Row],[Отделка]]</f>
        <v>1</v>
      </c>
      <c r="BO143" s="275" t="s">
        <v>275</v>
      </c>
      <c r="BP143" s="69"/>
    </row>
    <row r="144" spans="1:68" ht="12" customHeight="1" x14ac:dyDescent="0.25">
      <c r="A144" s="140">
        <v>142</v>
      </c>
      <c r="B144" s="15">
        <v>2</v>
      </c>
      <c r="C144" s="141">
        <f t="shared" si="4"/>
        <v>7</v>
      </c>
      <c r="D144" s="142">
        <v>4</v>
      </c>
      <c r="E144" s="141">
        <v>0</v>
      </c>
      <c r="F144" s="143">
        <v>13.39</v>
      </c>
      <c r="G144" s="143"/>
      <c r="H144" s="143"/>
      <c r="I144" s="144">
        <f>SUM(Д402[[#This Row],[Комната 1]:[Комната 3]])</f>
        <v>13.39</v>
      </c>
      <c r="J144" s="145">
        <v>5.98</v>
      </c>
      <c r="K144" s="145">
        <v>4.54</v>
      </c>
      <c r="L144" s="145"/>
      <c r="M144" s="145">
        <v>4.08</v>
      </c>
      <c r="N144" s="145"/>
      <c r="O144" s="145"/>
      <c r="P144" s="146"/>
      <c r="Q144" s="146"/>
      <c r="R144" s="146">
        <f>SUM(Д402[[#This Row],[Лоджия 1]:[Лоджия 3]])</f>
        <v>0</v>
      </c>
      <c r="S144" s="10">
        <f>ROUND(SUM(Д402[[#This Row],[Площадь по проекту жилая]:[Лоджия 3]]),2)</f>
        <v>27.99</v>
      </c>
      <c r="T144" s="10">
        <f>ROUND(Д402[[#This Row],[Площадь по проекту(общая)]]-Д402[[#This Row],[Летние]],2)</f>
        <v>27.99</v>
      </c>
      <c r="U144" s="10">
        <f>ROUND(Д402[[#This Row],[Площадь по проекту(общая)]]-(SUM(Д402[[#This Row],[Лоджия 1]:[Лоджия 3]])/2),2)</f>
        <v>27.99</v>
      </c>
      <c r="V144" s="10">
        <f>VLOOKUP(Д402[[#This Row],[№]],наценка7[],COLUMN(наценка7[[#This Row],[Цена м2 с учетом всех K]]),0)</f>
        <v>142524.6</v>
      </c>
      <c r="W144" s="162"/>
      <c r="X144" s="10">
        <f>Д402[[#This Row],[м2 после К]]+Д402[[#This Row],[02.12.2024]]</f>
        <v>142524.6</v>
      </c>
      <c r="Y144" s="149">
        <v>1000</v>
      </c>
      <c r="Z144" s="10">
        <f>Д402[[#This Row],[Фикс 20.12.24]]+Д402[[#This Row],[23.12.24 СП +1000]]</f>
        <v>143524.6</v>
      </c>
      <c r="AA144" s="149">
        <v>215</v>
      </c>
      <c r="AB144" s="10">
        <f>Д402[[#This Row],[Фикс 23.12.24]]+Д402[[#This Row],[Повышение 20.02.25]]</f>
        <v>143739.6</v>
      </c>
      <c r="AC144" s="149">
        <v>17.5</v>
      </c>
      <c r="AD144" s="10">
        <f>Д402[[#This Row],[Фикс 20.02.25]]+Д402[[#This Row],[Повышение 24.02.2025]]</f>
        <v>143757.1</v>
      </c>
      <c r="AE144" s="10"/>
      <c r="AF144" s="10">
        <f>Д402[[#This Row],[Фикс 24.02.25]]+Д402[[#This Row],[Повышение 05.03.2025
1К: до 40м - 1,5%, 40+ 0,5%
2К - 0,5% ]]</f>
        <v>143757.1</v>
      </c>
      <c r="AG144" s="10"/>
      <c r="AH144" s="10">
        <f>Д402[[#This Row],[Фикс 05.03.25]]+Д402[[#This Row],[повышение 14.03.25 1К-1%]]</f>
        <v>143757.1</v>
      </c>
      <c r="AI144" s="10"/>
      <c r="AJ144" s="10">
        <f>Д402[[#This Row],[Фикс 14.03.25]]+Д402[[#This Row],[повышение 28.03.25 1К-1%]]</f>
        <v>143757.1</v>
      </c>
      <c r="AK144" s="10"/>
      <c r="AL144" s="10">
        <f>Д402[[#This Row],[Фикс 28.03.25]]+Д402[[#This Row],[Повышение 23.07.25
1К 43-46м2 - 2%
2К 55-58 - 2%; 58-64 - 3%
3К 76-79 - 2%
]]</f>
        <v>143757.1</v>
      </c>
      <c r="AM144" s="149">
        <f>ROUND(Д402[[#This Row],[Фикс 23.07.25]],2)</f>
        <v>143757.1</v>
      </c>
      <c r="AN144" s="149">
        <f>ROUNDUP(Д402[[#This Row],[утв цена м2]]*Д402[[#This Row],[Расчетная проектная площадь]],-2)</f>
        <v>4023800</v>
      </c>
      <c r="AO144" s="151"/>
      <c r="AP144" s="152"/>
      <c r="AQ144" s="151">
        <f>Д402[[#This Row],[Стоимость до скидки]]*Д402[[#This Row],[Скидка %]]+Д402[[#This Row],[Скидка фиксированная]]</f>
        <v>0</v>
      </c>
      <c r="AR144" s="3">
        <f>Д402[[#This Row],[Стоимость ОН без отделки со скидкой]]/Д402[[#This Row],[Расчетная проектная площадь]]</f>
        <v>143758.48517327619</v>
      </c>
      <c r="AS144" s="3">
        <f>Д402[[#This Row],[Стоимость до скидки]]-Д402[[#This Row],[Итоговая сумма скидки]]</f>
        <v>4023800</v>
      </c>
      <c r="AT14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4" s="153"/>
      <c r="AV144" s="153"/>
      <c r="AW144" s="3">
        <f>Д402[[#This Row],[Цена м2 без отделки со скидкой]]+Д402[[#This Row],[Стоимость отделки]]</f>
        <v>143758.48517327619</v>
      </c>
      <c r="AX144" s="3">
        <f>Д402[[#This Row],[Стоимость квартиры с отделкой]]-Д402[[#This Row],[Стоимость ОН без отделки со скидкой]]</f>
        <v>0</v>
      </c>
      <c r="AY144" s="3">
        <f>Д402[[#This Row],[Цена м2 с отделкой]]*Д402[[#This Row],[Расчетная проектная площадь]]</f>
        <v>4023800.0000000005</v>
      </c>
      <c r="AZ144" s="161"/>
      <c r="BA144" s="155" t="s">
        <v>12</v>
      </c>
      <c r="BB144" s="156" t="str" cm="1">
        <f t="array" ref="BB14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4" s="161" t="s">
        <v>738</v>
      </c>
      <c r="BD144" s="161" t="s">
        <v>739</v>
      </c>
      <c r="BE144" s="161" t="s">
        <v>737</v>
      </c>
      <c r="BF144" s="161" t="s">
        <v>743</v>
      </c>
      <c r="BG144" s="161" t="b">
        <f>EXACT(Д402[[#This Row],[Статусы CRM]],Д402[[#This Row],[Статус]])</f>
        <v>1</v>
      </c>
      <c r="BH144" s="3">
        <f>IF(Д402[[#This Row],[ПС]]=0,IF(Д402[[#This Row],[ДС]]=0,Д402[[#This Row],[ТС]],Д402[[#This Row],[ДС]]),Д402[[#This Row],[ПС]])</f>
        <v>4023800</v>
      </c>
      <c r="BI144" s="3">
        <v>4023800</v>
      </c>
      <c r="BJ144" s="3">
        <v>0</v>
      </c>
      <c r="BK144" s="3">
        <v>0</v>
      </c>
      <c r="BL144" s="273">
        <f>Д402[[#This Row],[Стоимость CRM]]-Д402[[#This Row],[Стоимость до скидки]]</f>
        <v>0</v>
      </c>
      <c r="BM144" s="161" t="s">
        <v>9</v>
      </c>
      <c r="BN144" s="161" t="b">
        <f>Д402[[#This Row],[Отделка CRM]]=Д402[[#This Row],[Отделка]]</f>
        <v>1</v>
      </c>
      <c r="BO144" s="275" t="s">
        <v>276</v>
      </c>
      <c r="BP144" s="69"/>
    </row>
    <row r="145" spans="1:68" ht="12" customHeight="1" x14ac:dyDescent="0.25">
      <c r="A145" s="140">
        <v>143</v>
      </c>
      <c r="B145" s="15">
        <v>2</v>
      </c>
      <c r="C145" s="141">
        <f t="shared" si="4"/>
        <v>7</v>
      </c>
      <c r="D145" s="142">
        <v>5</v>
      </c>
      <c r="E145" s="141">
        <v>2</v>
      </c>
      <c r="F145" s="143">
        <v>16.579999999999998</v>
      </c>
      <c r="G145" s="143">
        <v>14.14</v>
      </c>
      <c r="H145" s="143"/>
      <c r="I145" s="144">
        <f>SUM(Д402[[#This Row],[Комната 1]:[Комната 3]])</f>
        <v>30.72</v>
      </c>
      <c r="J145" s="145">
        <v>12.38</v>
      </c>
      <c r="K145" s="145">
        <v>4.1399999999999997</v>
      </c>
      <c r="L145" s="145"/>
      <c r="M145" s="145">
        <v>7.61</v>
      </c>
      <c r="N145" s="145">
        <v>7.03</v>
      </c>
      <c r="O145" s="145">
        <v>3.11</v>
      </c>
      <c r="P145" s="146"/>
      <c r="Q145" s="146"/>
      <c r="R145" s="146">
        <f>SUM(Д402[[#This Row],[Лоджия 1]:[Лоджия 3]])</f>
        <v>3.11</v>
      </c>
      <c r="S145" s="10">
        <f>ROUND(SUM(Д402[[#This Row],[Площадь по проекту жилая]:[Лоджия 3]]),2)</f>
        <v>64.989999999999995</v>
      </c>
      <c r="T145" s="10">
        <f>ROUND(Д402[[#This Row],[Площадь по проекту(общая)]]-Д402[[#This Row],[Летние]],2)</f>
        <v>61.88</v>
      </c>
      <c r="U145" s="10">
        <f>ROUND(Д402[[#This Row],[Площадь по проекту(общая)]]-(SUM(Д402[[#This Row],[Лоджия 1]:[Лоджия 3]])/2),2)</f>
        <v>63.44</v>
      </c>
      <c r="V145" s="10">
        <f>VLOOKUP(Д402[[#This Row],[№]],наценка7[],COLUMN(наценка7[[#This Row],[Цена м2 с учетом всех K]]),0)</f>
        <v>119811.8</v>
      </c>
      <c r="W145" s="162">
        <v>-7000</v>
      </c>
      <c r="X145" s="10">
        <f>Д402[[#This Row],[м2 после К]]+Д402[[#This Row],[02.12.2024]]</f>
        <v>112811.8</v>
      </c>
      <c r="Y145" s="149">
        <v>1000</v>
      </c>
      <c r="Z145" s="10">
        <f>Д402[[#This Row],[Фикс 20.12.24]]+Д402[[#This Row],[23.12.24 СП +1000]]</f>
        <v>113811.8</v>
      </c>
      <c r="AA145" s="149">
        <v>215</v>
      </c>
      <c r="AB145" s="10">
        <f>Д402[[#This Row],[Фикс 23.12.24]]+Д402[[#This Row],[Повышение 20.02.25]]</f>
        <v>114026.8</v>
      </c>
      <c r="AC145" s="149">
        <v>17.5</v>
      </c>
      <c r="AD145" s="10">
        <f>Д402[[#This Row],[Фикс 20.02.25]]+Д402[[#This Row],[Повышение 24.02.2025]]</f>
        <v>114044.3</v>
      </c>
      <c r="AE145" s="149">
        <f>Д402[[#This Row],[Фикс 24.02.25]]*0.5%</f>
        <v>570.22149999999999</v>
      </c>
      <c r="AF145" s="10">
        <f>Д402[[#This Row],[Фикс 24.02.25]]+Д402[[#This Row],[Повышение 05.03.2025
1К: до 40м - 1,5%, 40+ 0,5%
2К - 0,5% ]]</f>
        <v>114614.5215</v>
      </c>
      <c r="AG145" s="10"/>
      <c r="AH145" s="10">
        <f>Д402[[#This Row],[Фикс 05.03.25]]+Д402[[#This Row],[повышение 14.03.25 1К-1%]]</f>
        <v>114614.5215</v>
      </c>
      <c r="AI145" s="10"/>
      <c r="AJ145" s="10">
        <f>Д402[[#This Row],[Фикс 14.03.25]]+Д402[[#This Row],[повышение 28.03.25 1К-1%]]</f>
        <v>114614.5215</v>
      </c>
      <c r="AK145" s="10">
        <f>Д402[[#This Row],[Фикс 28.03.25]]*3%</f>
        <v>3438.435645</v>
      </c>
      <c r="AL145" s="10">
        <f>Д402[[#This Row],[Фикс 28.03.25]]+Д402[[#This Row],[Повышение 23.07.25
1К 43-46м2 - 2%
2К 55-58 - 2%; 58-64 - 3%
3К 76-79 - 2%
]]</f>
        <v>118052.95714500001</v>
      </c>
      <c r="AM145" s="149">
        <f>ROUND(Д402[[#This Row],[Фикс 23.07.25]],2)</f>
        <v>118052.96</v>
      </c>
      <c r="AN145" s="149">
        <f>ROUNDUP(Д402[[#This Row],[утв цена м2]]*Д402[[#This Row],[Расчетная проектная площадь]],-2)</f>
        <v>7489300</v>
      </c>
      <c r="AO145" s="151"/>
      <c r="AP145" s="152"/>
      <c r="AQ145" s="151">
        <f>Д402[[#This Row],[Стоимость до скидки]]*Д402[[#This Row],[Скидка %]]+Д402[[#This Row],[Скидка фиксированная]]</f>
        <v>0</v>
      </c>
      <c r="AR145" s="3">
        <f>Д402[[#This Row],[Стоимость ОН без отделки со скидкой]]/Д402[[#This Row],[Расчетная проектная площадь]]</f>
        <v>118053.27868852459</v>
      </c>
      <c r="AS145" s="3">
        <f>Д402[[#This Row],[Стоимость до скидки]]-Д402[[#This Row],[Итоговая сумма скидки]]</f>
        <v>7489300</v>
      </c>
      <c r="AT14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45" s="153">
        <v>30000</v>
      </c>
      <c r="AV145" s="153" t="s">
        <v>722</v>
      </c>
      <c r="AW145" s="3">
        <f>Д402[[#This Row],[Цена м2 без отделки со скидкой]]+Д402[[#This Row],[Стоимость отделки]]</f>
        <v>148053.27868852459</v>
      </c>
      <c r="AX145" s="3">
        <f>Д402[[#This Row],[Стоимость квартиры с отделкой]]-Д402[[#This Row],[Стоимость ОН без отделки со скидкой]]</f>
        <v>1903200</v>
      </c>
      <c r="AY145" s="3">
        <f>Д402[[#This Row],[Цена м2 с отделкой]]*Д402[[#This Row],[Расчетная проектная площадь]]</f>
        <v>9392500</v>
      </c>
      <c r="AZ145" s="161"/>
      <c r="BA145" s="269" t="s">
        <v>128</v>
      </c>
      <c r="BB145" s="269" t="str" cm="1">
        <f t="array" ref="BB14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45" s="161" t="s">
        <v>740</v>
      </c>
      <c r="BD145" s="161" t="s">
        <v>506</v>
      </c>
      <c r="BE145" s="161" t="s">
        <v>737</v>
      </c>
      <c r="BF145" s="161" t="s">
        <v>747</v>
      </c>
      <c r="BG145" s="161" t="b">
        <f>EXACT(Д402[[#This Row],[Статусы CRM]],Д402[[#This Row],[Статус]])</f>
        <v>1</v>
      </c>
      <c r="BH145" s="3">
        <f>IF(Д402[[#This Row],[ПС]]=0,IF(Д402[[#This Row],[ДС]]=0,Д402[[#This Row],[ТС]],Д402[[#This Row],[ДС]]),Д402[[#This Row],[ПС]])</f>
        <v>7489300</v>
      </c>
      <c r="BI145" s="3">
        <v>7489300</v>
      </c>
      <c r="BJ145" s="3">
        <v>0</v>
      </c>
      <c r="BK145" s="3">
        <v>0</v>
      </c>
      <c r="BL145" s="273">
        <f>Д402[[#This Row],[Стоимость CRM]]-Д402[[#This Row],[Стоимость до скидки]]</f>
        <v>0</v>
      </c>
      <c r="BM145" s="161" t="s">
        <v>11</v>
      </c>
      <c r="BN145" s="161" t="b">
        <f>Д402[[#This Row],[Отделка CRM]]=Д402[[#This Row],[Отделка]]</f>
        <v>1</v>
      </c>
      <c r="BO145" s="275" t="s">
        <v>277</v>
      </c>
      <c r="BP145" s="69"/>
    </row>
    <row r="146" spans="1:68" ht="12" customHeight="1" x14ac:dyDescent="0.25">
      <c r="A146" s="140">
        <v>144</v>
      </c>
      <c r="B146" s="15">
        <v>2</v>
      </c>
      <c r="C146" s="141">
        <f t="shared" si="4"/>
        <v>7</v>
      </c>
      <c r="D146" s="142">
        <v>6</v>
      </c>
      <c r="E146" s="141">
        <v>2</v>
      </c>
      <c r="F146" s="143">
        <v>17.73</v>
      </c>
      <c r="G146" s="143">
        <v>12.22</v>
      </c>
      <c r="H146" s="143"/>
      <c r="I146" s="144">
        <f>SUM(Д402[[#This Row],[Комната 1]:[Комната 3]])</f>
        <v>29.950000000000003</v>
      </c>
      <c r="J146" s="145">
        <v>13.65</v>
      </c>
      <c r="K146" s="145">
        <v>5.22</v>
      </c>
      <c r="L146" s="145">
        <v>2.5</v>
      </c>
      <c r="M146" s="145">
        <v>8.06</v>
      </c>
      <c r="N146" s="145"/>
      <c r="O146" s="145">
        <v>3.11</v>
      </c>
      <c r="P146" s="146"/>
      <c r="Q146" s="146"/>
      <c r="R146" s="146">
        <f>SUM(Д402[[#This Row],[Лоджия 1]:[Лоджия 3]])</f>
        <v>3.11</v>
      </c>
      <c r="S146" s="10">
        <f>ROUND(SUM(Д402[[#This Row],[Площадь по проекту жилая]:[Лоджия 3]]),2)</f>
        <v>62.49</v>
      </c>
      <c r="T146" s="10">
        <f>ROUND(Д402[[#This Row],[Площадь по проекту(общая)]]-Д402[[#This Row],[Летние]],2)</f>
        <v>59.38</v>
      </c>
      <c r="U146" s="10">
        <f>ROUND(Д402[[#This Row],[Площадь по проекту(общая)]]-(SUM(Д402[[#This Row],[Лоджия 1]:[Лоджия 3]])/2),2)</f>
        <v>60.94</v>
      </c>
      <c r="V146" s="10">
        <f>VLOOKUP(Д402[[#This Row],[№]],наценка7[],COLUMN(наценка7[[#This Row],[Цена м2 с учетом всех K]]),0)</f>
        <v>126593.60000000001</v>
      </c>
      <c r="W146" s="162">
        <v>-10000</v>
      </c>
      <c r="X146" s="10">
        <f>Д402[[#This Row],[м2 после К]]+Д402[[#This Row],[02.12.2024]]</f>
        <v>116593.60000000001</v>
      </c>
      <c r="Y146" s="149">
        <v>1000</v>
      </c>
      <c r="Z146" s="10">
        <f>Д402[[#This Row],[Фикс 20.12.24]]+Д402[[#This Row],[23.12.24 СП +1000]]</f>
        <v>117593.60000000001</v>
      </c>
      <c r="AA146" s="149">
        <v>215</v>
      </c>
      <c r="AB146" s="10">
        <f>Д402[[#This Row],[Фикс 23.12.24]]+Д402[[#This Row],[Повышение 20.02.25]]</f>
        <v>117808.6</v>
      </c>
      <c r="AC146" s="149">
        <v>17.5</v>
      </c>
      <c r="AD146" s="10">
        <f>Д402[[#This Row],[Фикс 20.02.25]]+Д402[[#This Row],[Повышение 24.02.2025]]</f>
        <v>117826.1</v>
      </c>
      <c r="AE146" s="149">
        <f>Д402[[#This Row],[Фикс 24.02.25]]*0.5%</f>
        <v>589.1305000000001</v>
      </c>
      <c r="AF146" s="10">
        <f>Д402[[#This Row],[Фикс 24.02.25]]+Д402[[#This Row],[Повышение 05.03.2025
1К: до 40м - 1,5%, 40+ 0,5%
2К - 0,5% ]]</f>
        <v>118415.23050000001</v>
      </c>
      <c r="AG146" s="10"/>
      <c r="AH146" s="10">
        <f>Д402[[#This Row],[Фикс 05.03.25]]+Д402[[#This Row],[повышение 14.03.25 1К-1%]]</f>
        <v>118415.23050000001</v>
      </c>
      <c r="AI146" s="10"/>
      <c r="AJ146" s="10">
        <f>Д402[[#This Row],[Фикс 14.03.25]]+Д402[[#This Row],[повышение 28.03.25 1К-1%]]</f>
        <v>118415.23050000001</v>
      </c>
      <c r="AK146" s="10">
        <f>Д402[[#This Row],[Фикс 28.03.25]]*3%</f>
        <v>3552.4569150000002</v>
      </c>
      <c r="AL146" s="10">
        <f>Д402[[#This Row],[Фикс 28.03.25]]+Д402[[#This Row],[Повышение 23.07.25
1К 43-46м2 - 2%
2К 55-58 - 2%; 58-64 - 3%
3К 76-79 - 2%
]]</f>
        <v>121967.68741500001</v>
      </c>
      <c r="AM146" s="149">
        <f>ROUND(Д402[[#This Row],[Фикс 23.07.25]],2)</f>
        <v>121967.69</v>
      </c>
      <c r="AN146" s="149">
        <f>ROUNDUP(Д402[[#This Row],[утв цена м2]]*Д402[[#This Row],[Расчетная проектная площадь]],-2)</f>
        <v>7432800</v>
      </c>
      <c r="AO146" s="151"/>
      <c r="AP146" s="152"/>
      <c r="AQ146" s="151">
        <f>Д402[[#This Row],[Стоимость до скидки]]*Д402[[#This Row],[Скидка %]]+Д402[[#This Row],[Скидка фиксированная]]</f>
        <v>0</v>
      </c>
      <c r="AR146" s="3">
        <f>Д402[[#This Row],[Стоимость ОН без отделки со скидкой]]/Д402[[#This Row],[Расчетная проектная площадь]]</f>
        <v>121969.14998359043</v>
      </c>
      <c r="AS146" s="3">
        <f>Д402[[#This Row],[Стоимость до скидки]]-Д402[[#This Row],[Итоговая сумма скидки]]</f>
        <v>7432800</v>
      </c>
      <c r="AT14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6" s="153"/>
      <c r="AV146" s="153"/>
      <c r="AW146" s="3">
        <f>Д402[[#This Row],[Цена м2 без отделки со скидкой]]+Д402[[#This Row],[Стоимость отделки]]</f>
        <v>121969.14998359043</v>
      </c>
      <c r="AX146" s="3">
        <f>Д402[[#This Row],[Стоимость квартиры с отделкой]]-Д402[[#This Row],[Стоимость ОН без отделки со скидкой]]</f>
        <v>0</v>
      </c>
      <c r="AY146" s="3">
        <f>Д402[[#This Row],[Цена м2 с отделкой]]*Д402[[#This Row],[Расчетная проектная площадь]]</f>
        <v>7432800</v>
      </c>
      <c r="AZ146" s="161"/>
      <c r="BA146" s="269" t="s">
        <v>12</v>
      </c>
      <c r="BB146" s="269" t="str" cm="1">
        <f t="array" ref="BB14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6" s="161" t="s">
        <v>738</v>
      </c>
      <c r="BD146" s="161" t="s">
        <v>739</v>
      </c>
      <c r="BE146" s="161" t="s">
        <v>737</v>
      </c>
      <c r="BF146" s="161" t="s">
        <v>747</v>
      </c>
      <c r="BG146" s="161" t="b">
        <f>EXACT(Д402[[#This Row],[Статусы CRM]],Д402[[#This Row],[Статус]])</f>
        <v>1</v>
      </c>
      <c r="BH146" s="3">
        <f>IF(Д402[[#This Row],[ПС]]=0,IF(Д402[[#This Row],[ДС]]=0,Д402[[#This Row],[ТС]],Д402[[#This Row],[ДС]]),Д402[[#This Row],[ПС]])</f>
        <v>7432800</v>
      </c>
      <c r="BI146" s="3">
        <v>7432800</v>
      </c>
      <c r="BJ146" s="3">
        <v>0</v>
      </c>
      <c r="BK146" s="3">
        <v>0</v>
      </c>
      <c r="BL146" s="273">
        <f>Д402[[#This Row],[Стоимость CRM]]-Д402[[#This Row],[Стоимость до скидки]]</f>
        <v>0</v>
      </c>
      <c r="BM146" s="161" t="s">
        <v>9</v>
      </c>
      <c r="BN146" s="161" t="b">
        <f>Д402[[#This Row],[Отделка CRM]]=Д402[[#This Row],[Отделка]]</f>
        <v>1</v>
      </c>
      <c r="BO146" s="275" t="s">
        <v>278</v>
      </c>
      <c r="BP146" s="69"/>
    </row>
    <row r="147" spans="1:68" ht="12" customHeight="1" x14ac:dyDescent="0.25">
      <c r="A147" s="140">
        <v>145</v>
      </c>
      <c r="B147" s="15">
        <v>2</v>
      </c>
      <c r="C147" s="141">
        <f t="shared" si="4"/>
        <v>8</v>
      </c>
      <c r="D147" s="142">
        <v>1</v>
      </c>
      <c r="E147" s="141">
        <v>2</v>
      </c>
      <c r="F147" s="143">
        <v>17.579999999999998</v>
      </c>
      <c r="G147" s="143">
        <v>14.37</v>
      </c>
      <c r="H147" s="143"/>
      <c r="I147" s="144">
        <f>SUM(Д402[[#This Row],[Комната 1]:[Комната 3]])</f>
        <v>31.949999999999996</v>
      </c>
      <c r="J147" s="145">
        <v>14.29</v>
      </c>
      <c r="K147" s="145">
        <v>4.5199999999999996</v>
      </c>
      <c r="L147" s="145"/>
      <c r="M147" s="145">
        <v>8.64</v>
      </c>
      <c r="N147" s="145">
        <v>4.76</v>
      </c>
      <c r="O147" s="145">
        <v>3.11</v>
      </c>
      <c r="P147" s="146"/>
      <c r="Q147" s="146"/>
      <c r="R147" s="146">
        <f>SUM(Д402[[#This Row],[Лоджия 1]:[Лоджия 3]])</f>
        <v>3.11</v>
      </c>
      <c r="S147" s="10">
        <f>ROUND(SUM(Д402[[#This Row],[Площадь по проекту жилая]:[Лоджия 3]]),2)</f>
        <v>67.27</v>
      </c>
      <c r="T147" s="10">
        <f>ROUND(Д402[[#This Row],[Площадь по проекту(общая)]]-Д402[[#This Row],[Летние]],2)</f>
        <v>64.16</v>
      </c>
      <c r="U147" s="10">
        <f>ROUND(Д402[[#This Row],[Площадь по проекту(общая)]]-(SUM(Д402[[#This Row],[Лоджия 1]:[Лоджия 3]])/2),2)</f>
        <v>65.72</v>
      </c>
      <c r="V147" s="10">
        <f>VLOOKUP(Д402[[#This Row],[№]],наценка7[],COLUMN(наценка7[[#This Row],[Цена м2 с учетом всех K]]),0)</f>
        <v>119811.8</v>
      </c>
      <c r="W147" s="162"/>
      <c r="X147" s="10">
        <f>Д402[[#This Row],[м2 после К]]+Д402[[#This Row],[02.12.2024]]</f>
        <v>119811.8</v>
      </c>
      <c r="Y147" s="149">
        <v>1000</v>
      </c>
      <c r="Z147" s="10">
        <f>Д402[[#This Row],[Фикс 20.12.24]]+Д402[[#This Row],[23.12.24 СП +1000]]</f>
        <v>120811.8</v>
      </c>
      <c r="AA147" s="149">
        <v>215</v>
      </c>
      <c r="AB147" s="10">
        <f>Д402[[#This Row],[Фикс 23.12.24]]+Д402[[#This Row],[Повышение 20.02.25]]</f>
        <v>121026.8</v>
      </c>
      <c r="AC147" s="149">
        <v>17.5</v>
      </c>
      <c r="AD147" s="10">
        <f>Д402[[#This Row],[Фикс 20.02.25]]+Д402[[#This Row],[Повышение 24.02.2025]]</f>
        <v>121044.3</v>
      </c>
      <c r="AE147" s="149">
        <f>Д402[[#This Row],[Фикс 24.02.25]]*0.5%</f>
        <v>605.22149999999999</v>
      </c>
      <c r="AF147" s="10">
        <f>Д402[[#This Row],[Фикс 24.02.25]]+Д402[[#This Row],[Повышение 05.03.2025
1К: до 40м - 1,5%, 40+ 0,5%
2К - 0,5% ]]</f>
        <v>121649.5215</v>
      </c>
      <c r="AG147" s="10"/>
      <c r="AH147" s="10">
        <f>Д402[[#This Row],[Фикс 05.03.25]]+Д402[[#This Row],[повышение 14.03.25 1К-1%]]</f>
        <v>121649.5215</v>
      </c>
      <c r="AI147" s="10"/>
      <c r="AJ147" s="10">
        <f>Д402[[#This Row],[Фикс 14.03.25]]+Д402[[#This Row],[повышение 28.03.25 1К-1%]]</f>
        <v>121649.5215</v>
      </c>
      <c r="AK147" s="10"/>
      <c r="AL147" s="10">
        <f>Д402[[#This Row],[Фикс 28.03.25]]+Д402[[#This Row],[Повышение 23.07.25
1К 43-46м2 - 2%
2К 55-58 - 2%; 58-64 - 3%
3К 76-79 - 2%
]]</f>
        <v>121649.5215</v>
      </c>
      <c r="AM147" s="149">
        <f>ROUND(Д402[[#This Row],[Фикс 23.07.25]],2)</f>
        <v>121649.52</v>
      </c>
      <c r="AN147" s="149">
        <f>ROUNDUP(Д402[[#This Row],[утв цена м2]]*Д402[[#This Row],[Расчетная проектная площадь]],-2)</f>
        <v>7994900</v>
      </c>
      <c r="AO147" s="151"/>
      <c r="AP147" s="152"/>
      <c r="AQ147" s="151">
        <f>Д402[[#This Row],[Стоимость до скидки]]*Д402[[#This Row],[Скидка %]]+Д402[[#This Row],[Скидка фиксированная]]</f>
        <v>0</v>
      </c>
      <c r="AR147" s="3">
        <f>Д402[[#This Row],[Стоимость ОН без отделки со скидкой]]/Д402[[#This Row],[Расчетная проектная площадь]]</f>
        <v>121650.94339622642</v>
      </c>
      <c r="AS147" s="3">
        <f>Д402[[#This Row],[Стоимость до скидки]]-Д402[[#This Row],[Итоговая сумма скидки]]</f>
        <v>7994900</v>
      </c>
      <c r="AT14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7" s="153"/>
      <c r="AV147" s="153"/>
      <c r="AW147" s="3">
        <f>Д402[[#This Row],[Цена м2 без отделки со скидкой]]+Д402[[#This Row],[Стоимость отделки]]</f>
        <v>121650.94339622642</v>
      </c>
      <c r="AX147" s="3">
        <f>Д402[[#This Row],[Стоимость квартиры с отделкой]]-Д402[[#This Row],[Стоимость ОН без отделки со скидкой]]</f>
        <v>0</v>
      </c>
      <c r="AY147" s="3">
        <f>Д402[[#This Row],[Цена м2 с отделкой]]*Д402[[#This Row],[Расчетная проектная площадь]]</f>
        <v>7994900</v>
      </c>
      <c r="AZ147" s="161"/>
      <c r="BA147" s="155" t="s">
        <v>12</v>
      </c>
      <c r="BB147" s="156" t="str" cm="1">
        <f t="array" ref="BB14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7" s="161" t="s">
        <v>738</v>
      </c>
      <c r="BD147" s="161" t="s">
        <v>739</v>
      </c>
      <c r="BE147" s="161" t="s">
        <v>737</v>
      </c>
      <c r="BF147" s="161" t="s">
        <v>744</v>
      </c>
      <c r="BG147" s="161" t="b">
        <f>EXACT(Д402[[#This Row],[Статусы CRM]],Д402[[#This Row],[Статус]])</f>
        <v>1</v>
      </c>
      <c r="BH147" s="3">
        <f>IF(Д402[[#This Row],[ПС]]=0,IF(Д402[[#This Row],[ДС]]=0,Д402[[#This Row],[ТС]],Д402[[#This Row],[ДС]]),Д402[[#This Row],[ПС]])</f>
        <v>7994900</v>
      </c>
      <c r="BI147" s="3">
        <v>7994900</v>
      </c>
      <c r="BJ147" s="3">
        <v>0</v>
      </c>
      <c r="BK147" s="3">
        <v>0</v>
      </c>
      <c r="BL147" s="273">
        <f>Д402[[#This Row],[Стоимость CRM]]-Д402[[#This Row],[Стоимость до скидки]]</f>
        <v>0</v>
      </c>
      <c r="BM147" s="161" t="s">
        <v>9</v>
      </c>
      <c r="BN147" s="161" t="b">
        <f>Д402[[#This Row],[Отделка CRM]]=Д402[[#This Row],[Отделка]]</f>
        <v>1</v>
      </c>
      <c r="BO147" s="275" t="s">
        <v>279</v>
      </c>
      <c r="BP147" s="69"/>
    </row>
    <row r="148" spans="1:68" ht="12" customHeight="1" x14ac:dyDescent="0.25">
      <c r="A148" s="140">
        <v>146</v>
      </c>
      <c r="B148" s="175">
        <v>2</v>
      </c>
      <c r="C148" s="141">
        <f t="shared" si="4"/>
        <v>8</v>
      </c>
      <c r="D148" s="142">
        <v>2</v>
      </c>
      <c r="E148" s="141">
        <v>1</v>
      </c>
      <c r="F148" s="143">
        <v>14.77</v>
      </c>
      <c r="G148" s="143"/>
      <c r="H148" s="143"/>
      <c r="I148" s="144">
        <f>SUM(Д402[[#This Row],[Комната 1]:[Комната 3]])</f>
        <v>14.77</v>
      </c>
      <c r="J148" s="145">
        <v>11.88</v>
      </c>
      <c r="K148" s="145">
        <v>4.1399999999999997</v>
      </c>
      <c r="L148" s="145"/>
      <c r="M148" s="145">
        <v>4.28</v>
      </c>
      <c r="N148" s="145"/>
      <c r="O148" s="145">
        <v>3.11</v>
      </c>
      <c r="P148" s="146"/>
      <c r="Q148" s="146"/>
      <c r="R148" s="146">
        <f>SUM(Д402[[#This Row],[Лоджия 1]:[Лоджия 3]])</f>
        <v>3.11</v>
      </c>
      <c r="S148" s="10">
        <f>ROUND(SUM(Д402[[#This Row],[Площадь по проекту жилая]:[Лоджия 3]]),2)</f>
        <v>38.18</v>
      </c>
      <c r="T148" s="10">
        <f>ROUND(Д402[[#This Row],[Площадь по проекту(общая)]]-Д402[[#This Row],[Летние]],2)</f>
        <v>35.07</v>
      </c>
      <c r="U148" s="10">
        <f>ROUND(Д402[[#This Row],[Площадь по проекту(общая)]]-(SUM(Д402[[#This Row],[Лоджия 1]:[Лоджия 3]])/2),2)</f>
        <v>36.630000000000003</v>
      </c>
      <c r="V148" s="10">
        <f>VLOOKUP(Д402[[#This Row],[№]],наценка7[],COLUMN(наценка7[[#This Row],[Цена м2 с учетом всех K]]),0)</f>
        <v>122837.8</v>
      </c>
      <c r="W148" s="162"/>
      <c r="X148" s="10">
        <f>Д402[[#This Row],[м2 после К]]+Д402[[#This Row],[02.12.2024]]</f>
        <v>122837.8</v>
      </c>
      <c r="Y148" s="149">
        <v>1000</v>
      </c>
      <c r="Z148" s="10">
        <f>Д402[[#This Row],[Фикс 20.12.24]]+Д402[[#This Row],[23.12.24 СП +1000]]</f>
        <v>123837.8</v>
      </c>
      <c r="AA148" s="149">
        <v>215</v>
      </c>
      <c r="AB148" s="10">
        <f>Д402[[#This Row],[Фикс 23.12.24]]+Д402[[#This Row],[Повышение 20.02.25]]</f>
        <v>124052.8</v>
      </c>
      <c r="AC148" s="149">
        <v>17.5</v>
      </c>
      <c r="AD148" s="10">
        <f>Д402[[#This Row],[Фикс 20.02.25]]+Д402[[#This Row],[Повышение 24.02.2025]]</f>
        <v>124070.3</v>
      </c>
      <c r="AE148" s="149">
        <f>Д402[[#This Row],[Фикс 24.02.25]]*1.5%</f>
        <v>1861.0545</v>
      </c>
      <c r="AF148" s="10">
        <f>Д402[[#This Row],[Фикс 24.02.25]]+Д402[[#This Row],[Повышение 05.03.2025
1К: до 40м - 1,5%, 40+ 0,5%
2К - 0,5% ]]</f>
        <v>125931.3545</v>
      </c>
      <c r="AG148" s="149">
        <f>Д402[[#This Row],[Фикс 05.03.25]]*1%</f>
        <v>1259.313545</v>
      </c>
      <c r="AH148" s="10">
        <f>Д402[[#This Row],[Фикс 05.03.25]]+Д402[[#This Row],[повышение 14.03.25 1К-1%]]</f>
        <v>127190.668045</v>
      </c>
      <c r="AI148" s="149">
        <f>Д402[[#This Row],[Фикс 14.03.25]]*1%</f>
        <v>1271.9066804500001</v>
      </c>
      <c r="AJ148" s="10">
        <f>Д402[[#This Row],[Фикс 14.03.25]]+Д402[[#This Row],[повышение 28.03.25 1К-1%]]</f>
        <v>128462.57472545</v>
      </c>
      <c r="AK148" s="10"/>
      <c r="AL148" s="10">
        <f>Д402[[#This Row],[Фикс 28.03.25]]+Д402[[#This Row],[Повышение 23.07.25
1К 43-46м2 - 2%
2К 55-58 - 2%; 58-64 - 3%
3К 76-79 - 2%
]]</f>
        <v>128462.57472545</v>
      </c>
      <c r="AM148" s="149">
        <f>ROUND(Д402[[#This Row],[Фикс 23.07.25]],2)</f>
        <v>128462.57</v>
      </c>
      <c r="AN148" s="149">
        <f>ROUNDUP(Д402[[#This Row],[утв цена м2]]*Д402[[#This Row],[Расчетная проектная площадь]],-2)</f>
        <v>4705600</v>
      </c>
      <c r="AO148" s="151"/>
      <c r="AP148" s="152">
        <v>0.02</v>
      </c>
      <c r="AQ148" s="151">
        <f>Д402[[#This Row],[Стоимость до скидки]]*Д402[[#This Row],[Скидка %]]+Д402[[#This Row],[Скидка фиксированная]]</f>
        <v>94112</v>
      </c>
      <c r="AR148" s="3">
        <f>Д402[[#This Row],[Стоимость ОН без отделки со скидкой]]/Д402[[#This Row],[Расчетная проектная площадь]]</f>
        <v>125893.74829374829</v>
      </c>
      <c r="AS148" s="3">
        <f>Д402[[#This Row],[Стоимость до скидки]]-Д402[[#This Row],[Итоговая сумма скидки]]</f>
        <v>4611488</v>
      </c>
      <c r="AT14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8" s="153"/>
      <c r="AV148" s="153"/>
      <c r="AW148" s="3">
        <f>Д402[[#This Row],[Цена м2 без отделки со скидкой]]+Д402[[#This Row],[Стоимость отделки]]</f>
        <v>125893.74829374829</v>
      </c>
      <c r="AX148" s="3">
        <f>Д402[[#This Row],[Стоимость квартиры с отделкой]]-Д402[[#This Row],[Стоимость ОН без отделки со скидкой]]</f>
        <v>0</v>
      </c>
      <c r="AY148" s="3">
        <f>Д402[[#This Row],[Цена м2 с отделкой]]*Д402[[#This Row],[Расчетная проектная площадь]]</f>
        <v>4611488</v>
      </c>
      <c r="AZ148" s="161" t="s">
        <v>433</v>
      </c>
      <c r="BA148" s="269" t="s">
        <v>426</v>
      </c>
      <c r="BB148" s="298" t="str" cm="1">
        <f t="array" ref="BB14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48" s="161" t="s">
        <v>741</v>
      </c>
      <c r="BD148" s="161" t="s">
        <v>506</v>
      </c>
      <c r="BE148" s="161" t="s">
        <v>737</v>
      </c>
      <c r="BF148" s="161" t="s">
        <v>746</v>
      </c>
      <c r="BG148" s="161" t="b">
        <f>EXACT(Д402[[#This Row],[Статусы CRM]],Д402[[#This Row],[Статус]])</f>
        <v>1</v>
      </c>
      <c r="BH148" s="3">
        <f>IF(Д402[[#This Row],[ПС]]=0,IF(Д402[[#This Row],[ДС]]=0,Д402[[#This Row],[ТС]],Д402[[#This Row],[ДС]]),Д402[[#This Row],[ПС]])</f>
        <v>4705600</v>
      </c>
      <c r="BI148" s="3" t="s">
        <v>749</v>
      </c>
      <c r="BJ148" s="3">
        <v>0</v>
      </c>
      <c r="BK148" s="3">
        <v>4705600</v>
      </c>
      <c r="BL148" s="273">
        <f>Д402[[#This Row],[Стоимость CRM]]-Д402[[#This Row],[Стоимость до скидки]]</f>
        <v>0</v>
      </c>
      <c r="BM148" s="161" t="s">
        <v>9</v>
      </c>
      <c r="BN148" s="161" t="b">
        <f>Д402[[#This Row],[Отделка CRM]]=Д402[[#This Row],[Отделка]]</f>
        <v>1</v>
      </c>
      <c r="BO148" s="275" t="s">
        <v>280</v>
      </c>
      <c r="BP148" s="69"/>
    </row>
    <row r="149" spans="1:68" ht="12" customHeight="1" x14ac:dyDescent="0.25">
      <c r="A149" s="140">
        <v>147</v>
      </c>
      <c r="B149" s="15">
        <v>2</v>
      </c>
      <c r="C149" s="141">
        <f t="shared" ref="C149:C180" si="5">C143+1</f>
        <v>8</v>
      </c>
      <c r="D149" s="142">
        <v>3</v>
      </c>
      <c r="E149" s="141">
        <v>0</v>
      </c>
      <c r="F149" s="143">
        <v>13.94</v>
      </c>
      <c r="G149" s="143"/>
      <c r="H149" s="143"/>
      <c r="I149" s="144">
        <f>SUM(Д402[[#This Row],[Комната 1]:[Комната 3]])</f>
        <v>13.94</v>
      </c>
      <c r="J149" s="145">
        <v>5.98</v>
      </c>
      <c r="K149" s="145">
        <v>4.54</v>
      </c>
      <c r="L149" s="145"/>
      <c r="M149" s="145">
        <v>5.04</v>
      </c>
      <c r="N149" s="145"/>
      <c r="O149" s="145"/>
      <c r="P149" s="146"/>
      <c r="Q149" s="146"/>
      <c r="R149" s="146">
        <f>SUM(Д402[[#This Row],[Лоджия 1]:[Лоджия 3]])</f>
        <v>0</v>
      </c>
      <c r="S149" s="10">
        <f>ROUND(SUM(Д402[[#This Row],[Площадь по проекту жилая]:[Лоджия 3]]),2)</f>
        <v>29.5</v>
      </c>
      <c r="T149" s="10">
        <f>ROUND(Д402[[#This Row],[Площадь по проекту(общая)]]-Д402[[#This Row],[Летние]],2)</f>
        <v>29.5</v>
      </c>
      <c r="U149" s="10">
        <f>ROUND(Д402[[#This Row],[Площадь по проекту(общая)]]-(SUM(Д402[[#This Row],[Лоджия 1]:[Лоджия 3]])/2),2)</f>
        <v>29.5</v>
      </c>
      <c r="V149" s="10">
        <f>VLOOKUP(Д402[[#This Row],[№]],наценка7[],COLUMN(наценка7[[#This Row],[Цена м2 с учетом всех K]]),0)</f>
        <v>145319.20000000001</v>
      </c>
      <c r="W149" s="162"/>
      <c r="X149" s="10">
        <f>Д402[[#This Row],[м2 после К]]+Д402[[#This Row],[02.12.2024]]</f>
        <v>145319.20000000001</v>
      </c>
      <c r="Y149" s="149">
        <v>1000</v>
      </c>
      <c r="Z149" s="10">
        <f>Д402[[#This Row],[Фикс 20.12.24]]+Д402[[#This Row],[23.12.24 СП +1000]]</f>
        <v>146319.20000000001</v>
      </c>
      <c r="AA149" s="149">
        <v>215</v>
      </c>
      <c r="AB149" s="10">
        <f>Д402[[#This Row],[Фикс 23.12.24]]+Д402[[#This Row],[Повышение 20.02.25]]</f>
        <v>146534.20000000001</v>
      </c>
      <c r="AC149" s="149">
        <v>17.5</v>
      </c>
      <c r="AD149" s="10">
        <f>Д402[[#This Row],[Фикс 20.02.25]]+Д402[[#This Row],[Повышение 24.02.2025]]</f>
        <v>146551.70000000001</v>
      </c>
      <c r="AE149" s="10"/>
      <c r="AF149" s="10">
        <f>Д402[[#This Row],[Фикс 24.02.25]]+Д402[[#This Row],[Повышение 05.03.2025
1К: до 40м - 1,5%, 40+ 0,5%
2К - 0,5% ]]</f>
        <v>146551.70000000001</v>
      </c>
      <c r="AG149" s="10"/>
      <c r="AH149" s="10">
        <f>Д402[[#This Row],[Фикс 05.03.25]]+Д402[[#This Row],[повышение 14.03.25 1К-1%]]</f>
        <v>146551.70000000001</v>
      </c>
      <c r="AI149" s="10"/>
      <c r="AJ149" s="10">
        <f>Д402[[#This Row],[Фикс 14.03.25]]+Д402[[#This Row],[повышение 28.03.25 1К-1%]]</f>
        <v>146551.70000000001</v>
      </c>
      <c r="AK149" s="10"/>
      <c r="AL149" s="10">
        <f>Д402[[#This Row],[Фикс 28.03.25]]+Д402[[#This Row],[Повышение 23.07.25
1К 43-46м2 - 2%
2К 55-58 - 2%; 58-64 - 3%
3К 76-79 - 2%
]]</f>
        <v>146551.70000000001</v>
      </c>
      <c r="AM149" s="149">
        <f>ROUND(Д402[[#This Row],[Фикс 23.07.25]],2)</f>
        <v>146551.70000000001</v>
      </c>
      <c r="AN149" s="149">
        <f>ROUNDUP(Д402[[#This Row],[утв цена м2]]*Д402[[#This Row],[Расчетная проектная площадь]],-2)</f>
        <v>4323300</v>
      </c>
      <c r="AO149" s="151"/>
      <c r="AP149" s="152"/>
      <c r="AQ149" s="151">
        <f>Д402[[#This Row],[Стоимость до скидки]]*Д402[[#This Row],[Скидка %]]+Д402[[#This Row],[Скидка фиксированная]]</f>
        <v>0</v>
      </c>
      <c r="AR149" s="3">
        <f>Д402[[#This Row],[Стоимость ОН без отделки со скидкой]]/Д402[[#This Row],[Расчетная проектная площадь]]</f>
        <v>146552.54237288135</v>
      </c>
      <c r="AS149" s="3">
        <f>Д402[[#This Row],[Стоимость до скидки]]-Д402[[#This Row],[Итоговая сумма скидки]]</f>
        <v>4323300</v>
      </c>
      <c r="AT14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49" s="153"/>
      <c r="AV149" s="153"/>
      <c r="AW149" s="3">
        <f>Д402[[#This Row],[Цена м2 без отделки со скидкой]]+Д402[[#This Row],[Стоимость отделки]]</f>
        <v>146552.54237288135</v>
      </c>
      <c r="AX149" s="3">
        <f>Д402[[#This Row],[Стоимость квартиры с отделкой]]-Д402[[#This Row],[Стоимость ОН без отделки со скидкой]]</f>
        <v>0</v>
      </c>
      <c r="AY149" s="3">
        <f>Д402[[#This Row],[Цена м2 с отделкой]]*Д402[[#This Row],[Расчетная проектная площадь]]</f>
        <v>4323300</v>
      </c>
      <c r="AZ149" s="161"/>
      <c r="BA149" s="155" t="s">
        <v>12</v>
      </c>
      <c r="BB149" s="156" t="str" cm="1">
        <f t="array" ref="BB14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49" s="161" t="s">
        <v>738</v>
      </c>
      <c r="BD149" s="161" t="s">
        <v>739</v>
      </c>
      <c r="BE149" s="161" t="s">
        <v>737</v>
      </c>
      <c r="BF149" s="161" t="s">
        <v>743</v>
      </c>
      <c r="BG149" s="161" t="b">
        <f>EXACT(Д402[[#This Row],[Статусы CRM]],Д402[[#This Row],[Статус]])</f>
        <v>1</v>
      </c>
      <c r="BH149" s="3">
        <f>IF(Д402[[#This Row],[ПС]]=0,IF(Д402[[#This Row],[ДС]]=0,Д402[[#This Row],[ТС]],Д402[[#This Row],[ДС]]),Д402[[#This Row],[ПС]])</f>
        <v>4323300</v>
      </c>
      <c r="BI149" s="3">
        <v>4323300</v>
      </c>
      <c r="BJ149" s="3">
        <v>0</v>
      </c>
      <c r="BK149" s="3">
        <v>0</v>
      </c>
      <c r="BL149" s="273">
        <f>Д402[[#This Row],[Стоимость CRM]]-Д402[[#This Row],[Стоимость до скидки]]</f>
        <v>0</v>
      </c>
      <c r="BM149" s="161" t="s">
        <v>9</v>
      </c>
      <c r="BN149" s="161" t="b">
        <f>Д402[[#This Row],[Отделка CRM]]=Д402[[#This Row],[Отделка]]</f>
        <v>1</v>
      </c>
      <c r="BO149" s="275" t="s">
        <v>281</v>
      </c>
      <c r="BP149" s="69"/>
    </row>
    <row r="150" spans="1:68" ht="12" customHeight="1" x14ac:dyDescent="0.25">
      <c r="A150" s="140">
        <v>148</v>
      </c>
      <c r="B150" s="15">
        <v>2</v>
      </c>
      <c r="C150" s="141">
        <f t="shared" si="5"/>
        <v>8</v>
      </c>
      <c r="D150" s="142">
        <v>4</v>
      </c>
      <c r="E150" s="141">
        <v>0</v>
      </c>
      <c r="F150" s="143">
        <v>13.39</v>
      </c>
      <c r="G150" s="143"/>
      <c r="H150" s="143"/>
      <c r="I150" s="144">
        <f>SUM(Д402[[#This Row],[Комната 1]:[Комната 3]])</f>
        <v>13.39</v>
      </c>
      <c r="J150" s="145">
        <v>5.98</v>
      </c>
      <c r="K150" s="145">
        <v>4.54</v>
      </c>
      <c r="L150" s="145"/>
      <c r="M150" s="145">
        <v>4.08</v>
      </c>
      <c r="N150" s="145"/>
      <c r="O150" s="145"/>
      <c r="P150" s="146"/>
      <c r="Q150" s="146"/>
      <c r="R150" s="146">
        <f>SUM(Д402[[#This Row],[Лоджия 1]:[Лоджия 3]])</f>
        <v>0</v>
      </c>
      <c r="S150" s="10">
        <f>ROUND(SUM(Д402[[#This Row],[Площадь по проекту жилая]:[Лоджия 3]]),2)</f>
        <v>27.99</v>
      </c>
      <c r="T150" s="10">
        <f>ROUND(Д402[[#This Row],[Площадь по проекту(общая)]]-Д402[[#This Row],[Летние]],2)</f>
        <v>27.99</v>
      </c>
      <c r="U150" s="10">
        <f>ROUND(Д402[[#This Row],[Площадь по проекту(общая)]]-(SUM(Д402[[#This Row],[Лоджия 1]:[Лоджия 3]])/2),2)</f>
        <v>27.99</v>
      </c>
      <c r="V150" s="10">
        <f>VLOOKUP(Д402[[#This Row],[№]],наценка7[],COLUMN(наценка7[[#This Row],[Цена м2 с учетом всех K]]),0)</f>
        <v>142524.6</v>
      </c>
      <c r="W150" s="162"/>
      <c r="X150" s="10">
        <f>Д402[[#This Row],[м2 после К]]+Д402[[#This Row],[02.12.2024]]</f>
        <v>142524.6</v>
      </c>
      <c r="Y150" s="149">
        <v>1000</v>
      </c>
      <c r="Z150" s="10">
        <f>Д402[[#This Row],[Фикс 20.12.24]]+Д402[[#This Row],[23.12.24 СП +1000]]</f>
        <v>143524.6</v>
      </c>
      <c r="AA150" s="149">
        <v>215</v>
      </c>
      <c r="AB150" s="10">
        <f>Д402[[#This Row],[Фикс 23.12.24]]+Д402[[#This Row],[Повышение 20.02.25]]</f>
        <v>143739.6</v>
      </c>
      <c r="AC150" s="149">
        <v>17.5</v>
      </c>
      <c r="AD150" s="10">
        <f>Д402[[#This Row],[Фикс 20.02.25]]+Д402[[#This Row],[Повышение 24.02.2025]]</f>
        <v>143757.1</v>
      </c>
      <c r="AE150" s="10"/>
      <c r="AF150" s="10">
        <f>Д402[[#This Row],[Фикс 24.02.25]]+Д402[[#This Row],[Повышение 05.03.2025
1К: до 40м - 1,5%, 40+ 0,5%
2К - 0,5% ]]</f>
        <v>143757.1</v>
      </c>
      <c r="AG150" s="10"/>
      <c r="AH150" s="10">
        <f>Д402[[#This Row],[Фикс 05.03.25]]+Д402[[#This Row],[повышение 14.03.25 1К-1%]]</f>
        <v>143757.1</v>
      </c>
      <c r="AI150" s="10"/>
      <c r="AJ150" s="10">
        <f>Д402[[#This Row],[Фикс 14.03.25]]+Д402[[#This Row],[повышение 28.03.25 1К-1%]]</f>
        <v>143757.1</v>
      </c>
      <c r="AK150" s="10"/>
      <c r="AL150" s="10">
        <f>Д402[[#This Row],[Фикс 28.03.25]]+Д402[[#This Row],[Повышение 23.07.25
1К 43-46м2 - 2%
2К 55-58 - 2%; 58-64 - 3%
3К 76-79 - 2%
]]</f>
        <v>143757.1</v>
      </c>
      <c r="AM150" s="149">
        <f>ROUND(Д402[[#This Row],[Фикс 23.07.25]],2)</f>
        <v>143757.1</v>
      </c>
      <c r="AN150" s="149">
        <f>ROUNDUP(Д402[[#This Row],[утв цена м2]]*Д402[[#This Row],[Расчетная проектная площадь]],-2)</f>
        <v>4023800</v>
      </c>
      <c r="AO150" s="151"/>
      <c r="AP150" s="152"/>
      <c r="AQ150" s="151">
        <f>Д402[[#This Row],[Стоимость до скидки]]*Д402[[#This Row],[Скидка %]]+Д402[[#This Row],[Скидка фиксированная]]</f>
        <v>0</v>
      </c>
      <c r="AR150" s="3">
        <f>Д402[[#This Row],[Стоимость ОН без отделки со скидкой]]/Д402[[#This Row],[Расчетная проектная площадь]]</f>
        <v>143758.48517327619</v>
      </c>
      <c r="AS150" s="3">
        <f>Д402[[#This Row],[Стоимость до скидки]]-Д402[[#This Row],[Итоговая сумма скидки]]</f>
        <v>4023800</v>
      </c>
      <c r="AT15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0" s="153"/>
      <c r="AV150" s="153"/>
      <c r="AW150" s="3">
        <f>Д402[[#This Row],[Цена м2 без отделки со скидкой]]+Д402[[#This Row],[Стоимость отделки]]</f>
        <v>143758.48517327619</v>
      </c>
      <c r="AX150" s="3">
        <f>Д402[[#This Row],[Стоимость квартиры с отделкой]]-Д402[[#This Row],[Стоимость ОН без отделки со скидкой]]</f>
        <v>0</v>
      </c>
      <c r="AY150" s="3">
        <f>Д402[[#This Row],[Цена м2 с отделкой]]*Д402[[#This Row],[Расчетная проектная площадь]]</f>
        <v>4023800.0000000005</v>
      </c>
      <c r="AZ150" s="161"/>
      <c r="BA150" s="155" t="s">
        <v>12</v>
      </c>
      <c r="BB150" s="156" t="str" cm="1">
        <f t="array" ref="BB15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0" s="161" t="s">
        <v>738</v>
      </c>
      <c r="BD150" s="161" t="s">
        <v>739</v>
      </c>
      <c r="BE150" s="161" t="s">
        <v>737</v>
      </c>
      <c r="BF150" s="161" t="s">
        <v>743</v>
      </c>
      <c r="BG150" s="161" t="b">
        <f>EXACT(Д402[[#This Row],[Статусы CRM]],Д402[[#This Row],[Статус]])</f>
        <v>1</v>
      </c>
      <c r="BH150" s="3">
        <f>IF(Д402[[#This Row],[ПС]]=0,IF(Д402[[#This Row],[ДС]]=0,Д402[[#This Row],[ТС]],Д402[[#This Row],[ДС]]),Д402[[#This Row],[ПС]])</f>
        <v>4023800</v>
      </c>
      <c r="BI150" s="3">
        <v>4023800</v>
      </c>
      <c r="BJ150" s="3">
        <v>0</v>
      </c>
      <c r="BK150" s="3">
        <v>0</v>
      </c>
      <c r="BL150" s="273">
        <f>Д402[[#This Row],[Стоимость CRM]]-Д402[[#This Row],[Стоимость до скидки]]</f>
        <v>0</v>
      </c>
      <c r="BM150" s="161" t="s">
        <v>9</v>
      </c>
      <c r="BN150" s="161" t="b">
        <f>Д402[[#This Row],[Отделка CRM]]=Д402[[#This Row],[Отделка]]</f>
        <v>1</v>
      </c>
      <c r="BO150" s="275" t="s">
        <v>282</v>
      </c>
      <c r="BP150" s="69"/>
    </row>
    <row r="151" spans="1:68" ht="12" customHeight="1" x14ac:dyDescent="0.25">
      <c r="A151" s="140">
        <v>149</v>
      </c>
      <c r="B151" s="15">
        <v>2</v>
      </c>
      <c r="C151" s="141">
        <f t="shared" si="5"/>
        <v>8</v>
      </c>
      <c r="D151" s="142">
        <v>5</v>
      </c>
      <c r="E151" s="141">
        <v>2</v>
      </c>
      <c r="F151" s="143">
        <v>16.579999999999998</v>
      </c>
      <c r="G151" s="143">
        <v>14.14</v>
      </c>
      <c r="H151" s="143"/>
      <c r="I151" s="144">
        <f>SUM(Д402[[#This Row],[Комната 1]:[Комната 3]])</f>
        <v>30.72</v>
      </c>
      <c r="J151" s="145">
        <v>12.38</v>
      </c>
      <c r="K151" s="145">
        <v>4.1399999999999997</v>
      </c>
      <c r="L151" s="145"/>
      <c r="M151" s="145">
        <v>7.61</v>
      </c>
      <c r="N151" s="145">
        <v>7.03</v>
      </c>
      <c r="O151" s="145">
        <v>3.11</v>
      </c>
      <c r="P151" s="146"/>
      <c r="Q151" s="146"/>
      <c r="R151" s="146">
        <f>SUM(Д402[[#This Row],[Лоджия 1]:[Лоджия 3]])</f>
        <v>3.11</v>
      </c>
      <c r="S151" s="10">
        <f>ROUND(SUM(Д402[[#This Row],[Площадь по проекту жилая]:[Лоджия 3]]),2)</f>
        <v>64.989999999999995</v>
      </c>
      <c r="T151" s="10">
        <f>ROUND(Д402[[#This Row],[Площадь по проекту(общая)]]-Д402[[#This Row],[Летние]],2)</f>
        <v>61.88</v>
      </c>
      <c r="U151" s="10">
        <f>ROUND(Д402[[#This Row],[Площадь по проекту(общая)]]-(SUM(Д402[[#This Row],[Лоджия 1]:[Лоджия 3]])/2),2)</f>
        <v>63.44</v>
      </c>
      <c r="V151" s="10">
        <f>VLOOKUP(Д402[[#This Row],[№]],наценка7[],COLUMN(наценка7[[#This Row],[Цена м2 с учетом всех K]]),0)</f>
        <v>119811.8</v>
      </c>
      <c r="W151" s="162">
        <v>-7000</v>
      </c>
      <c r="X151" s="10">
        <f>Д402[[#This Row],[м2 после К]]+Д402[[#This Row],[02.12.2024]]</f>
        <v>112811.8</v>
      </c>
      <c r="Y151" s="149">
        <v>1000</v>
      </c>
      <c r="Z151" s="10">
        <f>Д402[[#This Row],[Фикс 20.12.24]]+Д402[[#This Row],[23.12.24 СП +1000]]</f>
        <v>113811.8</v>
      </c>
      <c r="AA151" s="149">
        <v>215</v>
      </c>
      <c r="AB151" s="10">
        <f>Д402[[#This Row],[Фикс 23.12.24]]+Д402[[#This Row],[Повышение 20.02.25]]</f>
        <v>114026.8</v>
      </c>
      <c r="AC151" s="149">
        <v>17.5</v>
      </c>
      <c r="AD151" s="10">
        <f>Д402[[#This Row],[Фикс 20.02.25]]+Д402[[#This Row],[Повышение 24.02.2025]]</f>
        <v>114044.3</v>
      </c>
      <c r="AE151" s="149">
        <f>Д402[[#This Row],[Фикс 24.02.25]]*0.5%</f>
        <v>570.22149999999999</v>
      </c>
      <c r="AF151" s="10">
        <f>Д402[[#This Row],[Фикс 24.02.25]]+Д402[[#This Row],[Повышение 05.03.2025
1К: до 40м - 1,5%, 40+ 0,5%
2К - 0,5% ]]</f>
        <v>114614.5215</v>
      </c>
      <c r="AG151" s="10"/>
      <c r="AH151" s="10">
        <f>Д402[[#This Row],[Фикс 05.03.25]]+Д402[[#This Row],[повышение 14.03.25 1К-1%]]</f>
        <v>114614.5215</v>
      </c>
      <c r="AI151" s="10"/>
      <c r="AJ151" s="10">
        <f>Д402[[#This Row],[Фикс 14.03.25]]+Д402[[#This Row],[повышение 28.03.25 1К-1%]]</f>
        <v>114614.5215</v>
      </c>
      <c r="AK151" s="10">
        <f>Д402[[#This Row],[Фикс 28.03.25]]*3%</f>
        <v>3438.435645</v>
      </c>
      <c r="AL151" s="10">
        <f>Д402[[#This Row],[Фикс 28.03.25]]+Д402[[#This Row],[Повышение 23.07.25
1К 43-46м2 - 2%
2К 55-58 - 2%; 58-64 - 3%
3К 76-79 - 2%
]]</f>
        <v>118052.95714500001</v>
      </c>
      <c r="AM151" s="149">
        <f>ROUND(Д402[[#This Row],[Фикс 23.07.25]],2)</f>
        <v>118052.96</v>
      </c>
      <c r="AN151" s="149">
        <f>ROUNDUP(Д402[[#This Row],[утв цена м2]]*Д402[[#This Row],[Расчетная проектная площадь]],-2)</f>
        <v>7489300</v>
      </c>
      <c r="AO151" s="151"/>
      <c r="AP151" s="152"/>
      <c r="AQ151" s="151">
        <f>Д402[[#This Row],[Стоимость до скидки]]*Д402[[#This Row],[Скидка %]]+Д402[[#This Row],[Скидка фиксированная]]</f>
        <v>0</v>
      </c>
      <c r="AR151" s="3">
        <f>Д402[[#This Row],[Стоимость ОН без отделки со скидкой]]/Д402[[#This Row],[Расчетная проектная площадь]]</f>
        <v>118053.27868852459</v>
      </c>
      <c r="AS151" s="3">
        <f>Д402[[#This Row],[Стоимость до скидки]]-Д402[[#This Row],[Итоговая сумма скидки]]</f>
        <v>7489300</v>
      </c>
      <c r="AT15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1" s="153"/>
      <c r="AV151" s="153"/>
      <c r="AW151" s="3">
        <f>Д402[[#This Row],[Цена м2 без отделки со скидкой]]+Д402[[#This Row],[Стоимость отделки]]</f>
        <v>118053.27868852459</v>
      </c>
      <c r="AX151" s="3">
        <f>Д402[[#This Row],[Стоимость квартиры с отделкой]]-Д402[[#This Row],[Стоимость ОН без отделки со скидкой]]</f>
        <v>0</v>
      </c>
      <c r="AY151" s="3">
        <f>Д402[[#This Row],[Цена м2 с отделкой]]*Д402[[#This Row],[Расчетная проектная площадь]]</f>
        <v>7489300</v>
      </c>
      <c r="AZ151" s="161"/>
      <c r="BA151" s="269" t="s">
        <v>12</v>
      </c>
      <c r="BB151" s="269" t="str" cm="1">
        <f t="array" ref="BB15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1" s="161" t="s">
        <v>738</v>
      </c>
      <c r="BD151" s="161" t="s">
        <v>739</v>
      </c>
      <c r="BE151" s="161" t="s">
        <v>737</v>
      </c>
      <c r="BF151" s="161" t="s">
        <v>747</v>
      </c>
      <c r="BG151" s="161" t="b">
        <f>EXACT(Д402[[#This Row],[Статусы CRM]],Д402[[#This Row],[Статус]])</f>
        <v>1</v>
      </c>
      <c r="BH151" s="3">
        <f>IF(Д402[[#This Row],[ПС]]=0,IF(Д402[[#This Row],[ДС]]=0,Д402[[#This Row],[ТС]],Д402[[#This Row],[ДС]]),Д402[[#This Row],[ПС]])</f>
        <v>7489300</v>
      </c>
      <c r="BI151" s="3">
        <v>7489300</v>
      </c>
      <c r="BJ151" s="3">
        <v>0</v>
      </c>
      <c r="BK151" s="3">
        <v>0</v>
      </c>
      <c r="BL151" s="273">
        <f>Д402[[#This Row],[Стоимость CRM]]-Д402[[#This Row],[Стоимость до скидки]]</f>
        <v>0</v>
      </c>
      <c r="BM151" s="161" t="s">
        <v>9</v>
      </c>
      <c r="BN151" s="161" t="b">
        <f>Д402[[#This Row],[Отделка CRM]]=Д402[[#This Row],[Отделка]]</f>
        <v>1</v>
      </c>
      <c r="BO151" s="275" t="s">
        <v>283</v>
      </c>
      <c r="BP151" s="69"/>
    </row>
    <row r="152" spans="1:68" ht="11.25" customHeight="1" x14ac:dyDescent="0.25">
      <c r="A152" s="140">
        <v>150</v>
      </c>
      <c r="B152" s="15">
        <v>2</v>
      </c>
      <c r="C152" s="141">
        <f t="shared" si="5"/>
        <v>8</v>
      </c>
      <c r="D152" s="142">
        <v>6</v>
      </c>
      <c r="E152" s="141">
        <v>2</v>
      </c>
      <c r="F152" s="143">
        <v>17.73</v>
      </c>
      <c r="G152" s="143">
        <v>12.22</v>
      </c>
      <c r="H152" s="143"/>
      <c r="I152" s="144">
        <f>SUM(Д402[[#This Row],[Комната 1]:[Комната 3]])</f>
        <v>29.950000000000003</v>
      </c>
      <c r="J152" s="145">
        <v>13.65</v>
      </c>
      <c r="K152" s="145">
        <v>5.22</v>
      </c>
      <c r="L152" s="145">
        <v>2.5</v>
      </c>
      <c r="M152" s="145">
        <v>8.06</v>
      </c>
      <c r="N152" s="145"/>
      <c r="O152" s="145">
        <v>3.11</v>
      </c>
      <c r="P152" s="146"/>
      <c r="Q152" s="146"/>
      <c r="R152" s="146">
        <f>SUM(Д402[[#This Row],[Лоджия 1]:[Лоджия 3]])</f>
        <v>3.11</v>
      </c>
      <c r="S152" s="10">
        <f>ROUND(SUM(Д402[[#This Row],[Площадь по проекту жилая]:[Лоджия 3]]),2)</f>
        <v>62.49</v>
      </c>
      <c r="T152" s="10">
        <f>ROUND(Д402[[#This Row],[Площадь по проекту(общая)]]-Д402[[#This Row],[Летние]],2)</f>
        <v>59.38</v>
      </c>
      <c r="U152" s="10">
        <f>ROUND(Д402[[#This Row],[Площадь по проекту(общая)]]-(SUM(Д402[[#This Row],[Лоджия 1]:[Лоджия 3]])/2),2)</f>
        <v>60.94</v>
      </c>
      <c r="V152" s="10">
        <f>VLOOKUP(Д402[[#This Row],[№]],наценка7[],COLUMN(наценка7[[#This Row],[Цена м2 с учетом всех K]]),0)</f>
        <v>126593.60000000001</v>
      </c>
      <c r="W152" s="162">
        <v>-10000</v>
      </c>
      <c r="X152" s="10">
        <f>Д402[[#This Row],[м2 после К]]+Д402[[#This Row],[02.12.2024]]</f>
        <v>116593.60000000001</v>
      </c>
      <c r="Y152" s="149">
        <v>1000</v>
      </c>
      <c r="Z152" s="10">
        <f>Д402[[#This Row],[Фикс 20.12.24]]+Д402[[#This Row],[23.12.24 СП +1000]]</f>
        <v>117593.60000000001</v>
      </c>
      <c r="AA152" s="149">
        <v>215</v>
      </c>
      <c r="AB152" s="10">
        <f>Д402[[#This Row],[Фикс 23.12.24]]+Д402[[#This Row],[Повышение 20.02.25]]</f>
        <v>117808.6</v>
      </c>
      <c r="AC152" s="149">
        <v>17.5</v>
      </c>
      <c r="AD152" s="10">
        <f>Д402[[#This Row],[Фикс 20.02.25]]+Д402[[#This Row],[Повышение 24.02.2025]]</f>
        <v>117826.1</v>
      </c>
      <c r="AE152" s="10">
        <f>Д402[[#This Row],[Фикс 24.02.25]]*0.5%</f>
        <v>589.1305000000001</v>
      </c>
      <c r="AF152" s="10">
        <f>Д402[[#This Row],[Фикс 24.02.25]]+Д402[[#This Row],[Повышение 05.03.2025
1К: до 40м - 1,5%, 40+ 0,5%
2К - 0,5% ]]</f>
        <v>118415.23050000001</v>
      </c>
      <c r="AG152" s="10"/>
      <c r="AH152" s="10">
        <f>Д402[[#This Row],[Фикс 05.03.25]]+Д402[[#This Row],[повышение 14.03.25 1К-1%]]</f>
        <v>118415.23050000001</v>
      </c>
      <c r="AI152" s="10"/>
      <c r="AJ152" s="10">
        <f>Д402[[#This Row],[Фикс 14.03.25]]+Д402[[#This Row],[повышение 28.03.25 1К-1%]]</f>
        <v>118415.23050000001</v>
      </c>
      <c r="AK152" s="10">
        <f>Д402[[#This Row],[Фикс 28.03.25]]*3%</f>
        <v>3552.4569150000002</v>
      </c>
      <c r="AL152" s="10">
        <f>Д402[[#This Row],[Фикс 28.03.25]]+Д402[[#This Row],[Повышение 23.07.25
1К 43-46м2 - 2%
2К 55-58 - 2%; 58-64 - 3%
3К 76-79 - 2%
]]</f>
        <v>121967.68741500001</v>
      </c>
      <c r="AM152" s="149">
        <f>ROUND(Д402[[#This Row],[Фикс 23.07.25]],2)</f>
        <v>121967.69</v>
      </c>
      <c r="AN152" s="149">
        <f>ROUNDUP(Д402[[#This Row],[утв цена м2]]*Д402[[#This Row],[Расчетная проектная площадь]],-2)</f>
        <v>7432800</v>
      </c>
      <c r="AO152" s="151"/>
      <c r="AP152" s="152"/>
      <c r="AQ152" s="151">
        <f>Д402[[#This Row],[Стоимость до скидки]]*Д402[[#This Row],[Скидка %]]+Д402[[#This Row],[Скидка фиксированная]]</f>
        <v>0</v>
      </c>
      <c r="AR152" s="3">
        <f>Д402[[#This Row],[Стоимость ОН без отделки со скидкой]]/Д402[[#This Row],[Расчетная проектная площадь]]</f>
        <v>121969.14998359043</v>
      </c>
      <c r="AS152" s="3">
        <f>Д402[[#This Row],[Стоимость до скидки]]-Д402[[#This Row],[Итоговая сумма скидки]]</f>
        <v>7432800</v>
      </c>
      <c r="AT15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152" s="153">
        <v>10000</v>
      </c>
      <c r="AV152" s="153"/>
      <c r="AW152" s="3">
        <f>Д402[[#This Row],[Цена м2 без отделки со скидкой]]+Д402[[#This Row],[Стоимость отделки]]</f>
        <v>131969.14998359041</v>
      </c>
      <c r="AX152" s="3">
        <f>Д402[[#This Row],[Стоимость квартиры с отделкой]]-Д402[[#This Row],[Стоимость ОН без отделки со скидкой]]</f>
        <v>609399.99999999907</v>
      </c>
      <c r="AY152" s="3">
        <f>Д402[[#This Row],[Цена м2 с отделкой]]*Д402[[#This Row],[Расчетная проектная площадь]]</f>
        <v>8042199.9999999991</v>
      </c>
      <c r="AZ152" s="161"/>
      <c r="BA152" s="269" t="s">
        <v>128</v>
      </c>
      <c r="BB152" s="269" t="str" cm="1">
        <f t="array" ref="BB15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52" s="161" t="s">
        <v>740</v>
      </c>
      <c r="BD152" s="161" t="s">
        <v>506</v>
      </c>
      <c r="BE152" s="161" t="s">
        <v>737</v>
      </c>
      <c r="BF152" s="161" t="s">
        <v>747</v>
      </c>
      <c r="BG152" s="161" t="b">
        <f>EXACT(Д402[[#This Row],[Статусы CRM]],Д402[[#This Row],[Статус]])</f>
        <v>1</v>
      </c>
      <c r="BH152" s="3">
        <f>IF(Д402[[#This Row],[ПС]]=0,IF(Д402[[#This Row],[ДС]]=0,Д402[[#This Row],[ТС]],Д402[[#This Row],[ДС]]),Д402[[#This Row],[ПС]])</f>
        <v>7432800</v>
      </c>
      <c r="BI152" s="3">
        <v>7432800</v>
      </c>
      <c r="BJ152" s="3">
        <v>0</v>
      </c>
      <c r="BK152" s="3">
        <v>0</v>
      </c>
      <c r="BL152" s="273">
        <f>Д402[[#This Row],[Стоимость CRM]]-Д402[[#This Row],[Стоимость до скидки]]</f>
        <v>0</v>
      </c>
      <c r="BM152" s="161" t="s">
        <v>718</v>
      </c>
      <c r="BN152" s="161" t="b">
        <f>Д402[[#This Row],[Отделка CRM]]=Д402[[#This Row],[Отделка]]</f>
        <v>1</v>
      </c>
      <c r="BO152" s="275" t="s">
        <v>284</v>
      </c>
      <c r="BP152" s="69"/>
    </row>
    <row r="153" spans="1:68" ht="12" customHeight="1" x14ac:dyDescent="0.25">
      <c r="A153" s="140">
        <v>151</v>
      </c>
      <c r="B153" s="15">
        <v>2</v>
      </c>
      <c r="C153" s="141">
        <f t="shared" si="5"/>
        <v>9</v>
      </c>
      <c r="D153" s="142">
        <v>1</v>
      </c>
      <c r="E153" s="141">
        <v>2</v>
      </c>
      <c r="F153" s="143">
        <v>17.579999999999998</v>
      </c>
      <c r="G153" s="143">
        <v>14.37</v>
      </c>
      <c r="H153" s="143"/>
      <c r="I153" s="144">
        <f>SUM(Д402[[#This Row],[Комната 1]:[Комната 3]])</f>
        <v>31.949999999999996</v>
      </c>
      <c r="J153" s="145">
        <v>14.29</v>
      </c>
      <c r="K153" s="145">
        <v>4.5199999999999996</v>
      </c>
      <c r="L153" s="145"/>
      <c r="M153" s="145">
        <v>8.64</v>
      </c>
      <c r="N153" s="145">
        <v>4.76</v>
      </c>
      <c r="O153" s="145">
        <v>3.11</v>
      </c>
      <c r="P153" s="146"/>
      <c r="Q153" s="146"/>
      <c r="R153" s="146">
        <f>SUM(Д402[[#This Row],[Лоджия 1]:[Лоджия 3]])</f>
        <v>3.11</v>
      </c>
      <c r="S153" s="10">
        <f>ROUND(SUM(Д402[[#This Row],[Площадь по проекту жилая]:[Лоджия 3]]),2)</f>
        <v>67.27</v>
      </c>
      <c r="T153" s="10">
        <f>ROUND(Д402[[#This Row],[Площадь по проекту(общая)]]-Д402[[#This Row],[Летние]],2)</f>
        <v>64.16</v>
      </c>
      <c r="U153" s="10">
        <f>ROUND(Д402[[#This Row],[Площадь по проекту(общая)]]-(SUM(Д402[[#This Row],[Лоджия 1]:[Лоджия 3]])/2),2)</f>
        <v>65.72</v>
      </c>
      <c r="V153" s="10">
        <f>VLOOKUP(Д402[[#This Row],[№]],наценка7[],COLUMN(наценка7[[#This Row],[Цена м2 с учетом всех K]]),0)</f>
        <v>119811.8</v>
      </c>
      <c r="W153" s="162"/>
      <c r="X153" s="10">
        <f>Д402[[#This Row],[м2 после К]]+Д402[[#This Row],[02.12.2024]]</f>
        <v>119811.8</v>
      </c>
      <c r="Y153" s="149">
        <v>1000</v>
      </c>
      <c r="Z153" s="10">
        <f>Д402[[#This Row],[Фикс 20.12.24]]+Д402[[#This Row],[23.12.24 СП +1000]]</f>
        <v>120811.8</v>
      </c>
      <c r="AA153" s="149">
        <v>215</v>
      </c>
      <c r="AB153" s="10">
        <f>Д402[[#This Row],[Фикс 23.12.24]]+Д402[[#This Row],[Повышение 20.02.25]]</f>
        <v>121026.8</v>
      </c>
      <c r="AC153" s="149">
        <v>17.5</v>
      </c>
      <c r="AD153" s="10">
        <f>Д402[[#This Row],[Фикс 20.02.25]]+Д402[[#This Row],[Повышение 24.02.2025]]</f>
        <v>121044.3</v>
      </c>
      <c r="AE153" s="149">
        <f>Д402[[#This Row],[Фикс 24.02.25]]*0.5%</f>
        <v>605.22149999999999</v>
      </c>
      <c r="AF153" s="10">
        <f>Д402[[#This Row],[Фикс 24.02.25]]+Д402[[#This Row],[Повышение 05.03.2025
1К: до 40м - 1,5%, 40+ 0,5%
2К - 0,5% ]]</f>
        <v>121649.5215</v>
      </c>
      <c r="AG153" s="10"/>
      <c r="AH153" s="10">
        <f>Д402[[#This Row],[Фикс 05.03.25]]+Д402[[#This Row],[повышение 14.03.25 1К-1%]]</f>
        <v>121649.5215</v>
      </c>
      <c r="AI153" s="10"/>
      <c r="AJ153" s="10">
        <f>Д402[[#This Row],[Фикс 14.03.25]]+Д402[[#This Row],[повышение 28.03.25 1К-1%]]</f>
        <v>121649.5215</v>
      </c>
      <c r="AK153" s="10"/>
      <c r="AL153" s="10">
        <f>Д402[[#This Row],[Фикс 28.03.25]]+Д402[[#This Row],[Повышение 23.07.25
1К 43-46м2 - 2%
2К 55-58 - 2%; 58-64 - 3%
3К 76-79 - 2%
]]</f>
        <v>121649.5215</v>
      </c>
      <c r="AM153" s="149">
        <f>ROUND(Д402[[#This Row],[Фикс 23.07.25]],2)</f>
        <v>121649.52</v>
      </c>
      <c r="AN153" s="149">
        <f>ROUNDUP(Д402[[#This Row],[утв цена м2]]*Д402[[#This Row],[Расчетная проектная площадь]],-2)</f>
        <v>7994900</v>
      </c>
      <c r="AO153" s="151"/>
      <c r="AP153" s="152"/>
      <c r="AQ153" s="151">
        <f>Д402[[#This Row],[Стоимость до скидки]]*Д402[[#This Row],[Скидка %]]+Д402[[#This Row],[Скидка фиксированная]]</f>
        <v>0</v>
      </c>
      <c r="AR153" s="3">
        <f>Д402[[#This Row],[Стоимость ОН без отделки со скидкой]]/Д402[[#This Row],[Расчетная проектная площадь]]</f>
        <v>121650.94339622642</v>
      </c>
      <c r="AS153" s="3">
        <f>Д402[[#This Row],[Стоимость до скидки]]-Д402[[#This Row],[Итоговая сумма скидки]]</f>
        <v>7994900</v>
      </c>
      <c r="AT15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3" s="153"/>
      <c r="AV153" s="153"/>
      <c r="AW153" s="3">
        <f>Д402[[#This Row],[Цена м2 без отделки со скидкой]]+Д402[[#This Row],[Стоимость отделки]]</f>
        <v>121650.94339622642</v>
      </c>
      <c r="AX153" s="3">
        <f>Д402[[#This Row],[Стоимость квартиры с отделкой]]-Д402[[#This Row],[Стоимость ОН без отделки со скидкой]]</f>
        <v>0</v>
      </c>
      <c r="AY153" s="3">
        <f>Д402[[#This Row],[Цена м2 с отделкой]]*Д402[[#This Row],[Расчетная проектная площадь]]</f>
        <v>7994900</v>
      </c>
      <c r="AZ153" s="161"/>
      <c r="BA153" s="155" t="s">
        <v>12</v>
      </c>
      <c r="BB153" s="156" t="str" cm="1">
        <f t="array" ref="BB15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3" s="161" t="s">
        <v>738</v>
      </c>
      <c r="BD153" s="161" t="s">
        <v>739</v>
      </c>
      <c r="BE153" s="161" t="s">
        <v>737</v>
      </c>
      <c r="BF153" s="161" t="s">
        <v>744</v>
      </c>
      <c r="BG153" s="161" t="b">
        <f>EXACT(Д402[[#This Row],[Статусы CRM]],Д402[[#This Row],[Статус]])</f>
        <v>1</v>
      </c>
      <c r="BH153" s="3">
        <f>IF(Д402[[#This Row],[ПС]]=0,IF(Д402[[#This Row],[ДС]]=0,Д402[[#This Row],[ТС]],Д402[[#This Row],[ДС]]),Д402[[#This Row],[ПС]])</f>
        <v>7994900</v>
      </c>
      <c r="BI153" s="3">
        <v>7994900</v>
      </c>
      <c r="BJ153" s="3">
        <v>0</v>
      </c>
      <c r="BK153" s="3">
        <v>0</v>
      </c>
      <c r="BL153" s="273">
        <f>Д402[[#This Row],[Стоимость CRM]]-Д402[[#This Row],[Стоимость до скидки]]</f>
        <v>0</v>
      </c>
      <c r="BM153" s="161" t="s">
        <v>9</v>
      </c>
      <c r="BN153" s="161" t="b">
        <f>Д402[[#This Row],[Отделка CRM]]=Д402[[#This Row],[Отделка]]</f>
        <v>1</v>
      </c>
      <c r="BO153" s="275" t="s">
        <v>285</v>
      </c>
      <c r="BP153" s="69"/>
    </row>
    <row r="154" spans="1:68" ht="12" customHeight="1" x14ac:dyDescent="0.25">
      <c r="A154" s="140">
        <v>152</v>
      </c>
      <c r="B154" s="175">
        <v>2</v>
      </c>
      <c r="C154" s="141">
        <f t="shared" si="5"/>
        <v>9</v>
      </c>
      <c r="D154" s="142">
        <v>2</v>
      </c>
      <c r="E154" s="141">
        <v>1</v>
      </c>
      <c r="F154" s="143">
        <v>14.77</v>
      </c>
      <c r="G154" s="143"/>
      <c r="H154" s="143"/>
      <c r="I154" s="144">
        <f>SUM(Д402[[#This Row],[Комната 1]:[Комната 3]])</f>
        <v>14.77</v>
      </c>
      <c r="J154" s="145">
        <v>11.88</v>
      </c>
      <c r="K154" s="145">
        <v>4.1399999999999997</v>
      </c>
      <c r="L154" s="145"/>
      <c r="M154" s="145">
        <v>4.28</v>
      </c>
      <c r="N154" s="145"/>
      <c r="O154" s="145">
        <v>3.11</v>
      </c>
      <c r="P154" s="146"/>
      <c r="Q154" s="146"/>
      <c r="R154" s="146">
        <f>SUM(Д402[[#This Row],[Лоджия 1]:[Лоджия 3]])</f>
        <v>3.11</v>
      </c>
      <c r="S154" s="10">
        <f>ROUND(SUM(Д402[[#This Row],[Площадь по проекту жилая]:[Лоджия 3]]),2)</f>
        <v>38.18</v>
      </c>
      <c r="T154" s="10">
        <f>ROUND(Д402[[#This Row],[Площадь по проекту(общая)]]-Д402[[#This Row],[Летние]],2)</f>
        <v>35.07</v>
      </c>
      <c r="U154" s="10">
        <f>ROUND(Д402[[#This Row],[Площадь по проекту(общая)]]-(SUM(Д402[[#This Row],[Лоджия 1]:[Лоджия 3]])/2),2)</f>
        <v>36.630000000000003</v>
      </c>
      <c r="V154" s="10">
        <f>VLOOKUP(Д402[[#This Row],[№]],наценка7[],COLUMN(наценка7[[#This Row],[Цена м2 с учетом всех K]]),0)</f>
        <v>122837.8</v>
      </c>
      <c r="W154" s="162"/>
      <c r="X154" s="10">
        <f>Д402[[#This Row],[м2 после К]]+Д402[[#This Row],[02.12.2024]]</f>
        <v>122837.8</v>
      </c>
      <c r="Y154" s="149">
        <v>1000</v>
      </c>
      <c r="Z154" s="10">
        <f>Д402[[#This Row],[Фикс 20.12.24]]+Д402[[#This Row],[23.12.24 СП +1000]]</f>
        <v>123837.8</v>
      </c>
      <c r="AA154" s="149">
        <v>215</v>
      </c>
      <c r="AB154" s="10">
        <f>Д402[[#This Row],[Фикс 23.12.24]]+Д402[[#This Row],[Повышение 20.02.25]]</f>
        <v>124052.8</v>
      </c>
      <c r="AC154" s="149">
        <v>17.5</v>
      </c>
      <c r="AD154" s="10">
        <f>Д402[[#This Row],[Фикс 20.02.25]]+Д402[[#This Row],[Повышение 24.02.2025]]</f>
        <v>124070.3</v>
      </c>
      <c r="AE154" s="149">
        <f>Д402[[#This Row],[Фикс 24.02.25]]*1.5%</f>
        <v>1861.0545</v>
      </c>
      <c r="AF154" s="10">
        <f>Д402[[#This Row],[Фикс 24.02.25]]+Д402[[#This Row],[Повышение 05.03.2025
1К: до 40м - 1,5%, 40+ 0,5%
2К - 0,5% ]]</f>
        <v>125931.3545</v>
      </c>
      <c r="AG154" s="149">
        <f>Д402[[#This Row],[Фикс 05.03.25]]*1%</f>
        <v>1259.313545</v>
      </c>
      <c r="AH154" s="10">
        <f>Д402[[#This Row],[Фикс 05.03.25]]+Д402[[#This Row],[повышение 14.03.25 1К-1%]]</f>
        <v>127190.668045</v>
      </c>
      <c r="AI154" s="149">
        <f>Д402[[#This Row],[Фикс 14.03.25]]*1%</f>
        <v>1271.9066804500001</v>
      </c>
      <c r="AJ154" s="10">
        <f>Д402[[#This Row],[Фикс 14.03.25]]+Д402[[#This Row],[повышение 28.03.25 1К-1%]]</f>
        <v>128462.57472545</v>
      </c>
      <c r="AK154" s="10"/>
      <c r="AL154" s="10">
        <f>Д402[[#This Row],[Фикс 28.03.25]]+Д402[[#This Row],[Повышение 23.07.25
1К 43-46м2 - 2%
2К 55-58 - 2%; 58-64 - 3%
3К 76-79 - 2%
]]</f>
        <v>128462.57472545</v>
      </c>
      <c r="AM154" s="149">
        <f>ROUND(Д402[[#This Row],[Фикс 23.07.25]],2)</f>
        <v>128462.57</v>
      </c>
      <c r="AN154" s="149">
        <f>ROUNDUP(Д402[[#This Row],[утв цена м2]]*Д402[[#This Row],[Расчетная проектная площадь]],-2)</f>
        <v>4705600</v>
      </c>
      <c r="AO154" s="151"/>
      <c r="AP154" s="152">
        <v>0.02</v>
      </c>
      <c r="AQ154" s="151">
        <f>Д402[[#This Row],[Стоимость до скидки]]*Д402[[#This Row],[Скидка %]]+Д402[[#This Row],[Скидка фиксированная]]</f>
        <v>94112</v>
      </c>
      <c r="AR154" s="3">
        <f>Д402[[#This Row],[Стоимость ОН без отделки со скидкой]]/Д402[[#This Row],[Расчетная проектная площадь]]</f>
        <v>125893.74829374829</v>
      </c>
      <c r="AS154" s="3">
        <f>Д402[[#This Row],[Стоимость до скидки]]-Д402[[#This Row],[Итоговая сумма скидки]]</f>
        <v>4611488</v>
      </c>
      <c r="AT15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54" s="153">
        <v>25000</v>
      </c>
      <c r="AV154" s="153" t="s">
        <v>722</v>
      </c>
      <c r="AW154" s="3">
        <f>Д402[[#This Row],[Цена м2 без отделки со скидкой]]+Д402[[#This Row],[Стоимость отделки]]</f>
        <v>150893.7482937483</v>
      </c>
      <c r="AX154" s="3">
        <f>Д402[[#This Row],[Стоимость квартиры с отделкой]]-Д402[[#This Row],[Стоимость ОН без отделки со скидкой]]</f>
        <v>915750.00000000093</v>
      </c>
      <c r="AY154" s="3">
        <f>Д402[[#This Row],[Цена м2 с отделкой]]*Д402[[#This Row],[Расчетная проектная площадь]]</f>
        <v>5527238.0000000009</v>
      </c>
      <c r="AZ154" s="161" t="s">
        <v>714</v>
      </c>
      <c r="BA154" s="269" t="s">
        <v>426</v>
      </c>
      <c r="BB154" s="298" t="str" cm="1">
        <f t="array" ref="BB15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54" s="161" t="s">
        <v>741</v>
      </c>
      <c r="BD154" s="161" t="s">
        <v>506</v>
      </c>
      <c r="BE154" s="161" t="s">
        <v>737</v>
      </c>
      <c r="BF154" s="161" t="s">
        <v>746</v>
      </c>
      <c r="BG154" s="161" t="b">
        <f>EXACT(Д402[[#This Row],[Статусы CRM]],Д402[[#This Row],[Статус]])</f>
        <v>1</v>
      </c>
      <c r="BH154" s="3">
        <f>IF(Д402[[#This Row],[ПС]]=0,IF(Д402[[#This Row],[ДС]]=0,Д402[[#This Row],[ТС]],Д402[[#This Row],[ДС]]),Д402[[#This Row],[ПС]])</f>
        <v>4705600</v>
      </c>
      <c r="BI154" s="3" t="s">
        <v>749</v>
      </c>
      <c r="BJ154" s="3">
        <v>0</v>
      </c>
      <c r="BK154" s="3">
        <v>4705600</v>
      </c>
      <c r="BL154" s="273">
        <f>Д402[[#This Row],[Стоимость CRM]]-Д402[[#This Row],[Стоимость до скидки]]</f>
        <v>0</v>
      </c>
      <c r="BM154" s="161" t="s">
        <v>11</v>
      </c>
      <c r="BN154" s="161" t="b">
        <f>Д402[[#This Row],[Отделка CRM]]=Д402[[#This Row],[Отделка]]</f>
        <v>1</v>
      </c>
      <c r="BO154" s="275" t="s">
        <v>286</v>
      </c>
      <c r="BP154" s="69"/>
    </row>
    <row r="155" spans="1:68" ht="12" customHeight="1" x14ac:dyDescent="0.25">
      <c r="A155" s="140">
        <v>153</v>
      </c>
      <c r="B155" s="15">
        <v>2</v>
      </c>
      <c r="C155" s="141">
        <f t="shared" si="5"/>
        <v>9</v>
      </c>
      <c r="D155" s="142">
        <v>3</v>
      </c>
      <c r="E155" s="141">
        <v>0</v>
      </c>
      <c r="F155" s="143">
        <v>13.94</v>
      </c>
      <c r="G155" s="143"/>
      <c r="H155" s="143"/>
      <c r="I155" s="144">
        <f>SUM(Д402[[#This Row],[Комната 1]:[Комната 3]])</f>
        <v>13.94</v>
      </c>
      <c r="J155" s="145">
        <v>5.98</v>
      </c>
      <c r="K155" s="145">
        <v>4.54</v>
      </c>
      <c r="L155" s="145"/>
      <c r="M155" s="145">
        <v>5.04</v>
      </c>
      <c r="N155" s="145"/>
      <c r="O155" s="145"/>
      <c r="P155" s="146"/>
      <c r="Q155" s="146"/>
      <c r="R155" s="146">
        <f>SUM(Д402[[#This Row],[Лоджия 1]:[Лоджия 3]])</f>
        <v>0</v>
      </c>
      <c r="S155" s="10">
        <f>ROUND(SUM(Д402[[#This Row],[Площадь по проекту жилая]:[Лоджия 3]]),2)</f>
        <v>29.5</v>
      </c>
      <c r="T155" s="10">
        <f>ROUND(Д402[[#This Row],[Площадь по проекту(общая)]]-Д402[[#This Row],[Летние]],2)</f>
        <v>29.5</v>
      </c>
      <c r="U155" s="10">
        <f>ROUND(Д402[[#This Row],[Площадь по проекту(общая)]]-(SUM(Д402[[#This Row],[Лоджия 1]:[Лоджия 3]])/2),2)</f>
        <v>29.5</v>
      </c>
      <c r="V155" s="10">
        <f>VLOOKUP(Д402[[#This Row],[№]],наценка7[],COLUMN(наценка7[[#This Row],[Цена м2 с учетом всех K]]),0)</f>
        <v>145319.20000000001</v>
      </c>
      <c r="W155" s="162"/>
      <c r="X155" s="10">
        <f>Д402[[#This Row],[м2 после К]]+Д402[[#This Row],[02.12.2024]]</f>
        <v>145319.20000000001</v>
      </c>
      <c r="Y155" s="149">
        <v>1000</v>
      </c>
      <c r="Z155" s="10">
        <f>Д402[[#This Row],[Фикс 20.12.24]]+Д402[[#This Row],[23.12.24 СП +1000]]</f>
        <v>146319.20000000001</v>
      </c>
      <c r="AA155" s="149">
        <v>215</v>
      </c>
      <c r="AB155" s="10">
        <f>Д402[[#This Row],[Фикс 23.12.24]]+Д402[[#This Row],[Повышение 20.02.25]]</f>
        <v>146534.20000000001</v>
      </c>
      <c r="AC155" s="149">
        <v>17.5</v>
      </c>
      <c r="AD155" s="10">
        <f>Д402[[#This Row],[Фикс 20.02.25]]+Д402[[#This Row],[Повышение 24.02.2025]]</f>
        <v>146551.70000000001</v>
      </c>
      <c r="AE155" s="10"/>
      <c r="AF155" s="10">
        <f>Д402[[#This Row],[Фикс 24.02.25]]+Д402[[#This Row],[Повышение 05.03.2025
1К: до 40м - 1,5%, 40+ 0,5%
2К - 0,5% ]]</f>
        <v>146551.70000000001</v>
      </c>
      <c r="AG155" s="10"/>
      <c r="AH155" s="10">
        <f>Д402[[#This Row],[Фикс 05.03.25]]+Д402[[#This Row],[повышение 14.03.25 1К-1%]]</f>
        <v>146551.70000000001</v>
      </c>
      <c r="AI155" s="10"/>
      <c r="AJ155" s="10">
        <f>Д402[[#This Row],[Фикс 14.03.25]]+Д402[[#This Row],[повышение 28.03.25 1К-1%]]</f>
        <v>146551.70000000001</v>
      </c>
      <c r="AK155" s="10"/>
      <c r="AL155" s="10">
        <f>Д402[[#This Row],[Фикс 28.03.25]]+Д402[[#This Row],[Повышение 23.07.25
1К 43-46м2 - 2%
2К 55-58 - 2%; 58-64 - 3%
3К 76-79 - 2%
]]</f>
        <v>146551.70000000001</v>
      </c>
      <c r="AM155" s="149">
        <f>ROUND(Д402[[#This Row],[Фикс 23.07.25]],2)</f>
        <v>146551.70000000001</v>
      </c>
      <c r="AN155" s="149">
        <f>ROUNDUP(Д402[[#This Row],[утв цена м2]]*Д402[[#This Row],[Расчетная проектная площадь]],-2)</f>
        <v>4323300</v>
      </c>
      <c r="AO155" s="151"/>
      <c r="AP155" s="152"/>
      <c r="AQ155" s="151">
        <f>Д402[[#This Row],[Стоимость до скидки]]*Д402[[#This Row],[Скидка %]]+Д402[[#This Row],[Скидка фиксированная]]</f>
        <v>0</v>
      </c>
      <c r="AR155" s="3">
        <f>Д402[[#This Row],[Стоимость ОН без отделки со скидкой]]/Д402[[#This Row],[Расчетная проектная площадь]]</f>
        <v>146552.54237288135</v>
      </c>
      <c r="AS155" s="3">
        <f>Д402[[#This Row],[Стоимость до скидки]]-Д402[[#This Row],[Итоговая сумма скидки]]</f>
        <v>4323300</v>
      </c>
      <c r="AT15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5" s="153"/>
      <c r="AV155" s="153"/>
      <c r="AW155" s="3">
        <f>Д402[[#This Row],[Цена м2 без отделки со скидкой]]+Д402[[#This Row],[Стоимость отделки]]</f>
        <v>146552.54237288135</v>
      </c>
      <c r="AX155" s="3">
        <f>Д402[[#This Row],[Стоимость квартиры с отделкой]]-Д402[[#This Row],[Стоимость ОН без отделки со скидкой]]</f>
        <v>0</v>
      </c>
      <c r="AY155" s="3">
        <f>Д402[[#This Row],[Цена м2 с отделкой]]*Д402[[#This Row],[Расчетная проектная площадь]]</f>
        <v>4323300</v>
      </c>
      <c r="AZ155" s="161"/>
      <c r="BA155" s="155" t="s">
        <v>12</v>
      </c>
      <c r="BB155" s="156" t="str" cm="1">
        <f t="array" ref="BB15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5" s="161" t="s">
        <v>738</v>
      </c>
      <c r="BD155" s="161" t="s">
        <v>739</v>
      </c>
      <c r="BE155" s="161" t="s">
        <v>737</v>
      </c>
      <c r="BF155" s="161" t="s">
        <v>743</v>
      </c>
      <c r="BG155" s="161" t="b">
        <f>EXACT(Д402[[#This Row],[Статусы CRM]],Д402[[#This Row],[Статус]])</f>
        <v>1</v>
      </c>
      <c r="BH155" s="3">
        <f>IF(Д402[[#This Row],[ПС]]=0,IF(Д402[[#This Row],[ДС]]=0,Д402[[#This Row],[ТС]],Д402[[#This Row],[ДС]]),Д402[[#This Row],[ПС]])</f>
        <v>4323300</v>
      </c>
      <c r="BI155" s="3">
        <v>4323300</v>
      </c>
      <c r="BJ155" s="3">
        <v>0</v>
      </c>
      <c r="BK155" s="3">
        <v>0</v>
      </c>
      <c r="BL155" s="273">
        <f>Д402[[#This Row],[Стоимость CRM]]-Д402[[#This Row],[Стоимость до скидки]]</f>
        <v>0</v>
      </c>
      <c r="BM155" s="161" t="s">
        <v>9</v>
      </c>
      <c r="BN155" s="161" t="b">
        <f>Д402[[#This Row],[Отделка CRM]]=Д402[[#This Row],[Отделка]]</f>
        <v>1</v>
      </c>
      <c r="BO155" s="275" t="s">
        <v>287</v>
      </c>
      <c r="BP155" s="69"/>
    </row>
    <row r="156" spans="1:68" ht="12" customHeight="1" x14ac:dyDescent="0.25">
      <c r="A156" s="140">
        <v>154</v>
      </c>
      <c r="B156" s="15">
        <v>2</v>
      </c>
      <c r="C156" s="141">
        <f t="shared" si="5"/>
        <v>9</v>
      </c>
      <c r="D156" s="142">
        <v>4</v>
      </c>
      <c r="E156" s="141">
        <v>0</v>
      </c>
      <c r="F156" s="143">
        <v>13.39</v>
      </c>
      <c r="G156" s="143"/>
      <c r="H156" s="143"/>
      <c r="I156" s="144">
        <f>SUM(Д402[[#This Row],[Комната 1]:[Комната 3]])</f>
        <v>13.39</v>
      </c>
      <c r="J156" s="145">
        <v>5.98</v>
      </c>
      <c r="K156" s="145">
        <v>4.54</v>
      </c>
      <c r="L156" s="145"/>
      <c r="M156" s="145">
        <v>4.08</v>
      </c>
      <c r="N156" s="145"/>
      <c r="O156" s="145"/>
      <c r="P156" s="146"/>
      <c r="Q156" s="146"/>
      <c r="R156" s="146">
        <f>SUM(Д402[[#This Row],[Лоджия 1]:[Лоджия 3]])</f>
        <v>0</v>
      </c>
      <c r="S156" s="10">
        <f>ROUND(SUM(Д402[[#This Row],[Площадь по проекту жилая]:[Лоджия 3]]),2)</f>
        <v>27.99</v>
      </c>
      <c r="T156" s="10">
        <f>ROUND(Д402[[#This Row],[Площадь по проекту(общая)]]-Д402[[#This Row],[Летние]],2)</f>
        <v>27.99</v>
      </c>
      <c r="U156" s="10">
        <f>ROUND(Д402[[#This Row],[Площадь по проекту(общая)]]-(SUM(Д402[[#This Row],[Лоджия 1]:[Лоджия 3]])/2),2)</f>
        <v>27.99</v>
      </c>
      <c r="V156" s="10">
        <f>VLOOKUP(Д402[[#This Row],[№]],наценка7[],COLUMN(наценка7[[#This Row],[Цена м2 с учетом всех K]]),0)</f>
        <v>142524.6</v>
      </c>
      <c r="W156" s="162"/>
      <c r="X156" s="10">
        <f>Д402[[#This Row],[м2 после К]]+Д402[[#This Row],[02.12.2024]]</f>
        <v>142524.6</v>
      </c>
      <c r="Y156" s="149">
        <v>1000</v>
      </c>
      <c r="Z156" s="10">
        <f>Д402[[#This Row],[Фикс 20.12.24]]+Д402[[#This Row],[23.12.24 СП +1000]]</f>
        <v>143524.6</v>
      </c>
      <c r="AA156" s="149">
        <v>215</v>
      </c>
      <c r="AB156" s="10">
        <f>Д402[[#This Row],[Фикс 23.12.24]]+Д402[[#This Row],[Повышение 20.02.25]]</f>
        <v>143739.6</v>
      </c>
      <c r="AC156" s="149">
        <v>17.5</v>
      </c>
      <c r="AD156" s="10">
        <f>Д402[[#This Row],[Фикс 20.02.25]]+Д402[[#This Row],[Повышение 24.02.2025]]</f>
        <v>143757.1</v>
      </c>
      <c r="AE156" s="10"/>
      <c r="AF156" s="10">
        <f>Д402[[#This Row],[Фикс 24.02.25]]+Д402[[#This Row],[Повышение 05.03.2025
1К: до 40м - 1,5%, 40+ 0,5%
2К - 0,5% ]]</f>
        <v>143757.1</v>
      </c>
      <c r="AG156" s="10"/>
      <c r="AH156" s="10">
        <f>Д402[[#This Row],[Фикс 05.03.25]]+Д402[[#This Row],[повышение 14.03.25 1К-1%]]</f>
        <v>143757.1</v>
      </c>
      <c r="AI156" s="10"/>
      <c r="AJ156" s="10">
        <f>Д402[[#This Row],[Фикс 14.03.25]]+Д402[[#This Row],[повышение 28.03.25 1К-1%]]</f>
        <v>143757.1</v>
      </c>
      <c r="AK156" s="10"/>
      <c r="AL156" s="10">
        <f>Д402[[#This Row],[Фикс 28.03.25]]+Д402[[#This Row],[Повышение 23.07.25
1К 43-46м2 - 2%
2К 55-58 - 2%; 58-64 - 3%
3К 76-79 - 2%
]]</f>
        <v>143757.1</v>
      </c>
      <c r="AM156" s="149">
        <f>ROUND(Д402[[#This Row],[Фикс 23.07.25]],2)</f>
        <v>143757.1</v>
      </c>
      <c r="AN156" s="149">
        <f>ROUNDUP(Д402[[#This Row],[утв цена м2]]*Д402[[#This Row],[Расчетная проектная площадь]],-2)</f>
        <v>4023800</v>
      </c>
      <c r="AO156" s="151"/>
      <c r="AP156" s="152"/>
      <c r="AQ156" s="151">
        <f>Д402[[#This Row],[Стоимость до скидки]]*Д402[[#This Row],[Скидка %]]+Д402[[#This Row],[Скидка фиксированная]]</f>
        <v>0</v>
      </c>
      <c r="AR156" s="3">
        <f>Д402[[#This Row],[Стоимость ОН без отделки со скидкой]]/Д402[[#This Row],[Расчетная проектная площадь]]</f>
        <v>143758.48517327619</v>
      </c>
      <c r="AS156" s="3">
        <f>Д402[[#This Row],[Стоимость до скидки]]-Д402[[#This Row],[Итоговая сумма скидки]]</f>
        <v>4023800</v>
      </c>
      <c r="AT15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56" s="153">
        <v>30000</v>
      </c>
      <c r="AV156" s="153" t="s">
        <v>722</v>
      </c>
      <c r="AW156" s="3">
        <f>Д402[[#This Row],[Цена м2 без отделки со скидкой]]+Д402[[#This Row],[Стоимость отделки]]</f>
        <v>173758.48517327619</v>
      </c>
      <c r="AX156" s="3">
        <f>Д402[[#This Row],[Стоимость квартиры с отделкой]]-Д402[[#This Row],[Стоимость ОН без отделки со скидкой]]</f>
        <v>839700</v>
      </c>
      <c r="AY156" s="3">
        <f>Д402[[#This Row],[Цена м2 с отделкой]]*Д402[[#This Row],[Расчетная проектная площадь]]</f>
        <v>4863500</v>
      </c>
      <c r="AZ156" s="161"/>
      <c r="BA156" s="155" t="s">
        <v>12</v>
      </c>
      <c r="BB156" s="156" t="str" cm="1">
        <f t="array" ref="BB15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6" s="161" t="s">
        <v>738</v>
      </c>
      <c r="BD156" s="161" t="s">
        <v>739</v>
      </c>
      <c r="BE156" s="161" t="s">
        <v>737</v>
      </c>
      <c r="BF156" s="161" t="s">
        <v>743</v>
      </c>
      <c r="BG156" s="161" t="b">
        <f>EXACT(Д402[[#This Row],[Статусы CRM]],Д402[[#This Row],[Статус]])</f>
        <v>1</v>
      </c>
      <c r="BH156" s="3">
        <f>IF(Д402[[#This Row],[ПС]]=0,IF(Д402[[#This Row],[ДС]]=0,Д402[[#This Row],[ТС]],Д402[[#This Row],[ДС]]),Д402[[#This Row],[ПС]])</f>
        <v>4023800</v>
      </c>
      <c r="BI156" s="3">
        <v>4023800</v>
      </c>
      <c r="BJ156" s="3">
        <v>0</v>
      </c>
      <c r="BK156" s="3">
        <v>0</v>
      </c>
      <c r="BL156" s="273">
        <f>Д402[[#This Row],[Стоимость CRM]]-Д402[[#This Row],[Стоимость до скидки]]</f>
        <v>0</v>
      </c>
      <c r="BM156" s="161" t="s">
        <v>11</v>
      </c>
      <c r="BN156" s="161" t="b">
        <f>Д402[[#This Row],[Отделка CRM]]=Д402[[#This Row],[Отделка]]</f>
        <v>1</v>
      </c>
      <c r="BO156" s="275" t="s">
        <v>288</v>
      </c>
      <c r="BP156" s="69"/>
    </row>
    <row r="157" spans="1:68" ht="12" customHeight="1" x14ac:dyDescent="0.25">
      <c r="A157" s="140">
        <v>155</v>
      </c>
      <c r="B157" s="15">
        <v>2</v>
      </c>
      <c r="C157" s="141">
        <f t="shared" si="5"/>
        <v>9</v>
      </c>
      <c r="D157" s="142">
        <v>5</v>
      </c>
      <c r="E157" s="141">
        <v>2</v>
      </c>
      <c r="F157" s="143">
        <v>16.579999999999998</v>
      </c>
      <c r="G157" s="143">
        <v>14.14</v>
      </c>
      <c r="H157" s="143"/>
      <c r="I157" s="144">
        <f>SUM(Д402[[#This Row],[Комната 1]:[Комната 3]])</f>
        <v>30.72</v>
      </c>
      <c r="J157" s="145">
        <v>12.38</v>
      </c>
      <c r="K157" s="145">
        <v>4.1399999999999997</v>
      </c>
      <c r="L157" s="145"/>
      <c r="M157" s="145">
        <v>7.61</v>
      </c>
      <c r="N157" s="145">
        <v>7.03</v>
      </c>
      <c r="O157" s="145">
        <v>3.11</v>
      </c>
      <c r="P157" s="146"/>
      <c r="Q157" s="146"/>
      <c r="R157" s="146">
        <f>SUM(Д402[[#This Row],[Лоджия 1]:[Лоджия 3]])</f>
        <v>3.11</v>
      </c>
      <c r="S157" s="10">
        <f>ROUND(SUM(Д402[[#This Row],[Площадь по проекту жилая]:[Лоджия 3]]),2)</f>
        <v>64.989999999999995</v>
      </c>
      <c r="T157" s="10">
        <f>ROUND(Д402[[#This Row],[Площадь по проекту(общая)]]-Д402[[#This Row],[Летние]],2)</f>
        <v>61.88</v>
      </c>
      <c r="U157" s="10">
        <f>ROUND(Д402[[#This Row],[Площадь по проекту(общая)]]-(SUM(Д402[[#This Row],[Лоджия 1]:[Лоджия 3]])/2),2)</f>
        <v>63.44</v>
      </c>
      <c r="V157" s="10">
        <f>VLOOKUP(Д402[[#This Row],[№]],наценка7[],COLUMN(наценка7[[#This Row],[Цена м2 с учетом всех K]]),0)</f>
        <v>119811.8</v>
      </c>
      <c r="W157" s="162">
        <v>-7000</v>
      </c>
      <c r="X157" s="10">
        <f>Д402[[#This Row],[м2 после К]]+Д402[[#This Row],[02.12.2024]]</f>
        <v>112811.8</v>
      </c>
      <c r="Y157" s="149">
        <v>1000</v>
      </c>
      <c r="Z157" s="10">
        <f>Д402[[#This Row],[Фикс 20.12.24]]+Д402[[#This Row],[23.12.24 СП +1000]]</f>
        <v>113811.8</v>
      </c>
      <c r="AA157" s="149">
        <v>215</v>
      </c>
      <c r="AB157" s="10">
        <f>Д402[[#This Row],[Фикс 23.12.24]]+Д402[[#This Row],[Повышение 20.02.25]]</f>
        <v>114026.8</v>
      </c>
      <c r="AC157" s="149">
        <v>17.5</v>
      </c>
      <c r="AD157" s="10">
        <f>Д402[[#This Row],[Фикс 20.02.25]]+Д402[[#This Row],[Повышение 24.02.2025]]</f>
        <v>114044.3</v>
      </c>
      <c r="AE157" s="149">
        <f>Д402[[#This Row],[Фикс 24.02.25]]*0.5%</f>
        <v>570.22149999999999</v>
      </c>
      <c r="AF157" s="10">
        <f>Д402[[#This Row],[Фикс 24.02.25]]+Д402[[#This Row],[Повышение 05.03.2025
1К: до 40м - 1,5%, 40+ 0,5%
2К - 0,5% ]]</f>
        <v>114614.5215</v>
      </c>
      <c r="AG157" s="10"/>
      <c r="AH157" s="10">
        <f>Д402[[#This Row],[Фикс 05.03.25]]+Д402[[#This Row],[повышение 14.03.25 1К-1%]]</f>
        <v>114614.5215</v>
      </c>
      <c r="AI157" s="10"/>
      <c r="AJ157" s="10">
        <f>Д402[[#This Row],[Фикс 14.03.25]]+Д402[[#This Row],[повышение 28.03.25 1К-1%]]</f>
        <v>114614.5215</v>
      </c>
      <c r="AK157" s="10"/>
      <c r="AL157" s="10">
        <f>Д402[[#This Row],[Фикс 28.03.25]]+Д402[[#This Row],[Повышение 23.07.25
1К 43-46м2 - 2%
2К 55-58 - 2%; 58-64 - 3%
3К 76-79 - 2%
]]</f>
        <v>114614.5215</v>
      </c>
      <c r="AM157" s="149">
        <f>ROUND(Д402[[#This Row],[Фикс 23.07.25]],2)</f>
        <v>114614.52</v>
      </c>
      <c r="AN157" s="149">
        <f>ROUNDUP(Д402[[#This Row],[утв цена м2]]*Д402[[#This Row],[Расчетная проектная площадь]],-2)</f>
        <v>7271200</v>
      </c>
      <c r="AO157" s="151"/>
      <c r="AP157" s="152">
        <v>0.02</v>
      </c>
      <c r="AQ157" s="151">
        <f>Д402[[#This Row],[Стоимость до скидки]]*Д402[[#This Row],[Скидка %]]+Д402[[#This Row],[Скидка фиксированная]]</f>
        <v>145424</v>
      </c>
      <c r="AR157" s="3">
        <f>Д402[[#This Row],[Стоимость ОН без отделки со скидкой]]/Д402[[#This Row],[Расчетная проектная площадь]]</f>
        <v>112323.07692307692</v>
      </c>
      <c r="AS157" s="3">
        <f>Д402[[#This Row],[Стоимость до скидки]]-Д402[[#This Row],[Итоговая сумма скидки]]</f>
        <v>7125776</v>
      </c>
      <c r="AT15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157" s="153">
        <v>10000</v>
      </c>
      <c r="AV157" s="153"/>
      <c r="AW157" s="3">
        <f>Д402[[#This Row],[Цена м2 без отделки со скидкой]]+Д402[[#This Row],[Стоимость отделки]]</f>
        <v>122323.07692307692</v>
      </c>
      <c r="AX157" s="3">
        <f>Д402[[#This Row],[Стоимость квартиры с отделкой]]-Д402[[#This Row],[Стоимость ОН без отделки со скидкой]]</f>
        <v>634400</v>
      </c>
      <c r="AY157" s="3">
        <f>Д402[[#This Row],[Цена м2 с отделкой]]*Д402[[#This Row],[Расчетная проектная площадь]]</f>
        <v>7760176</v>
      </c>
      <c r="AZ157" s="161" t="s">
        <v>715</v>
      </c>
      <c r="BA157" s="269" t="s">
        <v>426</v>
      </c>
      <c r="BB157" s="269" t="str" cm="1">
        <f t="array" ref="BB15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57" s="161" t="s">
        <v>741</v>
      </c>
      <c r="BD157" s="161" t="s">
        <v>506</v>
      </c>
      <c r="BE157" s="161" t="s">
        <v>737</v>
      </c>
      <c r="BF157" s="161" t="s">
        <v>747</v>
      </c>
      <c r="BG157" s="161" t="b">
        <f>EXACT(Д402[[#This Row],[Статусы CRM]],Д402[[#This Row],[Статус]])</f>
        <v>1</v>
      </c>
      <c r="BH157" s="3">
        <f>IF(Д402[[#This Row],[ПС]]=0,IF(Д402[[#This Row],[ДС]]=0,Д402[[#This Row],[ТС]],Д402[[#This Row],[ДС]]),Д402[[#This Row],[ПС]])</f>
        <v>7271200</v>
      </c>
      <c r="BI157" s="3" t="s">
        <v>749</v>
      </c>
      <c r="BJ157" s="3">
        <v>0</v>
      </c>
      <c r="BK157" s="3">
        <v>7271200</v>
      </c>
      <c r="BL157" s="273">
        <f>Д402[[#This Row],[Стоимость CRM]]-Д402[[#This Row],[Стоимость до скидки]]</f>
        <v>0</v>
      </c>
      <c r="BM157" s="161" t="s">
        <v>718</v>
      </c>
      <c r="BN157" s="161" t="b">
        <f>Д402[[#This Row],[Отделка CRM]]=Д402[[#This Row],[Отделка]]</f>
        <v>1</v>
      </c>
      <c r="BO157" s="275" t="s">
        <v>289</v>
      </c>
      <c r="BP157" s="69"/>
    </row>
    <row r="158" spans="1:68" ht="12" customHeight="1" x14ac:dyDescent="0.25">
      <c r="A158" s="140">
        <v>156</v>
      </c>
      <c r="B158" s="15">
        <v>2</v>
      </c>
      <c r="C158" s="141">
        <f t="shared" si="5"/>
        <v>9</v>
      </c>
      <c r="D158" s="142">
        <v>6</v>
      </c>
      <c r="E158" s="141">
        <v>2</v>
      </c>
      <c r="F158" s="143">
        <v>17.73</v>
      </c>
      <c r="G158" s="143">
        <v>12.22</v>
      </c>
      <c r="H158" s="143"/>
      <c r="I158" s="144">
        <f>SUM(Д402[[#This Row],[Комната 1]:[Комната 3]])</f>
        <v>29.950000000000003</v>
      </c>
      <c r="J158" s="145">
        <v>13.65</v>
      </c>
      <c r="K158" s="145">
        <v>5.22</v>
      </c>
      <c r="L158" s="145">
        <v>2.5</v>
      </c>
      <c r="M158" s="145">
        <v>8.06</v>
      </c>
      <c r="N158" s="145"/>
      <c r="O158" s="145">
        <v>3.11</v>
      </c>
      <c r="P158" s="146"/>
      <c r="Q158" s="146"/>
      <c r="R158" s="146">
        <f>SUM(Д402[[#This Row],[Лоджия 1]:[Лоджия 3]])</f>
        <v>3.11</v>
      </c>
      <c r="S158" s="10">
        <f>ROUND(SUM(Д402[[#This Row],[Площадь по проекту жилая]:[Лоджия 3]]),2)</f>
        <v>62.49</v>
      </c>
      <c r="T158" s="10">
        <f>ROUND(Д402[[#This Row],[Площадь по проекту(общая)]]-Д402[[#This Row],[Летние]],2)</f>
        <v>59.38</v>
      </c>
      <c r="U158" s="10">
        <f>ROUND(Д402[[#This Row],[Площадь по проекту(общая)]]-(SUM(Д402[[#This Row],[Лоджия 1]:[Лоджия 3]])/2),2)</f>
        <v>60.94</v>
      </c>
      <c r="V158" s="10">
        <f>VLOOKUP(Д402[[#This Row],[№]],наценка7[],COLUMN(наценка7[[#This Row],[Цена м2 с учетом всех K]]),0)</f>
        <v>124333</v>
      </c>
      <c r="W158" s="162">
        <v>-10000</v>
      </c>
      <c r="X158" s="10">
        <f>Д402[[#This Row],[м2 после К]]+Д402[[#This Row],[02.12.2024]]</f>
        <v>114333</v>
      </c>
      <c r="Y158" s="149">
        <v>1000</v>
      </c>
      <c r="Z158" s="10">
        <f>Д402[[#This Row],[Фикс 20.12.24]]+Д402[[#This Row],[23.12.24 СП +1000]]</f>
        <v>115333</v>
      </c>
      <c r="AA158" s="149">
        <v>215</v>
      </c>
      <c r="AB158" s="10">
        <f>Д402[[#This Row],[Фикс 23.12.24]]+Д402[[#This Row],[Повышение 20.02.25]]</f>
        <v>115548</v>
      </c>
      <c r="AC158" s="149">
        <v>17.5</v>
      </c>
      <c r="AD158" s="10">
        <f>Д402[[#This Row],[Фикс 20.02.25]]+Д402[[#This Row],[Повышение 24.02.2025]]</f>
        <v>115565.5</v>
      </c>
      <c r="AE158" s="149">
        <f>Д402[[#This Row],[Фикс 24.02.25]]*0.5%</f>
        <v>577.82749999999999</v>
      </c>
      <c r="AF158" s="10">
        <f>Д402[[#This Row],[Фикс 24.02.25]]+Д402[[#This Row],[Повышение 05.03.2025
1К: до 40м - 1,5%, 40+ 0,5%
2К - 0,5% ]]</f>
        <v>116143.3275</v>
      </c>
      <c r="AG158" s="10"/>
      <c r="AH158" s="10">
        <f>Д402[[#This Row],[Фикс 05.03.25]]+Д402[[#This Row],[повышение 14.03.25 1К-1%]]</f>
        <v>116143.3275</v>
      </c>
      <c r="AI158" s="10"/>
      <c r="AJ158" s="10">
        <f>Д402[[#This Row],[Фикс 14.03.25]]+Д402[[#This Row],[повышение 28.03.25 1К-1%]]</f>
        <v>116143.3275</v>
      </c>
      <c r="AK158" s="10">
        <f>Д402[[#This Row],[Фикс 28.03.25]]*3%</f>
        <v>3484.2998250000001</v>
      </c>
      <c r="AL158" s="10">
        <f>Д402[[#This Row],[Фикс 28.03.25]]+Д402[[#This Row],[Повышение 23.07.25
1К 43-46м2 - 2%
2К 55-58 - 2%; 58-64 - 3%
3К 76-79 - 2%
]]</f>
        <v>119627.62732499999</v>
      </c>
      <c r="AM158" s="149">
        <f>ROUND(Д402[[#This Row],[Фикс 23.07.25]],2)</f>
        <v>119627.63</v>
      </c>
      <c r="AN158" s="149">
        <f>ROUNDUP(Д402[[#This Row],[утв цена м2]]*Д402[[#This Row],[Расчетная проектная площадь]],-2)</f>
        <v>7290200</v>
      </c>
      <c r="AO158" s="151"/>
      <c r="AP158" s="152"/>
      <c r="AQ158" s="151">
        <f>Д402[[#This Row],[Стоимость до скидки]]*Д402[[#This Row],[Скидка %]]+Д402[[#This Row],[Скидка фиксированная]]</f>
        <v>0</v>
      </c>
      <c r="AR158" s="3">
        <f>Д402[[#This Row],[Стоимость ОН без отделки со скидкой]]/Д402[[#This Row],[Расчетная проектная площадь]]</f>
        <v>119629.14341975714</v>
      </c>
      <c r="AS158" s="3">
        <f>Д402[[#This Row],[Стоимость до скидки]]-Д402[[#This Row],[Итоговая сумма скидки]]</f>
        <v>7290200</v>
      </c>
      <c r="AT15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8" s="153"/>
      <c r="AV158" s="153"/>
      <c r="AW158" s="3">
        <f>Д402[[#This Row],[Цена м2 без отделки со скидкой]]+Д402[[#This Row],[Стоимость отделки]]</f>
        <v>119629.14341975714</v>
      </c>
      <c r="AX158" s="3">
        <f>Д402[[#This Row],[Стоимость квартиры с отделкой]]-Д402[[#This Row],[Стоимость ОН без отделки со скидкой]]</f>
        <v>0</v>
      </c>
      <c r="AY158" s="3">
        <f>Д402[[#This Row],[Цена м2 с отделкой]]*Д402[[#This Row],[Расчетная проектная площадь]]</f>
        <v>7290200</v>
      </c>
      <c r="AZ158" s="161"/>
      <c r="BA158" s="269" t="s">
        <v>12</v>
      </c>
      <c r="BB158" s="269" t="str" cm="1">
        <f t="array" ref="BB15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58" s="161" t="s">
        <v>738</v>
      </c>
      <c r="BD158" s="161" t="s">
        <v>739</v>
      </c>
      <c r="BE158" s="161" t="s">
        <v>737</v>
      </c>
      <c r="BF158" s="161" t="s">
        <v>747</v>
      </c>
      <c r="BG158" s="161" t="b">
        <f>EXACT(Д402[[#This Row],[Статусы CRM]],Д402[[#This Row],[Статус]])</f>
        <v>1</v>
      </c>
      <c r="BH158" s="3">
        <f>IF(Д402[[#This Row],[ПС]]=0,IF(Д402[[#This Row],[ДС]]=0,Д402[[#This Row],[ТС]],Д402[[#This Row],[ДС]]),Д402[[#This Row],[ПС]])</f>
        <v>7290200</v>
      </c>
      <c r="BI158" s="3">
        <v>7290200</v>
      </c>
      <c r="BJ158" s="3">
        <v>0</v>
      </c>
      <c r="BK158" s="3">
        <v>0</v>
      </c>
      <c r="BL158" s="273">
        <f>Д402[[#This Row],[Стоимость CRM]]-Д402[[#This Row],[Стоимость до скидки]]</f>
        <v>0</v>
      </c>
      <c r="BM158" s="161" t="s">
        <v>9</v>
      </c>
      <c r="BN158" s="161" t="b">
        <f>Д402[[#This Row],[Отделка CRM]]=Д402[[#This Row],[Отделка]]</f>
        <v>1</v>
      </c>
      <c r="BO158" s="275" t="s">
        <v>290</v>
      </c>
      <c r="BP158" s="69"/>
    </row>
    <row r="159" spans="1:68" ht="12" customHeight="1" x14ac:dyDescent="0.25">
      <c r="A159" s="140">
        <v>157</v>
      </c>
      <c r="B159" s="175">
        <v>2</v>
      </c>
      <c r="C159" s="141">
        <f t="shared" si="5"/>
        <v>10</v>
      </c>
      <c r="D159" s="142">
        <v>1</v>
      </c>
      <c r="E159" s="141">
        <v>2</v>
      </c>
      <c r="F159" s="143">
        <v>17.579999999999998</v>
      </c>
      <c r="G159" s="143">
        <v>14.37</v>
      </c>
      <c r="H159" s="143"/>
      <c r="I159" s="144">
        <f>SUM(Д402[[#This Row],[Комната 1]:[Комната 3]])</f>
        <v>31.949999999999996</v>
      </c>
      <c r="J159" s="145">
        <v>14.29</v>
      </c>
      <c r="K159" s="145">
        <v>4.45</v>
      </c>
      <c r="L159" s="145"/>
      <c r="M159" s="145">
        <v>8.64</v>
      </c>
      <c r="N159" s="145">
        <v>4.76</v>
      </c>
      <c r="O159" s="145">
        <v>3.11</v>
      </c>
      <c r="P159" s="146"/>
      <c r="Q159" s="146"/>
      <c r="R159" s="146">
        <f>SUM(Д402[[#This Row],[Лоджия 1]:[Лоджия 3]])</f>
        <v>3.11</v>
      </c>
      <c r="S159" s="10">
        <f>ROUND(SUM(Д402[[#This Row],[Площадь по проекту жилая]:[Лоджия 3]]),2)</f>
        <v>67.2</v>
      </c>
      <c r="T159" s="10">
        <f>ROUND(Д402[[#This Row],[Площадь по проекту(общая)]]-Д402[[#This Row],[Летние]],2)</f>
        <v>64.09</v>
      </c>
      <c r="U159" s="10">
        <f>ROUND(Д402[[#This Row],[Площадь по проекту(общая)]]-(SUM(Д402[[#This Row],[Лоджия 1]:[Лоджия 3]])/2),2)</f>
        <v>65.650000000000006</v>
      </c>
      <c r="V159" s="10">
        <f>VLOOKUP(Д402[[#This Row],[№]],наценка7[],COLUMN(наценка7[[#This Row],[Цена м2 с учетом всех K]]),0)</f>
        <v>117551.2</v>
      </c>
      <c r="W159" s="162"/>
      <c r="X159" s="10">
        <f>Д402[[#This Row],[м2 после К]]+Д402[[#This Row],[02.12.2024]]</f>
        <v>117551.2</v>
      </c>
      <c r="Y159" s="149">
        <v>1000</v>
      </c>
      <c r="Z159" s="10">
        <f>Д402[[#This Row],[Фикс 20.12.24]]+Д402[[#This Row],[23.12.24 СП +1000]]</f>
        <v>118551.2</v>
      </c>
      <c r="AA159" s="149"/>
      <c r="AB159" s="10">
        <f>Д402[[#This Row],[Фикс 23.12.24]]+Д402[[#This Row],[Повышение 20.02.25]]</f>
        <v>118551.2</v>
      </c>
      <c r="AC159" s="10"/>
      <c r="AD159" s="10">
        <f>Д402[[#This Row],[Фикс 20.02.25]]+Д402[[#This Row],[Повышение 24.02.2025]]</f>
        <v>118551.2</v>
      </c>
      <c r="AE159" s="10"/>
      <c r="AF159" s="10">
        <f>Д402[[#This Row],[Фикс 24.02.25]]+Д402[[#This Row],[Повышение 05.03.2025
1К: до 40м - 1,5%, 40+ 0,5%
2К - 0,5% ]]</f>
        <v>118551.2</v>
      </c>
      <c r="AG159" s="10"/>
      <c r="AH159" s="10">
        <f>Д402[[#This Row],[Фикс 05.03.25]]+Д402[[#This Row],[повышение 14.03.25 1К-1%]]</f>
        <v>118551.2</v>
      </c>
      <c r="AI159" s="10"/>
      <c r="AJ159" s="10">
        <f>Д402[[#This Row],[Фикс 14.03.25]]+Д402[[#This Row],[повышение 28.03.25 1К-1%]]</f>
        <v>118551.2</v>
      </c>
      <c r="AK159" s="10"/>
      <c r="AL159" s="10">
        <f>Д402[[#This Row],[Фикс 28.03.25]]+Д402[[#This Row],[Повышение 23.07.25
1К 43-46м2 - 2%
2К 55-58 - 2%; 58-64 - 3%
3К 76-79 - 2%
]]</f>
        <v>118551.2</v>
      </c>
      <c r="AM159" s="149">
        <f>ROUND(Д402[[#This Row],[Фикс 23.07.25]],2)</f>
        <v>118551.2</v>
      </c>
      <c r="AN159" s="149">
        <f>ROUNDUP(Д402[[#This Row],[утв цена м2]]*Д402[[#This Row],[Расчетная проектная площадь]],-2)</f>
        <v>7782900</v>
      </c>
      <c r="AO159" s="151"/>
      <c r="AP159" s="152">
        <v>0.03</v>
      </c>
      <c r="AQ159" s="151">
        <f>Д402[[#This Row],[Стоимость до скидки]]*Д402[[#This Row],[Скидка %]]+Д402[[#This Row],[Скидка фиксированная]]</f>
        <v>233487</v>
      </c>
      <c r="AR159" s="3">
        <f>Д402[[#This Row],[Стоимость ОН без отделки со скидкой]]/Д402[[#This Row],[Расчетная проектная площадь]]</f>
        <v>114994.86671744096</v>
      </c>
      <c r="AS159" s="3">
        <f>Д402[[#This Row],[Стоимость до скидки]]-Д402[[#This Row],[Итоговая сумма скидки]]</f>
        <v>7549413</v>
      </c>
      <c r="AT15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59" s="153"/>
      <c r="AV159" s="153"/>
      <c r="AW159" s="3">
        <f>Д402[[#This Row],[Цена м2 без отделки со скидкой]]+Д402[[#This Row],[Стоимость отделки]]</f>
        <v>114994.86671744096</v>
      </c>
      <c r="AX159" s="3">
        <f>Д402[[#This Row],[Стоимость квартиры с отделкой]]-Д402[[#This Row],[Стоимость ОН без отделки со скидкой]]</f>
        <v>0</v>
      </c>
      <c r="AY159" s="3">
        <f>Д402[[#This Row],[Цена м2 с отделкой]]*Д402[[#This Row],[Расчетная проектная площадь]]</f>
        <v>7549413</v>
      </c>
      <c r="AZ159" s="161" t="s">
        <v>435</v>
      </c>
      <c r="BA159" s="277" t="s">
        <v>426</v>
      </c>
      <c r="BB159" s="156" t="str" cm="1">
        <f t="array" ref="BB15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59" s="161" t="s">
        <v>741</v>
      </c>
      <c r="BD159" s="161" t="s">
        <v>506</v>
      </c>
      <c r="BE159" s="161" t="s">
        <v>737</v>
      </c>
      <c r="BF159" s="161" t="s">
        <v>744</v>
      </c>
      <c r="BG159" s="161" t="b">
        <f>EXACT(Д402[[#This Row],[Статусы CRM]],Д402[[#This Row],[Статус]])</f>
        <v>1</v>
      </c>
      <c r="BH159" s="3">
        <f>IF(Д402[[#This Row],[ПС]]=0,IF(Д402[[#This Row],[ДС]]=0,Д402[[#This Row],[ТС]],Д402[[#This Row],[ДС]]),Д402[[#This Row],[ПС]])</f>
        <v>7782900</v>
      </c>
      <c r="BI159" s="3" t="s">
        <v>749</v>
      </c>
      <c r="BJ159" s="3">
        <v>0</v>
      </c>
      <c r="BK159" s="3">
        <v>7782900</v>
      </c>
      <c r="BL159" s="273">
        <f>Д402[[#This Row],[Стоимость CRM]]-Д402[[#This Row],[Стоимость до скидки]]</f>
        <v>0</v>
      </c>
      <c r="BM159" s="161" t="s">
        <v>9</v>
      </c>
      <c r="BN159" s="161" t="b">
        <f>Д402[[#This Row],[Отделка CRM]]=Д402[[#This Row],[Отделка]]</f>
        <v>1</v>
      </c>
      <c r="BO159" s="275" t="s">
        <v>291</v>
      </c>
      <c r="BP159" s="69"/>
    </row>
    <row r="160" spans="1:68" ht="12" customHeight="1" x14ac:dyDescent="0.25">
      <c r="A160" s="140">
        <v>158</v>
      </c>
      <c r="B160" s="175">
        <v>2</v>
      </c>
      <c r="C160" s="141">
        <f t="shared" si="5"/>
        <v>10</v>
      </c>
      <c r="D160" s="142">
        <v>2</v>
      </c>
      <c r="E160" s="141">
        <v>1</v>
      </c>
      <c r="F160" s="143">
        <v>14.77</v>
      </c>
      <c r="G160" s="143"/>
      <c r="H160" s="143"/>
      <c r="I160" s="144">
        <f>SUM(Д402[[#This Row],[Комната 1]:[Комната 3]])</f>
        <v>14.77</v>
      </c>
      <c r="J160" s="145">
        <v>11.88</v>
      </c>
      <c r="K160" s="145">
        <v>4.07</v>
      </c>
      <c r="L160" s="145"/>
      <c r="M160" s="145">
        <v>4.28</v>
      </c>
      <c r="N160" s="145"/>
      <c r="O160" s="145">
        <v>3.11</v>
      </c>
      <c r="P160" s="146"/>
      <c r="Q160" s="146"/>
      <c r="R160" s="146">
        <f>SUM(Д402[[#This Row],[Лоджия 1]:[Лоджия 3]])</f>
        <v>3.11</v>
      </c>
      <c r="S160" s="10">
        <f>ROUND(SUM(Д402[[#This Row],[Площадь по проекту жилая]:[Лоджия 3]]),2)</f>
        <v>38.11</v>
      </c>
      <c r="T160" s="10">
        <f>ROUND(Д402[[#This Row],[Площадь по проекту(общая)]]-Д402[[#This Row],[Летние]],2)</f>
        <v>35</v>
      </c>
      <c r="U160" s="10">
        <f>ROUND(Д402[[#This Row],[Площадь по проекту(общая)]]-(SUM(Д402[[#This Row],[Лоджия 1]:[Лоджия 3]])/2),2)</f>
        <v>36.56</v>
      </c>
      <c r="V160" s="10">
        <f>VLOOKUP(Д402[[#This Row],[№]],наценка7[],COLUMN(наценка7[[#This Row],[Цена м2 с учетом всех K]]),0)</f>
        <v>122837.8</v>
      </c>
      <c r="W160" s="162"/>
      <c r="X160" s="10">
        <f>Д402[[#This Row],[м2 после К]]+Д402[[#This Row],[02.12.2024]]</f>
        <v>122837.8</v>
      </c>
      <c r="Y160" s="149">
        <v>1000</v>
      </c>
      <c r="Z160" s="10">
        <f>Д402[[#This Row],[Фикс 20.12.24]]+Д402[[#This Row],[23.12.24 СП +1000]]</f>
        <v>123837.8</v>
      </c>
      <c r="AA160" s="149"/>
      <c r="AB160" s="10">
        <f>Д402[[#This Row],[Фикс 23.12.24]]+Д402[[#This Row],[Повышение 20.02.25]]</f>
        <v>123837.8</v>
      </c>
      <c r="AC160" s="10"/>
      <c r="AD160" s="10">
        <f>Д402[[#This Row],[Фикс 20.02.25]]+Д402[[#This Row],[Повышение 24.02.2025]]</f>
        <v>123837.8</v>
      </c>
      <c r="AE160" s="10"/>
      <c r="AF160" s="10">
        <f>Д402[[#This Row],[Фикс 24.02.25]]+Д402[[#This Row],[Повышение 05.03.2025
1К: до 40м - 1,5%, 40+ 0,5%
2К - 0,5% ]]</f>
        <v>123837.8</v>
      </c>
      <c r="AG160" s="10"/>
      <c r="AH160" s="10">
        <f>Д402[[#This Row],[Фикс 05.03.25]]+Д402[[#This Row],[повышение 14.03.25 1К-1%]]</f>
        <v>123837.8</v>
      </c>
      <c r="AI160" s="10"/>
      <c r="AJ160" s="10">
        <f>Д402[[#This Row],[Фикс 14.03.25]]+Д402[[#This Row],[повышение 28.03.25 1К-1%]]</f>
        <v>123837.8</v>
      </c>
      <c r="AK160" s="10"/>
      <c r="AL160" s="10">
        <f>Д402[[#This Row],[Фикс 28.03.25]]+Д402[[#This Row],[Повышение 23.07.25
1К 43-46м2 - 2%
2К 55-58 - 2%; 58-64 - 3%
3К 76-79 - 2%
]]</f>
        <v>123837.8</v>
      </c>
      <c r="AM160" s="149">
        <f>ROUND(Д402[[#This Row],[Фикс 23.07.25]],2)</f>
        <v>123837.8</v>
      </c>
      <c r="AN160" s="149">
        <f>ROUNDUP(Д402[[#This Row],[утв цена м2]]*Д402[[#This Row],[Расчетная проектная площадь]],-2)</f>
        <v>4527600</v>
      </c>
      <c r="AO160" s="151"/>
      <c r="AP160" s="152">
        <v>0.03</v>
      </c>
      <c r="AQ160" s="151">
        <f>Д402[[#This Row],[Стоимость до скидки]]*Д402[[#This Row],[Скидка %]]+Д402[[#This Row],[Скидка фиксированная]]</f>
        <v>135828</v>
      </c>
      <c r="AR160" s="3">
        <f>Д402[[#This Row],[Стоимость ОН без отделки со скидкой]]/Д402[[#This Row],[Расчетная проектная площадь]]</f>
        <v>120125.05470459518</v>
      </c>
      <c r="AS160" s="3">
        <f>Д402[[#This Row],[Стоимость до скидки]]-Д402[[#This Row],[Итоговая сумма скидки]]</f>
        <v>4391772</v>
      </c>
      <c r="AT16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0" s="153"/>
      <c r="AV160" s="153"/>
      <c r="AW160" s="3">
        <f>Д402[[#This Row],[Цена м2 без отделки со скидкой]]+Д402[[#This Row],[Стоимость отделки]]</f>
        <v>120125.05470459518</v>
      </c>
      <c r="AX160" s="3">
        <f>Д402[[#This Row],[Стоимость квартиры с отделкой]]-Д402[[#This Row],[Стоимость ОН без отделки со скидкой]]</f>
        <v>0</v>
      </c>
      <c r="AY160" s="3">
        <f>Д402[[#This Row],[Цена м2 с отделкой]]*Д402[[#This Row],[Расчетная проектная площадь]]</f>
        <v>4391772</v>
      </c>
      <c r="AZ160" s="161" t="s">
        <v>435</v>
      </c>
      <c r="BA160" s="277" t="s">
        <v>426</v>
      </c>
      <c r="BB160" s="156" t="str" cm="1">
        <f t="array" ref="BB16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60" s="161" t="s">
        <v>741</v>
      </c>
      <c r="BD160" s="161" t="s">
        <v>506</v>
      </c>
      <c r="BE160" s="161" t="s">
        <v>737</v>
      </c>
      <c r="BF160" s="161" t="s">
        <v>746</v>
      </c>
      <c r="BG160" s="161" t="b">
        <f>EXACT(Д402[[#This Row],[Статусы CRM]],Д402[[#This Row],[Статус]])</f>
        <v>1</v>
      </c>
      <c r="BH160" s="3">
        <f>IF(Д402[[#This Row],[ПС]]=0,IF(Д402[[#This Row],[ДС]]=0,Д402[[#This Row],[ТС]],Д402[[#This Row],[ДС]]),Д402[[#This Row],[ПС]])</f>
        <v>4527600</v>
      </c>
      <c r="BI160" s="3" t="s">
        <v>749</v>
      </c>
      <c r="BJ160" s="3">
        <v>0</v>
      </c>
      <c r="BK160" s="3">
        <v>4527600</v>
      </c>
      <c r="BL160" s="273">
        <f>Д402[[#This Row],[Стоимость CRM]]-Д402[[#This Row],[Стоимость до скидки]]</f>
        <v>0</v>
      </c>
      <c r="BM160" s="161" t="s">
        <v>9</v>
      </c>
      <c r="BN160" s="161" t="b">
        <f>Д402[[#This Row],[Отделка CRM]]=Д402[[#This Row],[Отделка]]</f>
        <v>1</v>
      </c>
      <c r="BO160" s="275" t="s">
        <v>292</v>
      </c>
      <c r="BP160" s="69"/>
    </row>
    <row r="161" spans="1:68" ht="12" customHeight="1" x14ac:dyDescent="0.25">
      <c r="A161" s="140">
        <v>159</v>
      </c>
      <c r="B161" s="175">
        <v>2</v>
      </c>
      <c r="C161" s="141">
        <f t="shared" si="5"/>
        <v>10</v>
      </c>
      <c r="D161" s="142">
        <v>3</v>
      </c>
      <c r="E161" s="141">
        <v>0</v>
      </c>
      <c r="F161" s="143">
        <v>13.94</v>
      </c>
      <c r="G161" s="143"/>
      <c r="H161" s="143"/>
      <c r="I161" s="144">
        <f>SUM(Д402[[#This Row],[Комната 1]:[Комната 3]])</f>
        <v>13.94</v>
      </c>
      <c r="J161" s="145">
        <v>5.98</v>
      </c>
      <c r="K161" s="145">
        <v>4.47</v>
      </c>
      <c r="L161" s="145"/>
      <c r="M161" s="145">
        <v>5.04</v>
      </c>
      <c r="N161" s="145"/>
      <c r="O161" s="145"/>
      <c r="P161" s="146"/>
      <c r="Q161" s="146"/>
      <c r="R161" s="146">
        <f>SUM(Д402[[#This Row],[Лоджия 1]:[Лоджия 3]])</f>
        <v>0</v>
      </c>
      <c r="S161" s="10">
        <f>ROUND(SUM(Д402[[#This Row],[Площадь по проекту жилая]:[Лоджия 3]]),2)</f>
        <v>29.43</v>
      </c>
      <c r="T161" s="10">
        <f>ROUND(Д402[[#This Row],[Площадь по проекту(общая)]]-Д402[[#This Row],[Летние]],2)</f>
        <v>29.43</v>
      </c>
      <c r="U161" s="10">
        <f>ROUND(Д402[[#This Row],[Площадь по проекту(общая)]]-(SUM(Д402[[#This Row],[Лоджия 1]:[Лоджия 3]])/2),2)</f>
        <v>29.43</v>
      </c>
      <c r="V161" s="10">
        <f>VLOOKUP(Д402[[#This Row],[№]],наценка7[],COLUMN(наценка7[[#This Row],[Цена м2 с учетом всех K]]),0)</f>
        <v>142524.6</v>
      </c>
      <c r="W161" s="162"/>
      <c r="X161" s="10">
        <f>Д402[[#This Row],[м2 после К]]+Д402[[#This Row],[02.12.2024]]</f>
        <v>142524.6</v>
      </c>
      <c r="Y161" s="149">
        <v>1000</v>
      </c>
      <c r="Z161" s="10">
        <f>Д402[[#This Row],[Фикс 20.12.24]]+Д402[[#This Row],[23.12.24 СП +1000]]</f>
        <v>143524.6</v>
      </c>
      <c r="AA161" s="149">
        <v>215</v>
      </c>
      <c r="AB161" s="10">
        <f>Д402[[#This Row],[Фикс 23.12.24]]+Д402[[#This Row],[Повышение 20.02.25]]</f>
        <v>143739.6</v>
      </c>
      <c r="AC161" s="149">
        <v>17.5</v>
      </c>
      <c r="AD161" s="10">
        <f>Д402[[#This Row],[Фикс 20.02.25]]+Д402[[#This Row],[Повышение 24.02.2025]]</f>
        <v>143757.1</v>
      </c>
      <c r="AE161" s="10"/>
      <c r="AF161" s="10">
        <f>Д402[[#This Row],[Фикс 24.02.25]]+Д402[[#This Row],[Повышение 05.03.2025
1К: до 40м - 1,5%, 40+ 0,5%
2К - 0,5% ]]</f>
        <v>143757.1</v>
      </c>
      <c r="AG161" s="10"/>
      <c r="AH161" s="10">
        <f>Д402[[#This Row],[Фикс 05.03.25]]+Д402[[#This Row],[повышение 14.03.25 1К-1%]]</f>
        <v>143757.1</v>
      </c>
      <c r="AI161" s="10"/>
      <c r="AJ161" s="10">
        <f>Д402[[#This Row],[Фикс 14.03.25]]+Д402[[#This Row],[повышение 28.03.25 1К-1%]]</f>
        <v>143757.1</v>
      </c>
      <c r="AK161" s="10"/>
      <c r="AL161" s="10">
        <f>Д402[[#This Row],[Фикс 28.03.25]]+Д402[[#This Row],[Повышение 23.07.25
1К 43-46м2 - 2%
2К 55-58 - 2%; 58-64 - 3%
3К 76-79 - 2%
]]</f>
        <v>143757.1</v>
      </c>
      <c r="AM161" s="149">
        <f>ROUND(Д402[[#This Row],[Фикс 23.07.25]],2)</f>
        <v>143757.1</v>
      </c>
      <c r="AN161" s="149">
        <f>ROUNDUP(Д402[[#This Row],[утв цена м2]]*Д402[[#This Row],[Расчетная проектная площадь]],-2)</f>
        <v>4230800</v>
      </c>
      <c r="AO161" s="151"/>
      <c r="AP161" s="152"/>
      <c r="AQ161" s="151">
        <f>Д402[[#This Row],[Стоимость до скидки]]*Д402[[#This Row],[Скидка %]]+Д402[[#This Row],[Скидка фиксированная]]</f>
        <v>0</v>
      </c>
      <c r="AR161" s="3">
        <f>Д402[[#This Row],[Стоимость ОН без отделки со скидкой]]/Д402[[#This Row],[Расчетная проектная площадь]]</f>
        <v>143758.06999660211</v>
      </c>
      <c r="AS161" s="3">
        <f>Д402[[#This Row],[Стоимость до скидки]]-Д402[[#This Row],[Итоговая сумма скидки]]</f>
        <v>4230800</v>
      </c>
      <c r="AT16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1" s="153"/>
      <c r="AV161" s="153"/>
      <c r="AW161" s="3">
        <f>Д402[[#This Row],[Цена м2 без отделки со скидкой]]+Д402[[#This Row],[Стоимость отделки]]</f>
        <v>143758.06999660211</v>
      </c>
      <c r="AX161" s="3">
        <f>Д402[[#This Row],[Стоимость квартиры с отделкой]]-Д402[[#This Row],[Стоимость ОН без отделки со скидкой]]</f>
        <v>0</v>
      </c>
      <c r="AY161" s="3">
        <f>Д402[[#This Row],[Цена м2 с отделкой]]*Д402[[#This Row],[Расчетная проектная площадь]]</f>
        <v>4230800</v>
      </c>
      <c r="AZ161" s="161"/>
      <c r="BA161" s="155" t="s">
        <v>12</v>
      </c>
      <c r="BB161" s="156" t="str" cm="1">
        <f t="array" ref="BB16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1" s="161" t="s">
        <v>738</v>
      </c>
      <c r="BD161" s="161" t="s">
        <v>739</v>
      </c>
      <c r="BE161" s="161" t="s">
        <v>737</v>
      </c>
      <c r="BF161" s="161" t="s">
        <v>743</v>
      </c>
      <c r="BG161" s="161" t="b">
        <f>EXACT(Д402[[#This Row],[Статусы CRM]],Д402[[#This Row],[Статус]])</f>
        <v>1</v>
      </c>
      <c r="BH161" s="3">
        <f>IF(Д402[[#This Row],[ПС]]=0,IF(Д402[[#This Row],[ДС]]=0,Д402[[#This Row],[ТС]],Д402[[#This Row],[ДС]]),Д402[[#This Row],[ПС]])</f>
        <v>4230800</v>
      </c>
      <c r="BI161" s="3">
        <v>4230800</v>
      </c>
      <c r="BJ161" s="3">
        <v>0</v>
      </c>
      <c r="BK161" s="3">
        <v>0</v>
      </c>
      <c r="BL161" s="273">
        <f>Д402[[#This Row],[Стоимость CRM]]-Д402[[#This Row],[Стоимость до скидки]]</f>
        <v>0</v>
      </c>
      <c r="BM161" s="161" t="s">
        <v>9</v>
      </c>
      <c r="BN161" s="161" t="b">
        <f>Д402[[#This Row],[Отделка CRM]]=Д402[[#This Row],[Отделка]]</f>
        <v>1</v>
      </c>
      <c r="BO161" s="275" t="s">
        <v>293</v>
      </c>
      <c r="BP161" s="69"/>
    </row>
    <row r="162" spans="1:68" ht="12" customHeight="1" x14ac:dyDescent="0.25">
      <c r="A162" s="140">
        <v>160</v>
      </c>
      <c r="B162" s="175">
        <v>2</v>
      </c>
      <c r="C162" s="141">
        <f t="shared" si="5"/>
        <v>10</v>
      </c>
      <c r="D162" s="142">
        <v>4</v>
      </c>
      <c r="E162" s="141">
        <v>0</v>
      </c>
      <c r="F162" s="143">
        <v>13.39</v>
      </c>
      <c r="G162" s="143"/>
      <c r="H162" s="143"/>
      <c r="I162" s="144">
        <f>SUM(Д402[[#This Row],[Комната 1]:[Комната 3]])</f>
        <v>13.39</v>
      </c>
      <c r="J162" s="145">
        <v>5.98</v>
      </c>
      <c r="K162" s="145">
        <v>4.47</v>
      </c>
      <c r="L162" s="145"/>
      <c r="M162" s="145">
        <v>4.08</v>
      </c>
      <c r="N162" s="145"/>
      <c r="O162" s="145"/>
      <c r="P162" s="146"/>
      <c r="Q162" s="146"/>
      <c r="R162" s="146">
        <f>SUM(Д402[[#This Row],[Лоджия 1]:[Лоджия 3]])</f>
        <v>0</v>
      </c>
      <c r="S162" s="10">
        <f>ROUND(SUM(Д402[[#This Row],[Площадь по проекту жилая]:[Лоджия 3]]),2)</f>
        <v>27.92</v>
      </c>
      <c r="T162" s="10">
        <f>ROUND(Д402[[#This Row],[Площадь по проекту(общая)]]-Д402[[#This Row],[Летние]],2)</f>
        <v>27.92</v>
      </c>
      <c r="U162" s="10">
        <f>ROUND(Д402[[#This Row],[Площадь по проекту(общая)]]-(SUM(Д402[[#This Row],[Лоджия 1]:[Лоджия 3]])/2),2)</f>
        <v>27.92</v>
      </c>
      <c r="V162" s="10">
        <f>VLOOKUP(Д402[[#This Row],[№]],наценка7[],COLUMN(наценка7[[#This Row],[Цена м2 с учетом всех K]]),0)</f>
        <v>142524.6</v>
      </c>
      <c r="W162" s="162"/>
      <c r="X162" s="10">
        <f>Д402[[#This Row],[м2 после К]]+Д402[[#This Row],[02.12.2024]]</f>
        <v>142524.6</v>
      </c>
      <c r="Y162" s="149">
        <v>1000</v>
      </c>
      <c r="Z162" s="10">
        <f>Д402[[#This Row],[Фикс 20.12.24]]+Д402[[#This Row],[23.12.24 СП +1000]]</f>
        <v>143524.6</v>
      </c>
      <c r="AA162" s="149">
        <v>215</v>
      </c>
      <c r="AB162" s="10">
        <f>Д402[[#This Row],[Фикс 23.12.24]]+Д402[[#This Row],[Повышение 20.02.25]]</f>
        <v>143739.6</v>
      </c>
      <c r="AC162" s="149">
        <v>17.5</v>
      </c>
      <c r="AD162" s="10">
        <f>Д402[[#This Row],[Фикс 20.02.25]]+Д402[[#This Row],[Повышение 24.02.2025]]</f>
        <v>143757.1</v>
      </c>
      <c r="AE162" s="10"/>
      <c r="AF162" s="10">
        <f>Д402[[#This Row],[Фикс 24.02.25]]+Д402[[#This Row],[Повышение 05.03.2025
1К: до 40м - 1,5%, 40+ 0,5%
2К - 0,5% ]]</f>
        <v>143757.1</v>
      </c>
      <c r="AG162" s="10"/>
      <c r="AH162" s="10">
        <f>Д402[[#This Row],[Фикс 05.03.25]]+Д402[[#This Row],[повышение 14.03.25 1К-1%]]</f>
        <v>143757.1</v>
      </c>
      <c r="AI162" s="10"/>
      <c r="AJ162" s="10">
        <f>Д402[[#This Row],[Фикс 14.03.25]]+Д402[[#This Row],[повышение 28.03.25 1К-1%]]</f>
        <v>143757.1</v>
      </c>
      <c r="AK162" s="10"/>
      <c r="AL162" s="10">
        <f>Д402[[#This Row],[Фикс 28.03.25]]+Д402[[#This Row],[Повышение 23.07.25
1К 43-46м2 - 2%
2К 55-58 - 2%; 58-64 - 3%
3К 76-79 - 2%
]]</f>
        <v>143757.1</v>
      </c>
      <c r="AM162" s="149">
        <f>ROUND(Д402[[#This Row],[Фикс 23.07.25]],2)</f>
        <v>143757.1</v>
      </c>
      <c r="AN162" s="149">
        <f>ROUNDUP(Д402[[#This Row],[утв цена м2]]*Д402[[#This Row],[Расчетная проектная площадь]],-2)</f>
        <v>4013700</v>
      </c>
      <c r="AO162" s="151"/>
      <c r="AP162" s="152"/>
      <c r="AQ162" s="151">
        <f>Д402[[#This Row],[Стоимость до скидки]]*Д402[[#This Row],[Скидка %]]+Д402[[#This Row],[Скидка фиксированная]]</f>
        <v>0</v>
      </c>
      <c r="AR162" s="3">
        <f>Д402[[#This Row],[Стоимость ОН без отделки со скидкой]]/Д402[[#This Row],[Расчетная проектная площадь]]</f>
        <v>143757.16332378224</v>
      </c>
      <c r="AS162" s="3">
        <f>Д402[[#This Row],[Стоимость до скидки]]-Д402[[#This Row],[Итоговая сумма скидки]]</f>
        <v>4013700</v>
      </c>
      <c r="AT16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62" s="153">
        <v>30000</v>
      </c>
      <c r="AV162" s="153" t="s">
        <v>722</v>
      </c>
      <c r="AW162" s="3">
        <f>Д402[[#This Row],[Цена м2 без отделки со скидкой]]+Д402[[#This Row],[Стоимость отделки]]</f>
        <v>173757.16332378224</v>
      </c>
      <c r="AX162" s="3">
        <f>Д402[[#This Row],[Стоимость квартиры с отделкой]]-Д402[[#This Row],[Стоимость ОН без отделки со скидкой]]</f>
        <v>837600</v>
      </c>
      <c r="AY162" s="3">
        <f>Д402[[#This Row],[Цена м2 с отделкой]]*Д402[[#This Row],[Расчетная проектная площадь]]</f>
        <v>4851300</v>
      </c>
      <c r="AZ162" s="161"/>
      <c r="BA162" s="155" t="s">
        <v>12</v>
      </c>
      <c r="BB162" s="156" t="str" cm="1">
        <f t="array" ref="BB16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2" s="161" t="s">
        <v>738</v>
      </c>
      <c r="BD162" s="161" t="s">
        <v>739</v>
      </c>
      <c r="BE162" s="161" t="s">
        <v>737</v>
      </c>
      <c r="BF162" s="161" t="s">
        <v>743</v>
      </c>
      <c r="BG162" s="161" t="b">
        <f>EXACT(Д402[[#This Row],[Статусы CRM]],Д402[[#This Row],[Статус]])</f>
        <v>1</v>
      </c>
      <c r="BH162" s="3">
        <f>IF(Д402[[#This Row],[ПС]]=0,IF(Д402[[#This Row],[ДС]]=0,Д402[[#This Row],[ТС]],Д402[[#This Row],[ДС]]),Д402[[#This Row],[ПС]])</f>
        <v>4013700</v>
      </c>
      <c r="BI162" s="3">
        <v>4013700</v>
      </c>
      <c r="BJ162" s="3">
        <v>0</v>
      </c>
      <c r="BK162" s="3">
        <v>0</v>
      </c>
      <c r="BL162" s="273">
        <f>Д402[[#This Row],[Стоимость CRM]]-Д402[[#This Row],[Стоимость до скидки]]</f>
        <v>0</v>
      </c>
      <c r="BM162" s="161" t="s">
        <v>11</v>
      </c>
      <c r="BN162" s="161" t="b">
        <f>Д402[[#This Row],[Отделка CRM]]=Д402[[#This Row],[Отделка]]</f>
        <v>1</v>
      </c>
      <c r="BO162" s="275" t="s">
        <v>294</v>
      </c>
      <c r="BP162" s="69"/>
    </row>
    <row r="163" spans="1:68" ht="12" customHeight="1" x14ac:dyDescent="0.25">
      <c r="A163" s="140">
        <v>161</v>
      </c>
      <c r="B163" s="175">
        <v>2</v>
      </c>
      <c r="C163" s="141">
        <f t="shared" si="5"/>
        <v>10</v>
      </c>
      <c r="D163" s="142">
        <v>5</v>
      </c>
      <c r="E163" s="141">
        <v>2</v>
      </c>
      <c r="F163" s="143">
        <v>16.579999999999998</v>
      </c>
      <c r="G163" s="143">
        <v>14.14</v>
      </c>
      <c r="H163" s="143"/>
      <c r="I163" s="144">
        <f>SUM(Д402[[#This Row],[Комната 1]:[Комната 3]])</f>
        <v>30.72</v>
      </c>
      <c r="J163" s="145">
        <v>12.38</v>
      </c>
      <c r="K163" s="145">
        <v>4.07</v>
      </c>
      <c r="L163" s="145"/>
      <c r="M163" s="145">
        <v>7.61</v>
      </c>
      <c r="N163" s="145">
        <v>7.03</v>
      </c>
      <c r="O163" s="145">
        <v>3.11</v>
      </c>
      <c r="P163" s="146"/>
      <c r="Q163" s="146"/>
      <c r="R163" s="146">
        <f>SUM(Д402[[#This Row],[Лоджия 1]:[Лоджия 3]])</f>
        <v>3.11</v>
      </c>
      <c r="S163" s="10">
        <f>ROUND(SUM(Д402[[#This Row],[Площадь по проекту жилая]:[Лоджия 3]]),2)</f>
        <v>64.92</v>
      </c>
      <c r="T163" s="10">
        <f>ROUND(Д402[[#This Row],[Площадь по проекту(общая)]]-Д402[[#This Row],[Летние]],2)</f>
        <v>61.81</v>
      </c>
      <c r="U163" s="10">
        <f>ROUND(Д402[[#This Row],[Площадь по проекту(общая)]]-(SUM(Д402[[#This Row],[Лоджия 1]:[Лоджия 3]])/2),2)</f>
        <v>63.37</v>
      </c>
      <c r="V163" s="10">
        <f>VLOOKUP(Д402[[#This Row],[№]],наценка7[],COLUMN(наценка7[[#This Row],[Цена м2 с учетом всех K]]),0)</f>
        <v>122072.4</v>
      </c>
      <c r="W163" s="162">
        <v>-7000</v>
      </c>
      <c r="X163" s="10">
        <f>Д402[[#This Row],[м2 после К]]+Д402[[#This Row],[02.12.2024]]</f>
        <v>115072.4</v>
      </c>
      <c r="Y163" s="149">
        <v>1000</v>
      </c>
      <c r="Z163" s="10">
        <f>Д402[[#This Row],[Фикс 20.12.24]]+Д402[[#This Row],[23.12.24 СП +1000]]</f>
        <v>116072.4</v>
      </c>
      <c r="AA163" s="149">
        <v>215</v>
      </c>
      <c r="AB163" s="10">
        <f>Д402[[#This Row],[Фикс 23.12.24]]+Д402[[#This Row],[Повышение 20.02.25]]</f>
        <v>116287.4</v>
      </c>
      <c r="AC163" s="149">
        <v>17.5</v>
      </c>
      <c r="AD163" s="10">
        <f>Д402[[#This Row],[Фикс 20.02.25]]+Д402[[#This Row],[Повышение 24.02.2025]]</f>
        <v>116304.9</v>
      </c>
      <c r="AE163" s="149">
        <f>Д402[[#This Row],[Фикс 24.02.25]]*0.5%</f>
        <v>581.52449999999999</v>
      </c>
      <c r="AF163" s="10">
        <f>Д402[[#This Row],[Фикс 24.02.25]]+Д402[[#This Row],[Повышение 05.03.2025
1К: до 40м - 1,5%, 40+ 0,5%
2К - 0,5% ]]</f>
        <v>116886.42449999999</v>
      </c>
      <c r="AG163" s="10"/>
      <c r="AH163" s="10">
        <f>Д402[[#This Row],[Фикс 05.03.25]]+Д402[[#This Row],[повышение 14.03.25 1К-1%]]</f>
        <v>116886.42449999999</v>
      </c>
      <c r="AI163" s="10"/>
      <c r="AJ163" s="10">
        <f>Д402[[#This Row],[Фикс 14.03.25]]+Д402[[#This Row],[повышение 28.03.25 1К-1%]]</f>
        <v>116886.42449999999</v>
      </c>
      <c r="AK163" s="10">
        <f>Д402[[#This Row],[Фикс 28.03.25]]*3%</f>
        <v>3506.5927349999997</v>
      </c>
      <c r="AL163" s="10">
        <f>Д402[[#This Row],[Фикс 28.03.25]]+Д402[[#This Row],[Повышение 23.07.25
1К 43-46м2 - 2%
2К 55-58 - 2%; 58-64 - 3%
3К 76-79 - 2%
]]</f>
        <v>120393.01723499999</v>
      </c>
      <c r="AM163" s="149">
        <f>ROUND(Д402[[#This Row],[Фикс 23.07.25]],2)</f>
        <v>120393.02</v>
      </c>
      <c r="AN163" s="149">
        <f>ROUNDUP(Д402[[#This Row],[утв цена м2]]*Д402[[#This Row],[Расчетная проектная площадь]],-2)</f>
        <v>7629400</v>
      </c>
      <c r="AO163" s="151"/>
      <c r="AP163" s="152"/>
      <c r="AQ163" s="151">
        <f>Д402[[#This Row],[Стоимость до скидки]]*Д402[[#This Row],[Скидка %]]+Д402[[#This Row],[Скидка фиксированная]]</f>
        <v>0</v>
      </c>
      <c r="AR163" s="3">
        <f>Д402[[#This Row],[Стоимость ОН без отделки со скидкой]]/Д402[[#This Row],[Расчетная проектная площадь]]</f>
        <v>120394.50844248067</v>
      </c>
      <c r="AS163" s="3">
        <f>Д402[[#This Row],[Стоимость до скидки]]-Д402[[#This Row],[Итоговая сумма скидки]]</f>
        <v>7629400</v>
      </c>
      <c r="AT16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3" s="153"/>
      <c r="AV163" s="153"/>
      <c r="AW163" s="3">
        <f>Д402[[#This Row],[Цена м2 без отделки со скидкой]]+Д402[[#This Row],[Стоимость отделки]]</f>
        <v>120394.50844248067</v>
      </c>
      <c r="AX163" s="3">
        <f>Д402[[#This Row],[Стоимость квартиры с отделкой]]-Д402[[#This Row],[Стоимость ОН без отделки со скидкой]]</f>
        <v>0</v>
      </c>
      <c r="AY163" s="3">
        <f>Д402[[#This Row],[Цена м2 с отделкой]]*Д402[[#This Row],[Расчетная проектная площадь]]</f>
        <v>7629400</v>
      </c>
      <c r="AZ163" s="161"/>
      <c r="BA163" s="269" t="s">
        <v>12</v>
      </c>
      <c r="BB163" s="269" t="str" cm="1">
        <f t="array" ref="BB16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3" s="161" t="s">
        <v>738</v>
      </c>
      <c r="BD163" s="161" t="s">
        <v>739</v>
      </c>
      <c r="BE163" s="161" t="s">
        <v>737</v>
      </c>
      <c r="BF163" s="161" t="s">
        <v>747</v>
      </c>
      <c r="BG163" s="161" t="b">
        <f>EXACT(Д402[[#This Row],[Статусы CRM]],Д402[[#This Row],[Статус]])</f>
        <v>1</v>
      </c>
      <c r="BH163" s="3">
        <f>IF(Д402[[#This Row],[ПС]]=0,IF(Д402[[#This Row],[ДС]]=0,Д402[[#This Row],[ТС]],Д402[[#This Row],[ДС]]),Д402[[#This Row],[ПС]])</f>
        <v>7629400</v>
      </c>
      <c r="BI163" s="3">
        <v>7629400</v>
      </c>
      <c r="BJ163" s="3">
        <v>0</v>
      </c>
      <c r="BK163" s="3">
        <v>0</v>
      </c>
      <c r="BL163" s="273">
        <f>Д402[[#This Row],[Стоимость CRM]]-Д402[[#This Row],[Стоимость до скидки]]</f>
        <v>0</v>
      </c>
      <c r="BM163" s="161" t="s">
        <v>9</v>
      </c>
      <c r="BN163" s="161" t="b">
        <f>Д402[[#This Row],[Отделка CRM]]=Д402[[#This Row],[Отделка]]</f>
        <v>1</v>
      </c>
      <c r="BO163" s="275" t="s">
        <v>295</v>
      </c>
      <c r="BP163" s="69"/>
    </row>
    <row r="164" spans="1:68" ht="12" customHeight="1" x14ac:dyDescent="0.25">
      <c r="A164" s="140">
        <v>162</v>
      </c>
      <c r="B164" s="175">
        <v>2</v>
      </c>
      <c r="C164" s="141">
        <f t="shared" si="5"/>
        <v>10</v>
      </c>
      <c r="D164" s="142">
        <v>6</v>
      </c>
      <c r="E164" s="141">
        <v>2</v>
      </c>
      <c r="F164" s="143">
        <v>17.73</v>
      </c>
      <c r="G164" s="143">
        <v>12.22</v>
      </c>
      <c r="H164" s="143"/>
      <c r="I164" s="144">
        <f>SUM(Д402[[#This Row],[Комната 1]:[Комната 3]])</f>
        <v>29.950000000000003</v>
      </c>
      <c r="J164" s="145">
        <v>13.65</v>
      </c>
      <c r="K164" s="145">
        <v>5.15</v>
      </c>
      <c r="L164" s="145">
        <v>2.5</v>
      </c>
      <c r="M164" s="145">
        <v>8.06</v>
      </c>
      <c r="N164" s="145"/>
      <c r="O164" s="145">
        <v>3.11</v>
      </c>
      <c r="P164" s="146"/>
      <c r="Q164" s="146"/>
      <c r="R164" s="146">
        <f>SUM(Д402[[#This Row],[Лоджия 1]:[Лоджия 3]])</f>
        <v>3.11</v>
      </c>
      <c r="S164" s="10">
        <f>ROUND(SUM(Д402[[#This Row],[Площадь по проекту жилая]:[Лоджия 3]]),2)</f>
        <v>62.42</v>
      </c>
      <c r="T164" s="10">
        <f>ROUND(Д402[[#This Row],[Площадь по проекту(общая)]]-Д402[[#This Row],[Летние]],2)</f>
        <v>59.31</v>
      </c>
      <c r="U164" s="10">
        <f>ROUND(Д402[[#This Row],[Площадь по проекту(общая)]]-(SUM(Д402[[#This Row],[Лоджия 1]:[Лоджия 3]])/2),2)</f>
        <v>60.87</v>
      </c>
      <c r="V164" s="10">
        <f>VLOOKUP(Д402[[#This Row],[№]],наценка7[],COLUMN(наценка7[[#This Row],[Цена м2 с учетом всех K]]),0)</f>
        <v>126593.60000000001</v>
      </c>
      <c r="W164" s="162">
        <v>-10000</v>
      </c>
      <c r="X164" s="10">
        <f>Д402[[#This Row],[м2 после К]]+Д402[[#This Row],[02.12.2024]]</f>
        <v>116593.60000000001</v>
      </c>
      <c r="Y164" s="149">
        <v>1000</v>
      </c>
      <c r="Z164" s="10">
        <f>Д402[[#This Row],[Фикс 20.12.24]]+Д402[[#This Row],[23.12.24 СП +1000]]</f>
        <v>117593.60000000001</v>
      </c>
      <c r="AA164" s="149">
        <v>215</v>
      </c>
      <c r="AB164" s="10">
        <f>Д402[[#This Row],[Фикс 23.12.24]]+Д402[[#This Row],[Повышение 20.02.25]]</f>
        <v>117808.6</v>
      </c>
      <c r="AC164" s="149">
        <v>17.5</v>
      </c>
      <c r="AD164" s="10">
        <f>Д402[[#This Row],[Фикс 20.02.25]]+Д402[[#This Row],[Повышение 24.02.2025]]</f>
        <v>117826.1</v>
      </c>
      <c r="AE164" s="149">
        <f>Д402[[#This Row],[Фикс 24.02.25]]*0.5%</f>
        <v>589.1305000000001</v>
      </c>
      <c r="AF164" s="10">
        <f>Д402[[#This Row],[Фикс 24.02.25]]+Д402[[#This Row],[Повышение 05.03.2025
1К: до 40м - 1,5%, 40+ 0,5%
2К - 0,5% ]]</f>
        <v>118415.23050000001</v>
      </c>
      <c r="AG164" s="10"/>
      <c r="AH164" s="10">
        <f>Д402[[#This Row],[Фикс 05.03.25]]+Д402[[#This Row],[повышение 14.03.25 1К-1%]]</f>
        <v>118415.23050000001</v>
      </c>
      <c r="AI164" s="10"/>
      <c r="AJ164" s="10">
        <f>Д402[[#This Row],[Фикс 14.03.25]]+Д402[[#This Row],[повышение 28.03.25 1К-1%]]</f>
        <v>118415.23050000001</v>
      </c>
      <c r="AK164" s="10"/>
      <c r="AL164" s="10">
        <f>Д402[[#This Row],[Фикс 28.03.25]]+Д402[[#This Row],[Повышение 23.07.25
1К 43-46м2 - 2%
2К 55-58 - 2%; 58-64 - 3%
3К 76-79 - 2%
]]</f>
        <v>118415.23050000001</v>
      </c>
      <c r="AM164" s="149">
        <f>ROUND(Д402[[#This Row],[Фикс 23.07.25]],2)</f>
        <v>118415.23</v>
      </c>
      <c r="AN164" s="149">
        <f>ROUNDUP(Д402[[#This Row],[утв цена м2]]*Д402[[#This Row],[Расчетная проектная площадь]],-2)</f>
        <v>7208000</v>
      </c>
      <c r="AO164" s="151"/>
      <c r="AP164" s="152">
        <v>0.02</v>
      </c>
      <c r="AQ164" s="151">
        <f>Д402[[#This Row],[Стоимость до скидки]]*Д402[[#This Row],[Скидка %]]+Д402[[#This Row],[Скидка фиксированная]]</f>
        <v>144160</v>
      </c>
      <c r="AR164" s="3">
        <f>Д402[[#This Row],[Стоимость ОН без отделки со скидкой]]/Д402[[#This Row],[Расчетная проектная площадь]]</f>
        <v>116047.97108592081</v>
      </c>
      <c r="AS164" s="3">
        <f>Д402[[#This Row],[Стоимость до скидки]]-Д402[[#This Row],[Итоговая сумма скидки]]</f>
        <v>7063840</v>
      </c>
      <c r="AT16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164" s="153">
        <v>10000</v>
      </c>
      <c r="AV164" s="153"/>
      <c r="AW164" s="3">
        <f>Д402[[#This Row],[Цена м2 без отделки со скидкой]]+Д402[[#This Row],[Стоимость отделки]]</f>
        <v>126047.97108592081</v>
      </c>
      <c r="AX164" s="3">
        <f>Д402[[#This Row],[Стоимость квартиры с отделкой]]-Д402[[#This Row],[Стоимость ОН без отделки со скидкой]]</f>
        <v>608700</v>
      </c>
      <c r="AY164" s="3">
        <f>Д402[[#This Row],[Цена м2 с отделкой]]*Д402[[#This Row],[Расчетная проектная площадь]]</f>
        <v>7672540</v>
      </c>
      <c r="AZ164" s="161" t="s">
        <v>436</v>
      </c>
      <c r="BA164" s="269" t="s">
        <v>426</v>
      </c>
      <c r="BB164" s="269" t="str" cm="1">
        <f t="array" ref="BB16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64" s="161" t="s">
        <v>741</v>
      </c>
      <c r="BD164" s="161" t="s">
        <v>506</v>
      </c>
      <c r="BE164" s="161" t="s">
        <v>737</v>
      </c>
      <c r="BF164" s="161" t="s">
        <v>747</v>
      </c>
      <c r="BG164" s="161" t="b">
        <f>EXACT(Д402[[#This Row],[Статусы CRM]],Д402[[#This Row],[Статус]])</f>
        <v>1</v>
      </c>
      <c r="BH164" s="3">
        <f>IF(Д402[[#This Row],[ПС]]=0,IF(Д402[[#This Row],[ДС]]=0,Д402[[#This Row],[ТС]],Д402[[#This Row],[ДС]]),Д402[[#This Row],[ПС]])</f>
        <v>7208000</v>
      </c>
      <c r="BI164" s="3" t="s">
        <v>749</v>
      </c>
      <c r="BJ164" s="3">
        <v>0</v>
      </c>
      <c r="BK164" s="3">
        <v>7208000</v>
      </c>
      <c r="BL164" s="273">
        <f>Д402[[#This Row],[Стоимость CRM]]-Д402[[#This Row],[Стоимость до скидки]]</f>
        <v>0</v>
      </c>
      <c r="BM164" s="161" t="s">
        <v>718</v>
      </c>
      <c r="BN164" s="161" t="b">
        <f>Д402[[#This Row],[Отделка CRM]]=Д402[[#This Row],[Отделка]]</f>
        <v>1</v>
      </c>
      <c r="BO164" s="275" t="s">
        <v>296</v>
      </c>
      <c r="BP164" s="69"/>
    </row>
    <row r="165" spans="1:68" ht="12" customHeight="1" x14ac:dyDescent="0.25">
      <c r="A165" s="140">
        <v>163</v>
      </c>
      <c r="B165" s="175">
        <v>2</v>
      </c>
      <c r="C165" s="141">
        <f t="shared" si="5"/>
        <v>11</v>
      </c>
      <c r="D165" s="142">
        <v>1</v>
      </c>
      <c r="E165" s="141">
        <v>2</v>
      </c>
      <c r="F165" s="143">
        <v>17.579999999999998</v>
      </c>
      <c r="G165" s="143">
        <v>14.37</v>
      </c>
      <c r="H165" s="143"/>
      <c r="I165" s="144">
        <f>SUM(Д402[[#This Row],[Комната 1]:[Комната 3]])</f>
        <v>31.949999999999996</v>
      </c>
      <c r="J165" s="145">
        <v>14.29</v>
      </c>
      <c r="K165" s="145">
        <v>4.45</v>
      </c>
      <c r="L165" s="145"/>
      <c r="M165" s="145">
        <v>8.64</v>
      </c>
      <c r="N165" s="145">
        <v>4.76</v>
      </c>
      <c r="O165" s="145">
        <v>3.11</v>
      </c>
      <c r="P165" s="146"/>
      <c r="Q165" s="146"/>
      <c r="R165" s="284">
        <f>SUM(Д402[[#This Row],[Лоджия 1]:[Лоджия 3]])</f>
        <v>3.11</v>
      </c>
      <c r="S165" s="10">
        <f>ROUND(SUM(Д402[[#This Row],[Площадь по проекту жилая]:[Лоджия 3]]),2)</f>
        <v>67.2</v>
      </c>
      <c r="T165" s="185">
        <f>ROUND(Д402[[#This Row],[Площадь по проекту(общая)]]-Д402[[#This Row],[Летние]],2)</f>
        <v>64.09</v>
      </c>
      <c r="U165" s="185">
        <f>ROUND(Д402[[#This Row],[Площадь по проекту(общая)]]-(SUM(Д402[[#This Row],[Лоджия 1]:[Лоджия 3]])/2),2)</f>
        <v>65.650000000000006</v>
      </c>
      <c r="V165" s="10">
        <f>VLOOKUP(Д402[[#This Row],[№]],наценка7[],COLUMN(наценка7[[#This Row],[Цена м2 с учетом всех K]]),0)</f>
        <v>119811.8</v>
      </c>
      <c r="W165" s="163"/>
      <c r="X165" s="10">
        <f>Д402[[#This Row],[м2 после К]]+Д402[[#This Row],[02.12.2024]]</f>
        <v>119811.8</v>
      </c>
      <c r="Y165" s="149">
        <v>1000</v>
      </c>
      <c r="Z165" s="10">
        <f>Д402[[#This Row],[Фикс 20.12.24]]+Д402[[#This Row],[23.12.24 СП +1000]]</f>
        <v>120811.8</v>
      </c>
      <c r="AA165" s="149">
        <v>215</v>
      </c>
      <c r="AB165" s="10">
        <f>Д402[[#This Row],[Фикс 23.12.24]]+Д402[[#This Row],[Повышение 20.02.25]]</f>
        <v>121026.8</v>
      </c>
      <c r="AC165" s="149">
        <v>17.5</v>
      </c>
      <c r="AD165" s="10">
        <f>Д402[[#This Row],[Фикс 20.02.25]]+Д402[[#This Row],[Повышение 24.02.2025]]</f>
        <v>121044.3</v>
      </c>
      <c r="AE165" s="149">
        <f>Д402[[#This Row],[Фикс 24.02.25]]*0.5%</f>
        <v>605.22149999999999</v>
      </c>
      <c r="AF165" s="10">
        <f>Д402[[#This Row],[Фикс 24.02.25]]+Д402[[#This Row],[Повышение 05.03.2025
1К: до 40м - 1,5%, 40+ 0,5%
2К - 0,5% ]]</f>
        <v>121649.5215</v>
      </c>
      <c r="AG165" s="10"/>
      <c r="AH165" s="10">
        <f>Д402[[#This Row],[Фикс 05.03.25]]+Д402[[#This Row],[повышение 14.03.25 1К-1%]]</f>
        <v>121649.5215</v>
      </c>
      <c r="AI165" s="10"/>
      <c r="AJ165" s="10">
        <f>Д402[[#This Row],[Фикс 14.03.25]]+Д402[[#This Row],[повышение 28.03.25 1К-1%]]</f>
        <v>121649.5215</v>
      </c>
      <c r="AK165" s="10"/>
      <c r="AL165" s="10">
        <f>Д402[[#This Row],[Фикс 28.03.25]]+Д402[[#This Row],[Повышение 23.07.25
1К 43-46м2 - 2%
2К 55-58 - 2%; 58-64 - 3%
3К 76-79 - 2%
]]</f>
        <v>121649.5215</v>
      </c>
      <c r="AM165" s="164">
        <f>ROUND(Д402[[#This Row],[Фикс 23.07.25]],2)</f>
        <v>121649.52</v>
      </c>
      <c r="AN165" s="149">
        <f>ROUNDUP(Д402[[#This Row],[утв цена м2]]*Д402[[#This Row],[Расчетная проектная площадь]],-2)</f>
        <v>7986300</v>
      </c>
      <c r="AO165" s="151"/>
      <c r="AP165" s="152"/>
      <c r="AQ165" s="151">
        <f>Д402[[#This Row],[Стоимость до скидки]]*Д402[[#This Row],[Скидка %]]+Д402[[#This Row],[Скидка фиксированная]]</f>
        <v>0</v>
      </c>
      <c r="AR165" s="3">
        <f>Д402[[#This Row],[Стоимость ОН без отделки со скидкой]]/Д402[[#This Row],[Расчетная проектная площадь]]</f>
        <v>121649.65727341964</v>
      </c>
      <c r="AS165" s="3">
        <f>Д402[[#This Row],[Стоимость до скидки]]-Д402[[#This Row],[Итоговая сумма скидки]]</f>
        <v>7986300</v>
      </c>
      <c r="AT16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5" s="153"/>
      <c r="AV165" s="153"/>
      <c r="AW165" s="3">
        <f>Д402[[#This Row],[Цена м2 без отделки со скидкой]]+Д402[[#This Row],[Стоимость отделки]]</f>
        <v>121649.65727341964</v>
      </c>
      <c r="AX165" s="3">
        <f>Д402[[#This Row],[Стоимость квартиры с отделкой]]-Д402[[#This Row],[Стоимость ОН без отделки со скидкой]]</f>
        <v>0</v>
      </c>
      <c r="AY165" s="3">
        <f>Д402[[#This Row],[Цена м2 с отделкой]]*Д402[[#This Row],[Расчетная проектная площадь]]</f>
        <v>7986300</v>
      </c>
      <c r="AZ165" s="165"/>
      <c r="BA165" s="155" t="s">
        <v>12</v>
      </c>
      <c r="BB165" s="156" t="str" cm="1">
        <f t="array" ref="BB16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5" s="166" t="s">
        <v>738</v>
      </c>
      <c r="BD165" s="166" t="s">
        <v>739</v>
      </c>
      <c r="BE165" s="166" t="s">
        <v>737</v>
      </c>
      <c r="BF165" s="166" t="s">
        <v>744</v>
      </c>
      <c r="BG165" s="166" t="b">
        <f>EXACT(Д402[[#This Row],[Статусы CRM]],Д402[[#This Row],[Статус]])</f>
        <v>1</v>
      </c>
      <c r="BH165" s="3">
        <f>IF(Д402[[#This Row],[ПС]]=0,IF(Д402[[#This Row],[ДС]]=0,Д402[[#This Row],[ТС]],Д402[[#This Row],[ДС]]),Д402[[#This Row],[ПС]])</f>
        <v>7986300</v>
      </c>
      <c r="BI165" s="3">
        <v>7986300</v>
      </c>
      <c r="BJ165" s="3">
        <v>0</v>
      </c>
      <c r="BK165" s="3">
        <v>0</v>
      </c>
      <c r="BL165" s="274">
        <f>Д402[[#This Row],[Стоимость CRM]]-Д402[[#This Row],[Стоимость до скидки]]</f>
        <v>0</v>
      </c>
      <c r="BM165" s="166" t="s">
        <v>9</v>
      </c>
      <c r="BN165" s="166" t="b">
        <f>Д402[[#This Row],[Отделка CRM]]=Д402[[#This Row],[Отделка]]</f>
        <v>1</v>
      </c>
      <c r="BO165" s="275" t="s">
        <v>297</v>
      </c>
      <c r="BP165" s="69"/>
    </row>
    <row r="166" spans="1:68" ht="12" customHeight="1" x14ac:dyDescent="0.25">
      <c r="A166" s="140">
        <v>164</v>
      </c>
      <c r="B166" s="175">
        <v>2</v>
      </c>
      <c r="C166" s="141">
        <f t="shared" si="5"/>
        <v>11</v>
      </c>
      <c r="D166" s="142">
        <v>2</v>
      </c>
      <c r="E166" s="141">
        <v>1</v>
      </c>
      <c r="F166" s="143">
        <v>14.77</v>
      </c>
      <c r="G166" s="143"/>
      <c r="H166" s="143"/>
      <c r="I166" s="144">
        <f>SUM(Д402[[#This Row],[Комната 1]:[Комната 3]])</f>
        <v>14.77</v>
      </c>
      <c r="J166" s="145">
        <v>11.88</v>
      </c>
      <c r="K166" s="145">
        <v>4.07</v>
      </c>
      <c r="L166" s="145"/>
      <c r="M166" s="145">
        <v>4.28</v>
      </c>
      <c r="N166" s="145"/>
      <c r="O166" s="145">
        <v>3.11</v>
      </c>
      <c r="P166" s="146"/>
      <c r="Q166" s="146"/>
      <c r="R166" s="284">
        <f>SUM(Д402[[#This Row],[Лоджия 1]:[Лоджия 3]])</f>
        <v>3.11</v>
      </c>
      <c r="S166" s="10">
        <f>ROUND(SUM(Д402[[#This Row],[Площадь по проекту жилая]:[Лоджия 3]]),2)</f>
        <v>38.11</v>
      </c>
      <c r="T166" s="185">
        <f>ROUND(Д402[[#This Row],[Площадь по проекту(общая)]]-Д402[[#This Row],[Летние]],2)</f>
        <v>35</v>
      </c>
      <c r="U166" s="185">
        <f>ROUND(Д402[[#This Row],[Площадь по проекту(общая)]]-(SUM(Д402[[#This Row],[Лоджия 1]:[Лоджия 3]])/2),2)</f>
        <v>36.56</v>
      </c>
      <c r="V166" s="10">
        <f>VLOOKUP(Д402[[#This Row],[№]],наценка7[],COLUMN(наценка7[[#This Row],[Цена м2 с учетом всех K]]),0)</f>
        <v>125223</v>
      </c>
      <c r="W166" s="163"/>
      <c r="X166" s="10">
        <f>Д402[[#This Row],[м2 после К]]+Д402[[#This Row],[02.12.2024]]</f>
        <v>125223</v>
      </c>
      <c r="Y166" s="149">
        <v>1000</v>
      </c>
      <c r="Z166" s="10">
        <f>Д402[[#This Row],[Фикс 20.12.24]]+Д402[[#This Row],[23.12.24 СП +1000]]</f>
        <v>126223</v>
      </c>
      <c r="AA166" s="149">
        <v>215</v>
      </c>
      <c r="AB166" s="10">
        <f>Д402[[#This Row],[Фикс 23.12.24]]+Д402[[#This Row],[Повышение 20.02.25]]</f>
        <v>126438</v>
      </c>
      <c r="AC166" s="149">
        <v>17.5</v>
      </c>
      <c r="AD166" s="10">
        <f>Д402[[#This Row],[Фикс 20.02.25]]+Д402[[#This Row],[Повышение 24.02.2025]]</f>
        <v>126455.5</v>
      </c>
      <c r="AE166" s="149">
        <f>Д402[[#This Row],[Фикс 24.02.25]]*1.5%</f>
        <v>1896.8325</v>
      </c>
      <c r="AF166" s="10">
        <f>Д402[[#This Row],[Фикс 24.02.25]]+Д402[[#This Row],[Повышение 05.03.2025
1К: до 40м - 1,5%, 40+ 0,5%
2К - 0,5% ]]</f>
        <v>128352.3325</v>
      </c>
      <c r="AG166" s="149">
        <f>Д402[[#This Row],[Фикс 05.03.25]]*1%</f>
        <v>1283.5233250000001</v>
      </c>
      <c r="AH166" s="10">
        <f>Д402[[#This Row],[Фикс 05.03.25]]+Д402[[#This Row],[повышение 14.03.25 1К-1%]]</f>
        <v>129635.85582500001</v>
      </c>
      <c r="AI166" s="149">
        <f>Д402[[#This Row],[Фикс 14.03.25]]*1%</f>
        <v>1296.35855825</v>
      </c>
      <c r="AJ166" s="10">
        <f>Д402[[#This Row],[Фикс 14.03.25]]+Д402[[#This Row],[повышение 28.03.25 1К-1%]]</f>
        <v>130932.21438325</v>
      </c>
      <c r="AK166" s="10"/>
      <c r="AL166" s="10">
        <f>Д402[[#This Row],[Фикс 28.03.25]]+Д402[[#This Row],[Повышение 23.07.25
1К 43-46м2 - 2%
2К 55-58 - 2%; 58-64 - 3%
3К 76-79 - 2%
]]</f>
        <v>130932.21438325</v>
      </c>
      <c r="AM166" s="164">
        <f>ROUND(Д402[[#This Row],[Фикс 23.07.25]],2)</f>
        <v>130932.21</v>
      </c>
      <c r="AN166" s="149">
        <f>ROUNDUP(Д402[[#This Row],[утв цена м2]]*Д402[[#This Row],[Расчетная проектная площадь]],-2)</f>
        <v>4786900</v>
      </c>
      <c r="AO166" s="151"/>
      <c r="AP166" s="152"/>
      <c r="AQ166" s="151">
        <f>Д402[[#This Row],[Стоимость до скидки]]*Д402[[#This Row],[Скидка %]]+Д402[[#This Row],[Скидка фиксированная]]</f>
        <v>0</v>
      </c>
      <c r="AR166" s="3">
        <f>Д402[[#This Row],[Стоимость ОН без отделки со скидкой]]/Д402[[#This Row],[Расчетная проектная площадь]]</f>
        <v>130932.71334792122</v>
      </c>
      <c r="AS166" s="3">
        <f>Д402[[#This Row],[Стоимость до скидки]]-Д402[[#This Row],[Итоговая сумма скидки]]</f>
        <v>4786900</v>
      </c>
      <c r="AT16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66" s="153">
        <v>30000</v>
      </c>
      <c r="AV166" s="153" t="s">
        <v>722</v>
      </c>
      <c r="AW166" s="3">
        <f>Д402[[#This Row],[Цена м2 без отделки со скидкой]]+Д402[[#This Row],[Стоимость отделки]]</f>
        <v>160932.71334792121</v>
      </c>
      <c r="AX166" s="3">
        <f>Д402[[#This Row],[Стоимость квартиры с отделкой]]-Д402[[#This Row],[Стоимость ОН без отделки со скидкой]]</f>
        <v>1096800</v>
      </c>
      <c r="AY166" s="3">
        <f>Д402[[#This Row],[Цена м2 с отделкой]]*Д402[[#This Row],[Расчетная проектная площадь]]</f>
        <v>5883700</v>
      </c>
      <c r="AZ166" s="165"/>
      <c r="BA166" s="155" t="s">
        <v>12</v>
      </c>
      <c r="BB166" s="156" t="str" cm="1">
        <f t="array" ref="BB16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6" s="166" t="s">
        <v>738</v>
      </c>
      <c r="BD166" s="166" t="s">
        <v>739</v>
      </c>
      <c r="BE166" s="166" t="s">
        <v>737</v>
      </c>
      <c r="BF166" s="166" t="s">
        <v>746</v>
      </c>
      <c r="BG166" s="166" t="b">
        <f>EXACT(Д402[[#This Row],[Статусы CRM]],Д402[[#This Row],[Статус]])</f>
        <v>1</v>
      </c>
      <c r="BH166" s="3">
        <f>IF(Д402[[#This Row],[ПС]]=0,IF(Д402[[#This Row],[ДС]]=0,Д402[[#This Row],[ТС]],Д402[[#This Row],[ДС]]),Д402[[#This Row],[ПС]])</f>
        <v>4786900</v>
      </c>
      <c r="BI166" s="3">
        <v>4786900</v>
      </c>
      <c r="BJ166" s="3">
        <v>0</v>
      </c>
      <c r="BK166" s="3">
        <v>0</v>
      </c>
      <c r="BL166" s="274">
        <f>Д402[[#This Row],[Стоимость CRM]]-Д402[[#This Row],[Стоимость до скидки]]</f>
        <v>0</v>
      </c>
      <c r="BM166" s="166" t="s">
        <v>11</v>
      </c>
      <c r="BN166" s="166" t="b">
        <f>Д402[[#This Row],[Отделка CRM]]=Д402[[#This Row],[Отделка]]</f>
        <v>1</v>
      </c>
      <c r="BO166" s="275" t="s">
        <v>298</v>
      </c>
      <c r="BP166" s="69"/>
    </row>
    <row r="167" spans="1:68" ht="12" customHeight="1" x14ac:dyDescent="0.25">
      <c r="A167" s="140">
        <v>165</v>
      </c>
      <c r="B167" s="175">
        <v>2</v>
      </c>
      <c r="C167" s="141">
        <f t="shared" si="5"/>
        <v>11</v>
      </c>
      <c r="D167" s="142">
        <v>3</v>
      </c>
      <c r="E167" s="141">
        <v>0</v>
      </c>
      <c r="F167" s="143">
        <v>13.94</v>
      </c>
      <c r="G167" s="143"/>
      <c r="H167" s="143"/>
      <c r="I167" s="144">
        <f>SUM(Д402[[#This Row],[Комната 1]:[Комната 3]])</f>
        <v>13.94</v>
      </c>
      <c r="J167" s="145">
        <v>5.98</v>
      </c>
      <c r="K167" s="145">
        <v>4.47</v>
      </c>
      <c r="L167" s="145"/>
      <c r="M167" s="145">
        <v>5.04</v>
      </c>
      <c r="N167" s="145"/>
      <c r="O167" s="145"/>
      <c r="P167" s="146"/>
      <c r="Q167" s="146"/>
      <c r="R167" s="284">
        <f>SUM(Д402[[#This Row],[Лоджия 1]:[Лоджия 3]])</f>
        <v>0</v>
      </c>
      <c r="S167" s="10">
        <f>ROUND(SUM(Д402[[#This Row],[Площадь по проекту жилая]:[Лоджия 3]]),2)</f>
        <v>29.43</v>
      </c>
      <c r="T167" s="185">
        <f>ROUND(Д402[[#This Row],[Площадь по проекту(общая)]]-Д402[[#This Row],[Летние]],2)</f>
        <v>29.43</v>
      </c>
      <c r="U167" s="185">
        <f>ROUND(Д402[[#This Row],[Площадь по проекту(общая)]]-(SUM(Д402[[#This Row],[Лоджия 1]:[Лоджия 3]])/2),2)</f>
        <v>29.43</v>
      </c>
      <c r="V167" s="10">
        <f>VLOOKUP(Д402[[#This Row],[№]],наценка7[],COLUMN(наценка7[[#This Row],[Цена м2 с учетом всех K]]),0)</f>
        <v>142524.6</v>
      </c>
      <c r="W167" s="163"/>
      <c r="X167" s="10">
        <f>Д402[[#This Row],[м2 после К]]+Д402[[#This Row],[02.12.2024]]</f>
        <v>142524.6</v>
      </c>
      <c r="Y167" s="149">
        <v>1000</v>
      </c>
      <c r="Z167" s="10">
        <f>Д402[[#This Row],[Фикс 20.12.24]]+Д402[[#This Row],[23.12.24 СП +1000]]</f>
        <v>143524.6</v>
      </c>
      <c r="AA167" s="149">
        <v>215</v>
      </c>
      <c r="AB167" s="10">
        <f>Д402[[#This Row],[Фикс 23.12.24]]+Д402[[#This Row],[Повышение 20.02.25]]</f>
        <v>143739.6</v>
      </c>
      <c r="AC167" s="149">
        <v>17.5</v>
      </c>
      <c r="AD167" s="10">
        <f>Д402[[#This Row],[Фикс 20.02.25]]+Д402[[#This Row],[Повышение 24.02.2025]]</f>
        <v>143757.1</v>
      </c>
      <c r="AE167" s="10"/>
      <c r="AF167" s="10">
        <f>Д402[[#This Row],[Фикс 24.02.25]]+Д402[[#This Row],[Повышение 05.03.2025
1К: до 40м - 1,5%, 40+ 0,5%
2К - 0,5% ]]</f>
        <v>143757.1</v>
      </c>
      <c r="AG167" s="10"/>
      <c r="AH167" s="10">
        <f>Д402[[#This Row],[Фикс 05.03.25]]+Д402[[#This Row],[повышение 14.03.25 1К-1%]]</f>
        <v>143757.1</v>
      </c>
      <c r="AI167" s="10"/>
      <c r="AJ167" s="10">
        <f>Д402[[#This Row],[Фикс 14.03.25]]+Д402[[#This Row],[повышение 28.03.25 1К-1%]]</f>
        <v>143757.1</v>
      </c>
      <c r="AK167" s="10"/>
      <c r="AL167" s="10">
        <f>Д402[[#This Row],[Фикс 28.03.25]]+Д402[[#This Row],[Повышение 23.07.25
1К 43-46м2 - 2%
2К 55-58 - 2%; 58-64 - 3%
3К 76-79 - 2%
]]</f>
        <v>143757.1</v>
      </c>
      <c r="AM167" s="164">
        <f>ROUND(Д402[[#This Row],[Фикс 23.07.25]],2)</f>
        <v>143757.1</v>
      </c>
      <c r="AN167" s="149">
        <f>ROUNDUP(Д402[[#This Row],[утв цена м2]]*Д402[[#This Row],[Расчетная проектная площадь]],-2)</f>
        <v>4230800</v>
      </c>
      <c r="AO167" s="151"/>
      <c r="AP167" s="152"/>
      <c r="AQ167" s="151">
        <f>Д402[[#This Row],[Стоимость до скидки]]*Д402[[#This Row],[Скидка %]]+Д402[[#This Row],[Скидка фиксированная]]</f>
        <v>0</v>
      </c>
      <c r="AR167" s="3">
        <f>Д402[[#This Row],[Стоимость ОН без отделки со скидкой]]/Д402[[#This Row],[Расчетная проектная площадь]]</f>
        <v>143758.06999660211</v>
      </c>
      <c r="AS167" s="3">
        <f>Д402[[#This Row],[Стоимость до скидки]]-Д402[[#This Row],[Итоговая сумма скидки]]</f>
        <v>4230800</v>
      </c>
      <c r="AT16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7" s="153"/>
      <c r="AV167" s="153"/>
      <c r="AW167" s="3">
        <f>Д402[[#This Row],[Цена м2 без отделки со скидкой]]+Д402[[#This Row],[Стоимость отделки]]</f>
        <v>143758.06999660211</v>
      </c>
      <c r="AX167" s="3">
        <f>Д402[[#This Row],[Стоимость квартиры с отделкой]]-Д402[[#This Row],[Стоимость ОН без отделки со скидкой]]</f>
        <v>0</v>
      </c>
      <c r="AY167" s="3">
        <f>Д402[[#This Row],[Цена м2 с отделкой]]*Д402[[#This Row],[Расчетная проектная площадь]]</f>
        <v>4230800</v>
      </c>
      <c r="AZ167" s="165"/>
      <c r="BA167" s="155" t="s">
        <v>12</v>
      </c>
      <c r="BB167" s="156" t="str" cm="1">
        <f t="array" ref="BB16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7" s="166" t="s">
        <v>738</v>
      </c>
      <c r="BD167" s="166" t="s">
        <v>739</v>
      </c>
      <c r="BE167" s="166" t="s">
        <v>737</v>
      </c>
      <c r="BF167" s="166" t="s">
        <v>743</v>
      </c>
      <c r="BG167" s="166" t="b">
        <f>EXACT(Д402[[#This Row],[Статусы CRM]],Д402[[#This Row],[Статус]])</f>
        <v>1</v>
      </c>
      <c r="BH167" s="3">
        <f>IF(Д402[[#This Row],[ПС]]=0,IF(Д402[[#This Row],[ДС]]=0,Д402[[#This Row],[ТС]],Д402[[#This Row],[ДС]]),Д402[[#This Row],[ПС]])</f>
        <v>4230800</v>
      </c>
      <c r="BI167" s="3">
        <v>4230800</v>
      </c>
      <c r="BJ167" s="3">
        <v>0</v>
      </c>
      <c r="BK167" s="3">
        <v>0</v>
      </c>
      <c r="BL167" s="274">
        <f>Д402[[#This Row],[Стоимость CRM]]-Д402[[#This Row],[Стоимость до скидки]]</f>
        <v>0</v>
      </c>
      <c r="BM167" s="166" t="s">
        <v>9</v>
      </c>
      <c r="BN167" s="166" t="b">
        <f>Д402[[#This Row],[Отделка CRM]]=Д402[[#This Row],[Отделка]]</f>
        <v>1</v>
      </c>
      <c r="BO167" s="275" t="s">
        <v>299</v>
      </c>
      <c r="BP167" s="69"/>
    </row>
    <row r="168" spans="1:68" ht="12" customHeight="1" x14ac:dyDescent="0.25">
      <c r="A168" s="140">
        <v>166</v>
      </c>
      <c r="B168" s="175">
        <v>2</v>
      </c>
      <c r="C168" s="141">
        <f t="shared" si="5"/>
        <v>11</v>
      </c>
      <c r="D168" s="142">
        <v>4</v>
      </c>
      <c r="E168" s="141">
        <v>0</v>
      </c>
      <c r="F168" s="143">
        <v>13.39</v>
      </c>
      <c r="G168" s="143"/>
      <c r="H168" s="143"/>
      <c r="I168" s="144">
        <f>SUM(Д402[[#This Row],[Комната 1]:[Комната 3]])</f>
        <v>13.39</v>
      </c>
      <c r="J168" s="145">
        <v>5.98</v>
      </c>
      <c r="K168" s="145">
        <v>4.47</v>
      </c>
      <c r="L168" s="145"/>
      <c r="M168" s="145">
        <v>4.08</v>
      </c>
      <c r="N168" s="145"/>
      <c r="O168" s="145"/>
      <c r="P168" s="146"/>
      <c r="Q168" s="146"/>
      <c r="R168" s="284">
        <f>SUM(Д402[[#This Row],[Лоджия 1]:[Лоджия 3]])</f>
        <v>0</v>
      </c>
      <c r="S168" s="10">
        <f>ROUND(SUM(Д402[[#This Row],[Площадь по проекту жилая]:[Лоджия 3]]),2)</f>
        <v>27.92</v>
      </c>
      <c r="T168" s="185">
        <f>ROUND(Д402[[#This Row],[Площадь по проекту(общая)]]-Д402[[#This Row],[Летние]],2)</f>
        <v>27.92</v>
      </c>
      <c r="U168" s="185">
        <f>ROUND(Д402[[#This Row],[Площадь по проекту(общая)]]-(SUM(Д402[[#This Row],[Лоджия 1]:[Лоджия 3]])/2),2)</f>
        <v>27.92</v>
      </c>
      <c r="V168" s="10">
        <f>VLOOKUP(Д402[[#This Row],[№]],наценка7[],COLUMN(наценка7[[#This Row],[Цена м2 с учетом всех K]]),0)</f>
        <v>142524.6</v>
      </c>
      <c r="W168" s="163"/>
      <c r="X168" s="10">
        <f>Д402[[#This Row],[м2 после К]]+Д402[[#This Row],[02.12.2024]]</f>
        <v>142524.6</v>
      </c>
      <c r="Y168" s="149">
        <v>1000</v>
      </c>
      <c r="Z168" s="10">
        <f>Д402[[#This Row],[Фикс 20.12.24]]+Д402[[#This Row],[23.12.24 СП +1000]]</f>
        <v>143524.6</v>
      </c>
      <c r="AA168" s="149">
        <v>215</v>
      </c>
      <c r="AB168" s="10">
        <f>Д402[[#This Row],[Фикс 23.12.24]]+Д402[[#This Row],[Повышение 20.02.25]]</f>
        <v>143739.6</v>
      </c>
      <c r="AC168" s="149">
        <v>17.5</v>
      </c>
      <c r="AD168" s="10">
        <f>Д402[[#This Row],[Фикс 20.02.25]]+Д402[[#This Row],[Повышение 24.02.2025]]</f>
        <v>143757.1</v>
      </c>
      <c r="AE168" s="10"/>
      <c r="AF168" s="10">
        <f>Д402[[#This Row],[Фикс 24.02.25]]+Д402[[#This Row],[Повышение 05.03.2025
1К: до 40м - 1,5%, 40+ 0,5%
2К - 0,5% ]]</f>
        <v>143757.1</v>
      </c>
      <c r="AG168" s="10"/>
      <c r="AH168" s="10">
        <f>Д402[[#This Row],[Фикс 05.03.25]]+Д402[[#This Row],[повышение 14.03.25 1К-1%]]</f>
        <v>143757.1</v>
      </c>
      <c r="AI168" s="10"/>
      <c r="AJ168" s="10">
        <f>Д402[[#This Row],[Фикс 14.03.25]]+Д402[[#This Row],[повышение 28.03.25 1К-1%]]</f>
        <v>143757.1</v>
      </c>
      <c r="AK168" s="10"/>
      <c r="AL168" s="10">
        <f>Д402[[#This Row],[Фикс 28.03.25]]+Д402[[#This Row],[Повышение 23.07.25
1К 43-46м2 - 2%
2К 55-58 - 2%; 58-64 - 3%
3К 76-79 - 2%
]]</f>
        <v>143757.1</v>
      </c>
      <c r="AM168" s="164">
        <f>ROUND(Д402[[#This Row],[Фикс 23.07.25]],2)</f>
        <v>143757.1</v>
      </c>
      <c r="AN168" s="149">
        <f>ROUNDUP(Д402[[#This Row],[утв цена м2]]*Д402[[#This Row],[Расчетная проектная площадь]],-2)</f>
        <v>4013700</v>
      </c>
      <c r="AO168" s="151"/>
      <c r="AP168" s="152"/>
      <c r="AQ168" s="151">
        <f>Д402[[#This Row],[Стоимость до скидки]]*Д402[[#This Row],[Скидка %]]+Д402[[#This Row],[Скидка фиксированная]]</f>
        <v>0</v>
      </c>
      <c r="AR168" s="3">
        <f>Д402[[#This Row],[Стоимость ОН без отделки со скидкой]]/Д402[[#This Row],[Расчетная проектная площадь]]</f>
        <v>143757.16332378224</v>
      </c>
      <c r="AS168" s="3">
        <f>Д402[[#This Row],[Стоимость до скидки]]-Д402[[#This Row],[Итоговая сумма скидки]]</f>
        <v>4013700</v>
      </c>
      <c r="AT16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68" s="153"/>
      <c r="AV168" s="153"/>
      <c r="AW168" s="3">
        <f>Д402[[#This Row],[Цена м2 без отделки со скидкой]]+Д402[[#This Row],[Стоимость отделки]]</f>
        <v>143757.16332378224</v>
      </c>
      <c r="AX168" s="3">
        <f>Д402[[#This Row],[Стоимость квартиры с отделкой]]-Д402[[#This Row],[Стоимость ОН без отделки со скидкой]]</f>
        <v>0</v>
      </c>
      <c r="AY168" s="3">
        <f>Д402[[#This Row],[Цена м2 с отделкой]]*Д402[[#This Row],[Расчетная проектная площадь]]</f>
        <v>4013700.0000000005</v>
      </c>
      <c r="AZ168" s="165"/>
      <c r="BA168" s="155" t="s">
        <v>12</v>
      </c>
      <c r="BB168" s="156" t="str" cm="1">
        <f t="array" ref="BB16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68" s="166" t="s">
        <v>738</v>
      </c>
      <c r="BD168" s="166" t="s">
        <v>739</v>
      </c>
      <c r="BE168" s="166" t="s">
        <v>737</v>
      </c>
      <c r="BF168" s="166" t="s">
        <v>743</v>
      </c>
      <c r="BG168" s="166" t="b">
        <f>EXACT(Д402[[#This Row],[Статусы CRM]],Д402[[#This Row],[Статус]])</f>
        <v>1</v>
      </c>
      <c r="BH168" s="3">
        <f>IF(Д402[[#This Row],[ПС]]=0,IF(Д402[[#This Row],[ДС]]=0,Д402[[#This Row],[ТС]],Д402[[#This Row],[ДС]]),Д402[[#This Row],[ПС]])</f>
        <v>4013700</v>
      </c>
      <c r="BI168" s="3">
        <v>4013700</v>
      </c>
      <c r="BJ168" s="3">
        <v>0</v>
      </c>
      <c r="BK168" s="3">
        <v>0</v>
      </c>
      <c r="BL168" s="274">
        <f>Д402[[#This Row],[Стоимость CRM]]-Д402[[#This Row],[Стоимость до скидки]]</f>
        <v>0</v>
      </c>
      <c r="BM168" s="166" t="s">
        <v>9</v>
      </c>
      <c r="BN168" s="166" t="b">
        <f>Д402[[#This Row],[Отделка CRM]]=Д402[[#This Row],[Отделка]]</f>
        <v>1</v>
      </c>
      <c r="BO168" s="275" t="s">
        <v>300</v>
      </c>
      <c r="BP168" s="69"/>
    </row>
    <row r="169" spans="1:68" ht="12" customHeight="1" x14ac:dyDescent="0.25">
      <c r="A169" s="140">
        <v>167</v>
      </c>
      <c r="B169" s="175">
        <v>2</v>
      </c>
      <c r="C169" s="141">
        <f t="shared" si="5"/>
        <v>11</v>
      </c>
      <c r="D169" s="142">
        <v>5</v>
      </c>
      <c r="E169" s="141">
        <v>2</v>
      </c>
      <c r="F169" s="143">
        <v>16.579999999999998</v>
      </c>
      <c r="G169" s="143">
        <v>14.14</v>
      </c>
      <c r="H169" s="143"/>
      <c r="I169" s="144">
        <f>SUM(Д402[[#This Row],[Комната 1]:[Комната 3]])</f>
        <v>30.72</v>
      </c>
      <c r="J169" s="145">
        <v>12.38</v>
      </c>
      <c r="K169" s="145">
        <v>4.07</v>
      </c>
      <c r="L169" s="145"/>
      <c r="M169" s="145">
        <v>7.61</v>
      </c>
      <c r="N169" s="145">
        <v>7.03</v>
      </c>
      <c r="O169" s="145">
        <v>3.11</v>
      </c>
      <c r="P169" s="146"/>
      <c r="Q169" s="146"/>
      <c r="R169" s="284">
        <f>SUM(Д402[[#This Row],[Лоджия 1]:[Лоджия 3]])</f>
        <v>3.11</v>
      </c>
      <c r="S169" s="10">
        <f>ROUND(SUM(Д402[[#This Row],[Площадь по проекту жилая]:[Лоджия 3]]),2)</f>
        <v>64.92</v>
      </c>
      <c r="T169" s="185">
        <f>ROUND(Д402[[#This Row],[Площадь по проекту(общая)]]-Д402[[#This Row],[Летние]],2)</f>
        <v>61.81</v>
      </c>
      <c r="U169" s="185">
        <f>ROUND(Д402[[#This Row],[Площадь по проекту(общая)]]-(SUM(Д402[[#This Row],[Лоджия 1]:[Лоджия 3]])/2),2)</f>
        <v>63.37</v>
      </c>
      <c r="V169" s="10">
        <f>VLOOKUP(Д402[[#This Row],[№]],наценка7[],COLUMN(наценка7[[#This Row],[Цена м2 с учетом всех K]]),0)</f>
        <v>122072.4</v>
      </c>
      <c r="W169" s="162">
        <v>-7000</v>
      </c>
      <c r="X169" s="10">
        <f>Д402[[#This Row],[м2 после К]]+Д402[[#This Row],[02.12.2024]]</f>
        <v>115072.4</v>
      </c>
      <c r="Y169" s="149">
        <v>1000</v>
      </c>
      <c r="Z169" s="10">
        <f>Д402[[#This Row],[Фикс 20.12.24]]+Д402[[#This Row],[23.12.24 СП +1000]]</f>
        <v>116072.4</v>
      </c>
      <c r="AA169" s="149">
        <v>215</v>
      </c>
      <c r="AB169" s="10">
        <f>Д402[[#This Row],[Фикс 23.12.24]]+Д402[[#This Row],[Повышение 20.02.25]]</f>
        <v>116287.4</v>
      </c>
      <c r="AC169" s="149">
        <v>17.5</v>
      </c>
      <c r="AD169" s="10">
        <f>Д402[[#This Row],[Фикс 20.02.25]]+Д402[[#This Row],[Повышение 24.02.2025]]</f>
        <v>116304.9</v>
      </c>
      <c r="AE169" s="149">
        <f>Д402[[#This Row],[Фикс 24.02.25]]*0.5%</f>
        <v>581.52449999999999</v>
      </c>
      <c r="AF169" s="10">
        <f>Д402[[#This Row],[Фикс 24.02.25]]+Д402[[#This Row],[Повышение 05.03.2025
1К: до 40м - 1,5%, 40+ 0,5%
2К - 0,5% ]]</f>
        <v>116886.42449999999</v>
      </c>
      <c r="AG169" s="10"/>
      <c r="AH169" s="10">
        <f>Д402[[#This Row],[Фикс 05.03.25]]+Д402[[#This Row],[повышение 14.03.25 1К-1%]]</f>
        <v>116886.42449999999</v>
      </c>
      <c r="AI169" s="10"/>
      <c r="AJ169" s="10">
        <f>Д402[[#This Row],[Фикс 14.03.25]]+Д402[[#This Row],[повышение 28.03.25 1К-1%]]</f>
        <v>116886.42449999999</v>
      </c>
      <c r="AK169" s="10">
        <f>Д402[[#This Row],[Фикс 28.03.25]]*3%</f>
        <v>3506.5927349999997</v>
      </c>
      <c r="AL169" s="10">
        <f>Д402[[#This Row],[Фикс 28.03.25]]+Д402[[#This Row],[Повышение 23.07.25
1К 43-46м2 - 2%
2К 55-58 - 2%; 58-64 - 3%
3К 76-79 - 2%
]]</f>
        <v>120393.01723499999</v>
      </c>
      <c r="AM169" s="164">
        <f>ROUND(Д402[[#This Row],[Фикс 23.07.25]],2)</f>
        <v>120393.02</v>
      </c>
      <c r="AN169" s="149">
        <f>ROUNDUP(Д402[[#This Row],[утв цена м2]]*Д402[[#This Row],[Расчетная проектная площадь]],-2)</f>
        <v>7629400</v>
      </c>
      <c r="AO169" s="151"/>
      <c r="AP169" s="152"/>
      <c r="AQ169" s="151">
        <f>Д402[[#This Row],[Стоимость до скидки]]*Д402[[#This Row],[Скидка %]]+Д402[[#This Row],[Скидка фиксированная]]</f>
        <v>0</v>
      </c>
      <c r="AR169" s="3">
        <f>Д402[[#This Row],[Стоимость ОН без отделки со скидкой]]/Д402[[#This Row],[Расчетная проектная площадь]]</f>
        <v>120394.50844248067</v>
      </c>
      <c r="AS169" s="3">
        <f>Д402[[#This Row],[Стоимость до скидки]]-Д402[[#This Row],[Итоговая сумма скидки]]</f>
        <v>7629400</v>
      </c>
      <c r="AT16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69" s="153">
        <v>30000</v>
      </c>
      <c r="AV169" s="153" t="s">
        <v>722</v>
      </c>
      <c r="AW169" s="3">
        <f>Д402[[#This Row],[Цена м2 без отделки со скидкой]]+Д402[[#This Row],[Стоимость отделки]]</f>
        <v>150394.50844248067</v>
      </c>
      <c r="AX169" s="3">
        <f>Д402[[#This Row],[Стоимость квартиры с отделкой]]-Д402[[#This Row],[Стоимость ОН без отделки со скидкой]]</f>
        <v>1901100</v>
      </c>
      <c r="AY169" s="3">
        <f>Д402[[#This Row],[Цена м2 с отделкой]]*Д402[[#This Row],[Расчетная проектная площадь]]</f>
        <v>9530500</v>
      </c>
      <c r="AZ169" s="165"/>
      <c r="BA169" s="269" t="s">
        <v>128</v>
      </c>
      <c r="BB169" s="269" t="str" cm="1">
        <f t="array" ref="BB16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69" s="166" t="s">
        <v>740</v>
      </c>
      <c r="BD169" s="166" t="s">
        <v>506</v>
      </c>
      <c r="BE169" s="166" t="s">
        <v>737</v>
      </c>
      <c r="BF169" s="166" t="s">
        <v>747</v>
      </c>
      <c r="BG169" s="166" t="b">
        <f>EXACT(Д402[[#This Row],[Статусы CRM]],Д402[[#This Row],[Статус]])</f>
        <v>1</v>
      </c>
      <c r="BH169" s="3">
        <f>IF(Д402[[#This Row],[ПС]]=0,IF(Д402[[#This Row],[ДС]]=0,Д402[[#This Row],[ТС]],Д402[[#This Row],[ДС]]),Д402[[#This Row],[ПС]])</f>
        <v>7629400</v>
      </c>
      <c r="BI169" s="3">
        <v>7629400</v>
      </c>
      <c r="BJ169" s="3">
        <v>0</v>
      </c>
      <c r="BK169" s="3">
        <v>0</v>
      </c>
      <c r="BL169" s="274">
        <f>Д402[[#This Row],[Стоимость CRM]]-Д402[[#This Row],[Стоимость до скидки]]</f>
        <v>0</v>
      </c>
      <c r="BM169" s="166" t="s">
        <v>11</v>
      </c>
      <c r="BN169" s="166" t="b">
        <f>Д402[[#This Row],[Отделка CRM]]=Д402[[#This Row],[Отделка]]</f>
        <v>1</v>
      </c>
      <c r="BO169" s="275" t="s">
        <v>301</v>
      </c>
      <c r="BP169" s="69"/>
    </row>
    <row r="170" spans="1:68" ht="12" customHeight="1" x14ac:dyDescent="0.25">
      <c r="A170" s="140">
        <v>168</v>
      </c>
      <c r="B170" s="175">
        <v>2</v>
      </c>
      <c r="C170" s="141">
        <f t="shared" si="5"/>
        <v>11</v>
      </c>
      <c r="D170" s="142">
        <v>6</v>
      </c>
      <c r="E170" s="141">
        <v>2</v>
      </c>
      <c r="F170" s="143">
        <v>17.73</v>
      </c>
      <c r="G170" s="143">
        <v>12.22</v>
      </c>
      <c r="H170" s="143"/>
      <c r="I170" s="144">
        <f>SUM(Д402[[#This Row],[Комната 1]:[Комната 3]])</f>
        <v>29.950000000000003</v>
      </c>
      <c r="J170" s="145">
        <v>13.65</v>
      </c>
      <c r="K170" s="145">
        <v>5.15</v>
      </c>
      <c r="L170" s="145">
        <v>2.5</v>
      </c>
      <c r="M170" s="145">
        <v>8.06</v>
      </c>
      <c r="N170" s="145"/>
      <c r="O170" s="145">
        <v>3.11</v>
      </c>
      <c r="P170" s="146"/>
      <c r="Q170" s="146"/>
      <c r="R170" s="284">
        <f>SUM(Д402[[#This Row],[Лоджия 1]:[Лоджия 3]])</f>
        <v>3.11</v>
      </c>
      <c r="S170" s="10">
        <f>ROUND(SUM(Д402[[#This Row],[Площадь по проекту жилая]:[Лоджия 3]]),2)</f>
        <v>62.42</v>
      </c>
      <c r="T170" s="185">
        <f>ROUND(Д402[[#This Row],[Площадь по проекту(общая)]]-Д402[[#This Row],[Летние]],2)</f>
        <v>59.31</v>
      </c>
      <c r="U170" s="185">
        <f>ROUND(Д402[[#This Row],[Площадь по проекту(общая)]]-(SUM(Д402[[#This Row],[Лоджия 1]:[Лоджия 3]])/2),2)</f>
        <v>60.87</v>
      </c>
      <c r="V170" s="10">
        <f>VLOOKUP(Д402[[#This Row],[№]],наценка7[],COLUMN(наценка7[[#This Row],[Цена м2 с учетом всех K]]),0)</f>
        <v>126593.60000000001</v>
      </c>
      <c r="W170" s="162">
        <v>-10000</v>
      </c>
      <c r="X170" s="10">
        <f>Д402[[#This Row],[м2 после К]]+Д402[[#This Row],[02.12.2024]]</f>
        <v>116593.60000000001</v>
      </c>
      <c r="Y170" s="149">
        <v>1000</v>
      </c>
      <c r="Z170" s="10">
        <f>Д402[[#This Row],[Фикс 20.12.24]]+Д402[[#This Row],[23.12.24 СП +1000]]</f>
        <v>117593.60000000001</v>
      </c>
      <c r="AA170" s="149">
        <v>215</v>
      </c>
      <c r="AB170" s="10">
        <f>Д402[[#This Row],[Фикс 23.12.24]]+Д402[[#This Row],[Повышение 20.02.25]]</f>
        <v>117808.6</v>
      </c>
      <c r="AC170" s="149">
        <v>17.5</v>
      </c>
      <c r="AD170" s="10">
        <f>Д402[[#This Row],[Фикс 20.02.25]]+Д402[[#This Row],[Повышение 24.02.2025]]</f>
        <v>117826.1</v>
      </c>
      <c r="AE170" s="149">
        <f>Д402[[#This Row],[Фикс 24.02.25]]*0.5%</f>
        <v>589.1305000000001</v>
      </c>
      <c r="AF170" s="10">
        <f>Д402[[#This Row],[Фикс 24.02.25]]+Д402[[#This Row],[Повышение 05.03.2025
1К: до 40м - 1,5%, 40+ 0,5%
2К - 0,5% ]]</f>
        <v>118415.23050000001</v>
      </c>
      <c r="AG170" s="10"/>
      <c r="AH170" s="10">
        <f>Д402[[#This Row],[Фикс 05.03.25]]+Д402[[#This Row],[повышение 14.03.25 1К-1%]]</f>
        <v>118415.23050000001</v>
      </c>
      <c r="AI170" s="10"/>
      <c r="AJ170" s="10">
        <f>Д402[[#This Row],[Фикс 14.03.25]]+Д402[[#This Row],[повышение 28.03.25 1К-1%]]</f>
        <v>118415.23050000001</v>
      </c>
      <c r="AK170" s="10">
        <f>Д402[[#This Row],[Фикс 28.03.25]]*3%</f>
        <v>3552.4569150000002</v>
      </c>
      <c r="AL170" s="10">
        <f>Д402[[#This Row],[Фикс 28.03.25]]+Д402[[#This Row],[Повышение 23.07.25
1К 43-46м2 - 2%
2К 55-58 - 2%; 58-64 - 3%
3К 76-79 - 2%
]]</f>
        <v>121967.68741500001</v>
      </c>
      <c r="AM170" s="164">
        <f>ROUND(Д402[[#This Row],[Фикс 23.07.25]],2)</f>
        <v>121967.69</v>
      </c>
      <c r="AN170" s="149">
        <f>ROUNDUP(Д402[[#This Row],[утв цена м2]]*Д402[[#This Row],[Расчетная проектная площадь]],-2)</f>
        <v>7424200</v>
      </c>
      <c r="AO170" s="151"/>
      <c r="AP170" s="152"/>
      <c r="AQ170" s="151">
        <f>Д402[[#This Row],[Стоимость до скидки]]*Д402[[#This Row],[Скидка %]]+Д402[[#This Row],[Скидка фиксированная]]</f>
        <v>0</v>
      </c>
      <c r="AR170" s="3">
        <f>Д402[[#This Row],[Стоимость ОН без отделки со скидкой]]/Д402[[#This Row],[Расчетная проектная площадь]]</f>
        <v>121968.12879908</v>
      </c>
      <c r="AS170" s="3">
        <f>Д402[[#This Row],[Стоимость до скидки]]-Д402[[#This Row],[Итоговая сумма скидки]]</f>
        <v>7424200</v>
      </c>
      <c r="AT17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0" s="153"/>
      <c r="AV170" s="153"/>
      <c r="AW170" s="3">
        <f>Д402[[#This Row],[Цена м2 без отделки со скидкой]]+Д402[[#This Row],[Стоимость отделки]]</f>
        <v>121968.12879908</v>
      </c>
      <c r="AX170" s="3">
        <f>Д402[[#This Row],[Стоимость квартиры с отделкой]]-Д402[[#This Row],[Стоимость ОН без отделки со скидкой]]</f>
        <v>0</v>
      </c>
      <c r="AY170" s="3">
        <f>Д402[[#This Row],[Цена м2 с отделкой]]*Д402[[#This Row],[Расчетная проектная площадь]]</f>
        <v>7424200</v>
      </c>
      <c r="AZ170" s="165"/>
      <c r="BA170" s="269" t="s">
        <v>12</v>
      </c>
      <c r="BB170" s="269" t="str" cm="1">
        <f t="array" ref="BB17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0" s="166" t="s">
        <v>738</v>
      </c>
      <c r="BD170" s="166" t="s">
        <v>739</v>
      </c>
      <c r="BE170" s="166" t="s">
        <v>737</v>
      </c>
      <c r="BF170" s="166" t="s">
        <v>747</v>
      </c>
      <c r="BG170" s="166" t="b">
        <f>EXACT(Д402[[#This Row],[Статусы CRM]],Д402[[#This Row],[Статус]])</f>
        <v>1</v>
      </c>
      <c r="BH170" s="3">
        <f>IF(Д402[[#This Row],[ПС]]=0,IF(Д402[[#This Row],[ДС]]=0,Д402[[#This Row],[ТС]],Д402[[#This Row],[ДС]]),Д402[[#This Row],[ПС]])</f>
        <v>7424200</v>
      </c>
      <c r="BI170" s="3">
        <v>7424200</v>
      </c>
      <c r="BJ170" s="3">
        <v>0</v>
      </c>
      <c r="BK170" s="3">
        <v>0</v>
      </c>
      <c r="BL170" s="274">
        <f>Д402[[#This Row],[Стоимость CRM]]-Д402[[#This Row],[Стоимость до скидки]]</f>
        <v>0</v>
      </c>
      <c r="BM170" s="166" t="s">
        <v>9</v>
      </c>
      <c r="BN170" s="166" t="b">
        <f>Д402[[#This Row],[Отделка CRM]]=Д402[[#This Row],[Отделка]]</f>
        <v>1</v>
      </c>
      <c r="BO170" s="275" t="s">
        <v>302</v>
      </c>
      <c r="BP170" s="69"/>
    </row>
    <row r="171" spans="1:68" ht="12" customHeight="1" x14ac:dyDescent="0.25">
      <c r="A171" s="140">
        <v>169</v>
      </c>
      <c r="B171" s="175">
        <v>2</v>
      </c>
      <c r="C171" s="141">
        <f t="shared" si="5"/>
        <v>12</v>
      </c>
      <c r="D171" s="142">
        <v>1</v>
      </c>
      <c r="E171" s="141">
        <v>2</v>
      </c>
      <c r="F171" s="143">
        <v>17.579999999999998</v>
      </c>
      <c r="G171" s="143">
        <v>14.37</v>
      </c>
      <c r="H171" s="143"/>
      <c r="I171" s="144">
        <f>SUM(Д402[[#This Row],[Комната 1]:[Комната 3]])</f>
        <v>31.949999999999996</v>
      </c>
      <c r="J171" s="145">
        <v>14.29</v>
      </c>
      <c r="K171" s="145">
        <v>4.45</v>
      </c>
      <c r="L171" s="145"/>
      <c r="M171" s="145">
        <v>8.64</v>
      </c>
      <c r="N171" s="145">
        <v>4.76</v>
      </c>
      <c r="O171" s="145">
        <v>3.11</v>
      </c>
      <c r="P171" s="146"/>
      <c r="Q171" s="146"/>
      <c r="R171" s="284">
        <f>SUM(Д402[[#This Row],[Лоджия 1]:[Лоджия 3]])</f>
        <v>3.11</v>
      </c>
      <c r="S171" s="10">
        <f>ROUND(SUM(Д402[[#This Row],[Площадь по проекту жилая]:[Лоджия 3]]),2)</f>
        <v>67.2</v>
      </c>
      <c r="T171" s="185">
        <f>ROUND(Д402[[#This Row],[Площадь по проекту(общая)]]-Д402[[#This Row],[Летние]],2)</f>
        <v>64.09</v>
      </c>
      <c r="U171" s="185">
        <f>ROUND(Д402[[#This Row],[Площадь по проекту(общая)]]-(SUM(Д402[[#This Row],[Лоджия 1]:[Лоджия 3]])/2),2)</f>
        <v>65.650000000000006</v>
      </c>
      <c r="V171" s="10">
        <f>VLOOKUP(Д402[[#This Row],[№]],наценка7[],COLUMN(наценка7[[#This Row],[Цена м2 с учетом всех K]]),0)</f>
        <v>119811.8</v>
      </c>
      <c r="W171" s="163"/>
      <c r="X171" s="10">
        <f>Д402[[#This Row],[м2 после К]]+Д402[[#This Row],[02.12.2024]]</f>
        <v>119811.8</v>
      </c>
      <c r="Y171" s="149">
        <v>1000</v>
      </c>
      <c r="Z171" s="10">
        <f>Д402[[#This Row],[Фикс 20.12.24]]+Д402[[#This Row],[23.12.24 СП +1000]]</f>
        <v>120811.8</v>
      </c>
      <c r="AA171" s="149">
        <v>215</v>
      </c>
      <c r="AB171" s="10">
        <f>Д402[[#This Row],[Фикс 23.12.24]]+Д402[[#This Row],[Повышение 20.02.25]]</f>
        <v>121026.8</v>
      </c>
      <c r="AC171" s="149">
        <v>17.5</v>
      </c>
      <c r="AD171" s="10">
        <f>Д402[[#This Row],[Фикс 20.02.25]]+Д402[[#This Row],[Повышение 24.02.2025]]</f>
        <v>121044.3</v>
      </c>
      <c r="AE171" s="149">
        <f>Д402[[#This Row],[Фикс 24.02.25]]*0.5%</f>
        <v>605.22149999999999</v>
      </c>
      <c r="AF171" s="10">
        <f>Д402[[#This Row],[Фикс 24.02.25]]+Д402[[#This Row],[Повышение 05.03.2025
1К: до 40м - 1,5%, 40+ 0,5%
2К - 0,5% ]]</f>
        <v>121649.5215</v>
      </c>
      <c r="AG171" s="10"/>
      <c r="AH171" s="10">
        <f>Д402[[#This Row],[Фикс 05.03.25]]+Д402[[#This Row],[повышение 14.03.25 1К-1%]]</f>
        <v>121649.5215</v>
      </c>
      <c r="AI171" s="10"/>
      <c r="AJ171" s="10">
        <f>Д402[[#This Row],[Фикс 14.03.25]]+Д402[[#This Row],[повышение 28.03.25 1К-1%]]</f>
        <v>121649.5215</v>
      </c>
      <c r="AK171" s="10"/>
      <c r="AL171" s="10">
        <f>Д402[[#This Row],[Фикс 28.03.25]]+Д402[[#This Row],[Повышение 23.07.25
1К 43-46м2 - 2%
2К 55-58 - 2%; 58-64 - 3%
3К 76-79 - 2%
]]</f>
        <v>121649.5215</v>
      </c>
      <c r="AM171" s="164">
        <f>ROUND(Д402[[#This Row],[Фикс 23.07.25]],2)</f>
        <v>121649.52</v>
      </c>
      <c r="AN171" s="149">
        <f>ROUNDUP(Д402[[#This Row],[утв цена м2]]*Д402[[#This Row],[Расчетная проектная площадь]],-2)</f>
        <v>7986300</v>
      </c>
      <c r="AO171" s="151"/>
      <c r="AP171" s="152"/>
      <c r="AQ171" s="151">
        <f>Д402[[#This Row],[Стоимость до скидки]]*Д402[[#This Row],[Скидка %]]+Д402[[#This Row],[Скидка фиксированная]]</f>
        <v>0</v>
      </c>
      <c r="AR171" s="3">
        <f>Д402[[#This Row],[Стоимость ОН без отделки со скидкой]]/Д402[[#This Row],[Расчетная проектная площадь]]</f>
        <v>121649.65727341964</v>
      </c>
      <c r="AS171" s="3">
        <f>Д402[[#This Row],[Стоимость до скидки]]-Д402[[#This Row],[Итоговая сумма скидки]]</f>
        <v>7986300</v>
      </c>
      <c r="AT17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71" s="153">
        <v>30000</v>
      </c>
      <c r="AV171" s="153" t="s">
        <v>722</v>
      </c>
      <c r="AW171" s="3">
        <f>Д402[[#This Row],[Цена м2 без отделки со скидкой]]+Д402[[#This Row],[Стоимость отделки]]</f>
        <v>151649.65727341964</v>
      </c>
      <c r="AX171" s="3">
        <f>Д402[[#This Row],[Стоимость квартиры с отделкой]]-Д402[[#This Row],[Стоимость ОН без отделки со скидкой]]</f>
        <v>1969500</v>
      </c>
      <c r="AY171" s="3">
        <f>Д402[[#This Row],[Цена м2 с отделкой]]*Д402[[#This Row],[Расчетная проектная площадь]]</f>
        <v>9955800</v>
      </c>
      <c r="AZ171" s="165"/>
      <c r="BA171" s="155" t="s">
        <v>12</v>
      </c>
      <c r="BB171" s="156" t="str" cm="1">
        <f t="array" ref="BB17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1" s="166" t="s">
        <v>738</v>
      </c>
      <c r="BD171" s="166" t="s">
        <v>739</v>
      </c>
      <c r="BE171" s="166" t="s">
        <v>737</v>
      </c>
      <c r="BF171" s="166" t="s">
        <v>744</v>
      </c>
      <c r="BG171" s="166" t="b">
        <f>EXACT(Д402[[#This Row],[Статусы CRM]],Д402[[#This Row],[Статус]])</f>
        <v>1</v>
      </c>
      <c r="BH171" s="3">
        <f>IF(Д402[[#This Row],[ПС]]=0,IF(Д402[[#This Row],[ДС]]=0,Д402[[#This Row],[ТС]],Д402[[#This Row],[ДС]]),Д402[[#This Row],[ПС]])</f>
        <v>7986300</v>
      </c>
      <c r="BI171" s="3">
        <v>7986300</v>
      </c>
      <c r="BJ171" s="3">
        <v>0</v>
      </c>
      <c r="BK171" s="3">
        <v>0</v>
      </c>
      <c r="BL171" s="274">
        <f>Д402[[#This Row],[Стоимость CRM]]-Д402[[#This Row],[Стоимость до скидки]]</f>
        <v>0</v>
      </c>
      <c r="BM171" s="166" t="s">
        <v>11</v>
      </c>
      <c r="BN171" s="166" t="b">
        <f>Д402[[#This Row],[Отделка CRM]]=Д402[[#This Row],[Отделка]]</f>
        <v>1</v>
      </c>
      <c r="BO171" s="275" t="s">
        <v>303</v>
      </c>
      <c r="BP171" s="69"/>
    </row>
    <row r="172" spans="1:68" ht="12" customHeight="1" x14ac:dyDescent="0.25">
      <c r="A172" s="140">
        <v>170</v>
      </c>
      <c r="B172" s="175">
        <v>2</v>
      </c>
      <c r="C172" s="141">
        <f t="shared" si="5"/>
        <v>12</v>
      </c>
      <c r="D172" s="142">
        <v>2</v>
      </c>
      <c r="E172" s="141">
        <v>1</v>
      </c>
      <c r="F172" s="143">
        <v>14.77</v>
      </c>
      <c r="G172" s="143"/>
      <c r="H172" s="143"/>
      <c r="I172" s="144">
        <f>SUM(Д402[[#This Row],[Комната 1]:[Комната 3]])</f>
        <v>14.77</v>
      </c>
      <c r="J172" s="145">
        <v>11.88</v>
      </c>
      <c r="K172" s="145">
        <v>4.07</v>
      </c>
      <c r="L172" s="145"/>
      <c r="M172" s="145">
        <v>4.28</v>
      </c>
      <c r="N172" s="145"/>
      <c r="O172" s="145">
        <v>3.11</v>
      </c>
      <c r="P172" s="146"/>
      <c r="Q172" s="146"/>
      <c r="R172" s="284">
        <f>SUM(Д402[[#This Row],[Лоджия 1]:[Лоджия 3]])</f>
        <v>3.11</v>
      </c>
      <c r="S172" s="10">
        <f>ROUND(SUM(Д402[[#This Row],[Площадь по проекту жилая]:[Лоджия 3]]),2)</f>
        <v>38.11</v>
      </c>
      <c r="T172" s="185">
        <f>ROUND(Д402[[#This Row],[Площадь по проекту(общая)]]-Д402[[#This Row],[Летние]],2)</f>
        <v>35</v>
      </c>
      <c r="U172" s="185">
        <f>ROUND(Д402[[#This Row],[Площадь по проекту(общая)]]-(SUM(Д402[[#This Row],[Лоджия 1]:[Лоджия 3]])/2),2)</f>
        <v>36.56</v>
      </c>
      <c r="V172" s="10">
        <f>VLOOKUP(Д402[[#This Row],[№]],наценка7[],COLUMN(наценка7[[#This Row],[Цена м2 с учетом всех K]]),0)</f>
        <v>125223</v>
      </c>
      <c r="W172" s="163"/>
      <c r="X172" s="10">
        <f>Д402[[#This Row],[м2 после К]]+Д402[[#This Row],[02.12.2024]]</f>
        <v>125223</v>
      </c>
      <c r="Y172" s="149">
        <v>1000</v>
      </c>
      <c r="Z172" s="10">
        <f>Д402[[#This Row],[Фикс 20.12.24]]+Д402[[#This Row],[23.12.24 СП +1000]]</f>
        <v>126223</v>
      </c>
      <c r="AA172" s="149">
        <v>215</v>
      </c>
      <c r="AB172" s="10">
        <f>Д402[[#This Row],[Фикс 23.12.24]]+Д402[[#This Row],[Повышение 20.02.25]]</f>
        <v>126438</v>
      </c>
      <c r="AC172" s="149">
        <v>17.5</v>
      </c>
      <c r="AD172" s="10">
        <f>Д402[[#This Row],[Фикс 20.02.25]]+Д402[[#This Row],[Повышение 24.02.2025]]</f>
        <v>126455.5</v>
      </c>
      <c r="AE172" s="149">
        <f>Д402[[#This Row],[Фикс 24.02.25]]*1.5%</f>
        <v>1896.8325</v>
      </c>
      <c r="AF172" s="10">
        <f>Д402[[#This Row],[Фикс 24.02.25]]+Д402[[#This Row],[Повышение 05.03.2025
1К: до 40м - 1,5%, 40+ 0,5%
2К - 0,5% ]]</f>
        <v>128352.3325</v>
      </c>
      <c r="AG172" s="149">
        <f>Д402[[#This Row],[Фикс 05.03.25]]*1%</f>
        <v>1283.5233250000001</v>
      </c>
      <c r="AH172" s="10">
        <f>Д402[[#This Row],[Фикс 05.03.25]]+Д402[[#This Row],[повышение 14.03.25 1К-1%]]</f>
        <v>129635.85582500001</v>
      </c>
      <c r="AI172" s="149">
        <f>Д402[[#This Row],[Фикс 14.03.25]]*1%</f>
        <v>1296.35855825</v>
      </c>
      <c r="AJ172" s="10">
        <f>Д402[[#This Row],[Фикс 14.03.25]]+Д402[[#This Row],[повышение 28.03.25 1К-1%]]</f>
        <v>130932.21438325</v>
      </c>
      <c r="AK172" s="10"/>
      <c r="AL172" s="10">
        <f>Д402[[#This Row],[Фикс 28.03.25]]+Д402[[#This Row],[Повышение 23.07.25
1К 43-46м2 - 2%
2К 55-58 - 2%; 58-64 - 3%
3К 76-79 - 2%
]]</f>
        <v>130932.21438325</v>
      </c>
      <c r="AM172" s="164">
        <f>ROUND(Д402[[#This Row],[Фикс 23.07.25]],2)</f>
        <v>130932.21</v>
      </c>
      <c r="AN172" s="149">
        <f>ROUNDUP(Д402[[#This Row],[утв цена м2]]*Д402[[#This Row],[Расчетная проектная площадь]],-2)</f>
        <v>4786900</v>
      </c>
      <c r="AO172" s="151"/>
      <c r="AP172" s="152"/>
      <c r="AQ172" s="151">
        <f>Д402[[#This Row],[Стоимость до скидки]]*Д402[[#This Row],[Скидка %]]+Д402[[#This Row],[Скидка фиксированная]]</f>
        <v>0</v>
      </c>
      <c r="AR172" s="3">
        <f>Д402[[#This Row],[Стоимость ОН без отделки со скидкой]]/Д402[[#This Row],[Расчетная проектная площадь]]</f>
        <v>130932.71334792122</v>
      </c>
      <c r="AS172" s="3">
        <f>Д402[[#This Row],[Стоимость до скидки]]-Д402[[#This Row],[Итоговая сумма скидки]]</f>
        <v>4786900</v>
      </c>
      <c r="AT17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2" s="153"/>
      <c r="AV172" s="153"/>
      <c r="AW172" s="3">
        <f>Д402[[#This Row],[Цена м2 без отделки со скидкой]]+Д402[[#This Row],[Стоимость отделки]]</f>
        <v>130932.71334792122</v>
      </c>
      <c r="AX172" s="3">
        <f>Д402[[#This Row],[Стоимость квартиры с отделкой]]-Д402[[#This Row],[Стоимость ОН без отделки со скидкой]]</f>
        <v>0</v>
      </c>
      <c r="AY172" s="3">
        <f>Д402[[#This Row],[Цена м2 с отделкой]]*Д402[[#This Row],[Расчетная проектная площадь]]</f>
        <v>4786900</v>
      </c>
      <c r="AZ172" s="165"/>
      <c r="BA172" s="155" t="s">
        <v>12</v>
      </c>
      <c r="BB172" s="156" t="str" cm="1">
        <f t="array" ref="BB17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2" s="166" t="s">
        <v>738</v>
      </c>
      <c r="BD172" s="166" t="s">
        <v>739</v>
      </c>
      <c r="BE172" s="166" t="s">
        <v>737</v>
      </c>
      <c r="BF172" s="166" t="s">
        <v>746</v>
      </c>
      <c r="BG172" s="166" t="b">
        <f>EXACT(Д402[[#This Row],[Статусы CRM]],Д402[[#This Row],[Статус]])</f>
        <v>1</v>
      </c>
      <c r="BH172" s="3">
        <f>IF(Д402[[#This Row],[ПС]]=0,IF(Д402[[#This Row],[ДС]]=0,Д402[[#This Row],[ТС]],Д402[[#This Row],[ДС]]),Д402[[#This Row],[ПС]])</f>
        <v>4786900</v>
      </c>
      <c r="BI172" s="3">
        <v>4786900</v>
      </c>
      <c r="BJ172" s="3">
        <v>0</v>
      </c>
      <c r="BK172" s="3">
        <v>0</v>
      </c>
      <c r="BL172" s="274">
        <f>Д402[[#This Row],[Стоимость CRM]]-Д402[[#This Row],[Стоимость до скидки]]</f>
        <v>0</v>
      </c>
      <c r="BM172" s="166" t="s">
        <v>9</v>
      </c>
      <c r="BN172" s="166" t="b">
        <f>Д402[[#This Row],[Отделка CRM]]=Д402[[#This Row],[Отделка]]</f>
        <v>1</v>
      </c>
      <c r="BO172" s="275" t="s">
        <v>304</v>
      </c>
      <c r="BP172" s="69"/>
    </row>
    <row r="173" spans="1:68" ht="12" customHeight="1" x14ac:dyDescent="0.25">
      <c r="A173" s="140">
        <v>171</v>
      </c>
      <c r="B173" s="175">
        <v>2</v>
      </c>
      <c r="C173" s="141">
        <f t="shared" si="5"/>
        <v>12</v>
      </c>
      <c r="D173" s="142">
        <v>3</v>
      </c>
      <c r="E173" s="141">
        <v>0</v>
      </c>
      <c r="F173" s="143">
        <v>13.94</v>
      </c>
      <c r="G173" s="143"/>
      <c r="H173" s="143"/>
      <c r="I173" s="144">
        <f>SUM(Д402[[#This Row],[Комната 1]:[Комната 3]])</f>
        <v>13.94</v>
      </c>
      <c r="J173" s="145">
        <v>5.98</v>
      </c>
      <c r="K173" s="145">
        <v>4.47</v>
      </c>
      <c r="L173" s="145"/>
      <c r="M173" s="145">
        <v>5.04</v>
      </c>
      <c r="N173" s="145"/>
      <c r="O173" s="145"/>
      <c r="P173" s="146"/>
      <c r="Q173" s="146"/>
      <c r="R173" s="284">
        <f>SUM(Д402[[#This Row],[Лоджия 1]:[Лоджия 3]])</f>
        <v>0</v>
      </c>
      <c r="S173" s="10">
        <f>ROUND(SUM(Д402[[#This Row],[Площадь по проекту жилая]:[Лоджия 3]]),2)</f>
        <v>29.43</v>
      </c>
      <c r="T173" s="185">
        <f>ROUND(Д402[[#This Row],[Площадь по проекту(общая)]]-Д402[[#This Row],[Летние]],2)</f>
        <v>29.43</v>
      </c>
      <c r="U173" s="185">
        <f>ROUND(Д402[[#This Row],[Площадь по проекту(общая)]]-(SUM(Д402[[#This Row],[Лоджия 1]:[Лоджия 3]])/2),2)</f>
        <v>29.43</v>
      </c>
      <c r="V173" s="10">
        <f>VLOOKUP(Д402[[#This Row],[№]],наценка7[],COLUMN(наценка7[[#This Row],[Цена м2 с учетом всех K]]),0)</f>
        <v>145319.20000000001</v>
      </c>
      <c r="W173" s="163"/>
      <c r="X173" s="10">
        <f>Д402[[#This Row],[м2 после К]]+Д402[[#This Row],[02.12.2024]]</f>
        <v>145319.20000000001</v>
      </c>
      <c r="Y173" s="149">
        <v>1000</v>
      </c>
      <c r="Z173" s="10">
        <f>Д402[[#This Row],[Фикс 20.12.24]]+Д402[[#This Row],[23.12.24 СП +1000]]</f>
        <v>146319.20000000001</v>
      </c>
      <c r="AA173" s="149">
        <v>215</v>
      </c>
      <c r="AB173" s="10">
        <f>Д402[[#This Row],[Фикс 23.12.24]]+Д402[[#This Row],[Повышение 20.02.25]]</f>
        <v>146534.20000000001</v>
      </c>
      <c r="AC173" s="149">
        <v>17.5</v>
      </c>
      <c r="AD173" s="10">
        <f>Д402[[#This Row],[Фикс 20.02.25]]+Д402[[#This Row],[Повышение 24.02.2025]]</f>
        <v>146551.70000000001</v>
      </c>
      <c r="AE173" s="10"/>
      <c r="AF173" s="10">
        <f>Д402[[#This Row],[Фикс 24.02.25]]+Д402[[#This Row],[Повышение 05.03.2025
1К: до 40м - 1,5%, 40+ 0,5%
2К - 0,5% ]]</f>
        <v>146551.70000000001</v>
      </c>
      <c r="AG173" s="10"/>
      <c r="AH173" s="10">
        <f>Д402[[#This Row],[Фикс 05.03.25]]+Д402[[#This Row],[повышение 14.03.25 1К-1%]]</f>
        <v>146551.70000000001</v>
      </c>
      <c r="AI173" s="10"/>
      <c r="AJ173" s="10">
        <f>Д402[[#This Row],[Фикс 14.03.25]]+Д402[[#This Row],[повышение 28.03.25 1К-1%]]</f>
        <v>146551.70000000001</v>
      </c>
      <c r="AK173" s="10"/>
      <c r="AL173" s="10">
        <f>Д402[[#This Row],[Фикс 28.03.25]]+Д402[[#This Row],[Повышение 23.07.25
1К 43-46м2 - 2%
2К 55-58 - 2%; 58-64 - 3%
3К 76-79 - 2%
]]</f>
        <v>146551.70000000001</v>
      </c>
      <c r="AM173" s="164">
        <f>ROUND(Д402[[#This Row],[Фикс 23.07.25]],2)</f>
        <v>146551.70000000001</v>
      </c>
      <c r="AN173" s="149">
        <f>ROUNDUP(Д402[[#This Row],[утв цена м2]]*Д402[[#This Row],[Расчетная проектная площадь]],-2)</f>
        <v>4313100</v>
      </c>
      <c r="AO173" s="151"/>
      <c r="AP173" s="152"/>
      <c r="AQ173" s="151">
        <f>Д402[[#This Row],[Стоимость до скидки]]*Д402[[#This Row],[Скидка %]]+Д402[[#This Row],[Скидка фиксированная]]</f>
        <v>0</v>
      </c>
      <c r="AR173" s="3">
        <f>Д402[[#This Row],[Стоимость ОН без отделки со скидкой]]/Д402[[#This Row],[Расчетная проектная площадь]]</f>
        <v>146554.5361875637</v>
      </c>
      <c r="AS173" s="3">
        <f>Д402[[#This Row],[Стоимость до скидки]]-Д402[[#This Row],[Итоговая сумма скидки]]</f>
        <v>4313100</v>
      </c>
      <c r="AT17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73" s="153">
        <v>30000</v>
      </c>
      <c r="AV173" s="153" t="s">
        <v>722</v>
      </c>
      <c r="AW173" s="3">
        <f>Д402[[#This Row],[Цена м2 без отделки со скидкой]]+Д402[[#This Row],[Стоимость отделки]]</f>
        <v>176554.5361875637</v>
      </c>
      <c r="AX173" s="3">
        <f>Д402[[#This Row],[Стоимость квартиры с отделкой]]-Д402[[#This Row],[Стоимость ОН без отделки со скидкой]]</f>
        <v>882900</v>
      </c>
      <c r="AY173" s="3">
        <f>Д402[[#This Row],[Цена м2 с отделкой]]*Д402[[#This Row],[Расчетная проектная площадь]]</f>
        <v>5196000</v>
      </c>
      <c r="AZ173" s="165"/>
      <c r="BA173" s="155" t="s">
        <v>12</v>
      </c>
      <c r="BB173" s="156" t="str" cm="1">
        <f t="array" ref="BB17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3" s="166" t="s">
        <v>738</v>
      </c>
      <c r="BD173" s="166" t="s">
        <v>739</v>
      </c>
      <c r="BE173" s="166" t="s">
        <v>737</v>
      </c>
      <c r="BF173" s="166" t="s">
        <v>743</v>
      </c>
      <c r="BG173" s="166" t="b">
        <f>EXACT(Д402[[#This Row],[Статусы CRM]],Д402[[#This Row],[Статус]])</f>
        <v>1</v>
      </c>
      <c r="BH173" s="3">
        <f>IF(Д402[[#This Row],[ПС]]=0,IF(Д402[[#This Row],[ДС]]=0,Д402[[#This Row],[ТС]],Д402[[#This Row],[ДС]]),Д402[[#This Row],[ПС]])</f>
        <v>4313100</v>
      </c>
      <c r="BI173" s="3">
        <v>4313100</v>
      </c>
      <c r="BJ173" s="3">
        <v>0</v>
      </c>
      <c r="BK173" s="3">
        <v>0</v>
      </c>
      <c r="BL173" s="274">
        <f>Д402[[#This Row],[Стоимость CRM]]-Д402[[#This Row],[Стоимость до скидки]]</f>
        <v>0</v>
      </c>
      <c r="BM173" s="166" t="s">
        <v>11</v>
      </c>
      <c r="BN173" s="166" t="b">
        <f>Д402[[#This Row],[Отделка CRM]]=Д402[[#This Row],[Отделка]]</f>
        <v>1</v>
      </c>
      <c r="BO173" s="275" t="s">
        <v>305</v>
      </c>
      <c r="BP173" s="69"/>
    </row>
    <row r="174" spans="1:68" ht="12" customHeight="1" x14ac:dyDescent="0.25">
      <c r="A174" s="140">
        <v>172</v>
      </c>
      <c r="B174" s="175">
        <v>2</v>
      </c>
      <c r="C174" s="141">
        <f t="shared" si="5"/>
        <v>12</v>
      </c>
      <c r="D174" s="142">
        <v>4</v>
      </c>
      <c r="E174" s="141">
        <v>0</v>
      </c>
      <c r="F174" s="143">
        <v>13.39</v>
      </c>
      <c r="G174" s="143"/>
      <c r="H174" s="143"/>
      <c r="I174" s="144">
        <f>SUM(Д402[[#This Row],[Комната 1]:[Комната 3]])</f>
        <v>13.39</v>
      </c>
      <c r="J174" s="145">
        <v>5.98</v>
      </c>
      <c r="K174" s="145">
        <v>4.47</v>
      </c>
      <c r="L174" s="145"/>
      <c r="M174" s="145">
        <v>4.08</v>
      </c>
      <c r="N174" s="145"/>
      <c r="O174" s="145"/>
      <c r="P174" s="146"/>
      <c r="Q174" s="146"/>
      <c r="R174" s="284">
        <f>SUM(Д402[[#This Row],[Лоджия 1]:[Лоджия 3]])</f>
        <v>0</v>
      </c>
      <c r="S174" s="10">
        <f>ROUND(SUM(Д402[[#This Row],[Площадь по проекту жилая]:[Лоджия 3]]),2)</f>
        <v>27.92</v>
      </c>
      <c r="T174" s="185">
        <f>ROUND(Д402[[#This Row],[Площадь по проекту(общая)]]-Д402[[#This Row],[Летние]],2)</f>
        <v>27.92</v>
      </c>
      <c r="U174" s="185">
        <f>ROUND(Д402[[#This Row],[Площадь по проекту(общая)]]-(SUM(Д402[[#This Row],[Лоджия 1]:[Лоджия 3]])/2),2)</f>
        <v>27.92</v>
      </c>
      <c r="V174" s="10">
        <f>VLOOKUP(Д402[[#This Row],[№]],наценка7[],COLUMN(наценка7[[#This Row],[Цена м2 с учетом всех K]]),0)</f>
        <v>142524.6</v>
      </c>
      <c r="W174" s="163"/>
      <c r="X174" s="10">
        <f>Д402[[#This Row],[м2 после К]]+Д402[[#This Row],[02.12.2024]]</f>
        <v>142524.6</v>
      </c>
      <c r="Y174" s="149">
        <v>1000</v>
      </c>
      <c r="Z174" s="10">
        <f>Д402[[#This Row],[Фикс 20.12.24]]+Д402[[#This Row],[23.12.24 СП +1000]]</f>
        <v>143524.6</v>
      </c>
      <c r="AA174" s="149">
        <v>215</v>
      </c>
      <c r="AB174" s="10">
        <f>Д402[[#This Row],[Фикс 23.12.24]]+Д402[[#This Row],[Повышение 20.02.25]]</f>
        <v>143739.6</v>
      </c>
      <c r="AC174" s="149">
        <v>17.5</v>
      </c>
      <c r="AD174" s="10">
        <f>Д402[[#This Row],[Фикс 20.02.25]]+Д402[[#This Row],[Повышение 24.02.2025]]</f>
        <v>143757.1</v>
      </c>
      <c r="AE174" s="10"/>
      <c r="AF174" s="10">
        <f>Д402[[#This Row],[Фикс 24.02.25]]+Д402[[#This Row],[Повышение 05.03.2025
1К: до 40м - 1,5%, 40+ 0,5%
2К - 0,5% ]]</f>
        <v>143757.1</v>
      </c>
      <c r="AG174" s="10"/>
      <c r="AH174" s="10">
        <f>Д402[[#This Row],[Фикс 05.03.25]]+Д402[[#This Row],[повышение 14.03.25 1К-1%]]</f>
        <v>143757.1</v>
      </c>
      <c r="AI174" s="10"/>
      <c r="AJ174" s="10">
        <f>Д402[[#This Row],[Фикс 14.03.25]]+Д402[[#This Row],[повышение 28.03.25 1К-1%]]</f>
        <v>143757.1</v>
      </c>
      <c r="AK174" s="10"/>
      <c r="AL174" s="10">
        <f>Д402[[#This Row],[Фикс 28.03.25]]+Д402[[#This Row],[Повышение 23.07.25
1К 43-46м2 - 2%
2К 55-58 - 2%; 58-64 - 3%
3К 76-79 - 2%
]]</f>
        <v>143757.1</v>
      </c>
      <c r="AM174" s="164">
        <f>ROUND(Д402[[#This Row],[Фикс 23.07.25]],2)</f>
        <v>143757.1</v>
      </c>
      <c r="AN174" s="149">
        <f>ROUNDUP(Д402[[#This Row],[утв цена м2]]*Д402[[#This Row],[Расчетная проектная площадь]],-2)</f>
        <v>4013700</v>
      </c>
      <c r="AO174" s="151"/>
      <c r="AP174" s="152"/>
      <c r="AQ174" s="151">
        <f>Д402[[#This Row],[Стоимость до скидки]]*Д402[[#This Row],[Скидка %]]+Д402[[#This Row],[Скидка фиксированная]]</f>
        <v>0</v>
      </c>
      <c r="AR174" s="3">
        <f>Д402[[#This Row],[Стоимость ОН без отделки со скидкой]]/Д402[[#This Row],[Расчетная проектная площадь]]</f>
        <v>143757.16332378224</v>
      </c>
      <c r="AS174" s="3">
        <f>Д402[[#This Row],[Стоимость до скидки]]-Д402[[#This Row],[Итоговая сумма скидки]]</f>
        <v>4013700</v>
      </c>
      <c r="AT17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4" s="153"/>
      <c r="AV174" s="153"/>
      <c r="AW174" s="3">
        <f>Д402[[#This Row],[Цена м2 без отделки со скидкой]]+Д402[[#This Row],[Стоимость отделки]]</f>
        <v>143757.16332378224</v>
      </c>
      <c r="AX174" s="3">
        <f>Д402[[#This Row],[Стоимость квартиры с отделкой]]-Д402[[#This Row],[Стоимость ОН без отделки со скидкой]]</f>
        <v>0</v>
      </c>
      <c r="AY174" s="3">
        <f>Д402[[#This Row],[Цена м2 с отделкой]]*Д402[[#This Row],[Расчетная проектная площадь]]</f>
        <v>4013700.0000000005</v>
      </c>
      <c r="AZ174" s="165"/>
      <c r="BA174" s="155" t="s">
        <v>12</v>
      </c>
      <c r="BB174" s="156" t="str" cm="1">
        <f t="array" ref="BB17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4" s="166" t="s">
        <v>738</v>
      </c>
      <c r="BD174" s="166" t="s">
        <v>739</v>
      </c>
      <c r="BE174" s="166" t="s">
        <v>737</v>
      </c>
      <c r="BF174" s="166" t="s">
        <v>743</v>
      </c>
      <c r="BG174" s="166" t="b">
        <f>EXACT(Д402[[#This Row],[Статусы CRM]],Д402[[#This Row],[Статус]])</f>
        <v>1</v>
      </c>
      <c r="BH174" s="3">
        <f>IF(Д402[[#This Row],[ПС]]=0,IF(Д402[[#This Row],[ДС]]=0,Д402[[#This Row],[ТС]],Д402[[#This Row],[ДС]]),Д402[[#This Row],[ПС]])</f>
        <v>4013700</v>
      </c>
      <c r="BI174" s="3">
        <v>4013700</v>
      </c>
      <c r="BJ174" s="3">
        <v>0</v>
      </c>
      <c r="BK174" s="3">
        <v>0</v>
      </c>
      <c r="BL174" s="274">
        <f>Д402[[#This Row],[Стоимость CRM]]-Д402[[#This Row],[Стоимость до скидки]]</f>
        <v>0</v>
      </c>
      <c r="BM174" s="166" t="s">
        <v>9</v>
      </c>
      <c r="BN174" s="166" t="b">
        <f>Д402[[#This Row],[Отделка CRM]]=Д402[[#This Row],[Отделка]]</f>
        <v>1</v>
      </c>
      <c r="BO174" s="275" t="s">
        <v>306</v>
      </c>
      <c r="BP174" s="69"/>
    </row>
    <row r="175" spans="1:68" ht="12" customHeight="1" x14ac:dyDescent="0.25">
      <c r="A175" s="140">
        <v>173</v>
      </c>
      <c r="B175" s="175">
        <v>2</v>
      </c>
      <c r="C175" s="141">
        <f t="shared" si="5"/>
        <v>12</v>
      </c>
      <c r="D175" s="142">
        <v>5</v>
      </c>
      <c r="E175" s="141">
        <v>2</v>
      </c>
      <c r="F175" s="143">
        <v>16.579999999999998</v>
      </c>
      <c r="G175" s="143">
        <v>14.14</v>
      </c>
      <c r="H175" s="143"/>
      <c r="I175" s="144">
        <f>SUM(Д402[[#This Row],[Комната 1]:[Комната 3]])</f>
        <v>30.72</v>
      </c>
      <c r="J175" s="145">
        <v>12.38</v>
      </c>
      <c r="K175" s="145">
        <v>4.07</v>
      </c>
      <c r="L175" s="145"/>
      <c r="M175" s="145">
        <v>7.61</v>
      </c>
      <c r="N175" s="145">
        <v>7.03</v>
      </c>
      <c r="O175" s="145">
        <v>3.11</v>
      </c>
      <c r="P175" s="146"/>
      <c r="Q175" s="146"/>
      <c r="R175" s="284">
        <f>SUM(Д402[[#This Row],[Лоджия 1]:[Лоджия 3]])</f>
        <v>3.11</v>
      </c>
      <c r="S175" s="10">
        <f>ROUND(SUM(Д402[[#This Row],[Площадь по проекту жилая]:[Лоджия 3]]),2)</f>
        <v>64.92</v>
      </c>
      <c r="T175" s="185">
        <f>ROUND(Д402[[#This Row],[Площадь по проекту(общая)]]-Д402[[#This Row],[Летние]],2)</f>
        <v>61.81</v>
      </c>
      <c r="U175" s="185">
        <f>ROUND(Д402[[#This Row],[Площадь по проекту(общая)]]-(SUM(Д402[[#This Row],[Лоджия 1]:[Лоджия 3]])/2),2)</f>
        <v>63.37</v>
      </c>
      <c r="V175" s="10">
        <f>VLOOKUP(Д402[[#This Row],[№]],наценка7[],COLUMN(наценка7[[#This Row],[Цена м2 с учетом всех K]]),0)</f>
        <v>122072.4</v>
      </c>
      <c r="W175" s="162">
        <v>-7000</v>
      </c>
      <c r="X175" s="10">
        <f>Д402[[#This Row],[м2 после К]]+Д402[[#This Row],[02.12.2024]]</f>
        <v>115072.4</v>
      </c>
      <c r="Y175" s="149">
        <v>1000</v>
      </c>
      <c r="Z175" s="10">
        <f>Д402[[#This Row],[Фикс 20.12.24]]+Д402[[#This Row],[23.12.24 СП +1000]]</f>
        <v>116072.4</v>
      </c>
      <c r="AA175" s="149">
        <v>215</v>
      </c>
      <c r="AB175" s="10">
        <f>Д402[[#This Row],[Фикс 23.12.24]]+Д402[[#This Row],[Повышение 20.02.25]]</f>
        <v>116287.4</v>
      </c>
      <c r="AC175" s="149">
        <v>17.5</v>
      </c>
      <c r="AD175" s="10">
        <f>Д402[[#This Row],[Фикс 20.02.25]]+Д402[[#This Row],[Повышение 24.02.2025]]</f>
        <v>116304.9</v>
      </c>
      <c r="AE175" s="149">
        <f>Д402[[#This Row],[Фикс 24.02.25]]*0.5%</f>
        <v>581.52449999999999</v>
      </c>
      <c r="AF175" s="10">
        <f>Д402[[#This Row],[Фикс 24.02.25]]+Д402[[#This Row],[Повышение 05.03.2025
1К: до 40м - 1,5%, 40+ 0,5%
2К - 0,5% ]]</f>
        <v>116886.42449999999</v>
      </c>
      <c r="AG175" s="10"/>
      <c r="AH175" s="10">
        <f>Д402[[#This Row],[Фикс 05.03.25]]+Д402[[#This Row],[повышение 14.03.25 1К-1%]]</f>
        <v>116886.42449999999</v>
      </c>
      <c r="AI175" s="10"/>
      <c r="AJ175" s="10">
        <f>Д402[[#This Row],[Фикс 14.03.25]]+Д402[[#This Row],[повышение 28.03.25 1К-1%]]</f>
        <v>116886.42449999999</v>
      </c>
      <c r="AK175" s="10">
        <f>Д402[[#This Row],[Фикс 28.03.25]]*3%</f>
        <v>3506.5927349999997</v>
      </c>
      <c r="AL175" s="10">
        <f>Д402[[#This Row],[Фикс 28.03.25]]+Д402[[#This Row],[Повышение 23.07.25
1К 43-46м2 - 2%
2К 55-58 - 2%; 58-64 - 3%
3К 76-79 - 2%
]]</f>
        <v>120393.01723499999</v>
      </c>
      <c r="AM175" s="164">
        <f>ROUND(Д402[[#This Row],[Фикс 23.07.25]],2)</f>
        <v>120393.02</v>
      </c>
      <c r="AN175" s="149">
        <f>ROUNDUP(Д402[[#This Row],[утв цена м2]]*Д402[[#This Row],[Расчетная проектная площадь]],-2)</f>
        <v>7629400</v>
      </c>
      <c r="AO175" s="151"/>
      <c r="AP175" s="152"/>
      <c r="AQ175" s="151">
        <f>Д402[[#This Row],[Стоимость до скидки]]*Д402[[#This Row],[Скидка %]]+Д402[[#This Row],[Скидка фиксированная]]</f>
        <v>0</v>
      </c>
      <c r="AR175" s="3">
        <f>Д402[[#This Row],[Стоимость ОН без отделки со скидкой]]/Д402[[#This Row],[Расчетная проектная площадь]]</f>
        <v>120394.50844248067</v>
      </c>
      <c r="AS175" s="3">
        <f>Д402[[#This Row],[Стоимость до скидки]]-Д402[[#This Row],[Итоговая сумма скидки]]</f>
        <v>7629400</v>
      </c>
      <c r="AT17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5" s="153"/>
      <c r="AV175" s="153"/>
      <c r="AW175" s="3">
        <f>Д402[[#This Row],[Цена м2 без отделки со скидкой]]+Д402[[#This Row],[Стоимость отделки]]</f>
        <v>120394.50844248067</v>
      </c>
      <c r="AX175" s="3">
        <f>Д402[[#This Row],[Стоимость квартиры с отделкой]]-Д402[[#This Row],[Стоимость ОН без отделки со скидкой]]</f>
        <v>0</v>
      </c>
      <c r="AY175" s="3">
        <f>Д402[[#This Row],[Цена м2 с отделкой]]*Д402[[#This Row],[Расчетная проектная площадь]]</f>
        <v>7629400</v>
      </c>
      <c r="AZ175" s="165"/>
      <c r="BA175" s="269" t="s">
        <v>12</v>
      </c>
      <c r="BB175" s="269" t="str" cm="1">
        <f t="array" ref="BB17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5" s="166" t="s">
        <v>738</v>
      </c>
      <c r="BD175" s="166" t="s">
        <v>739</v>
      </c>
      <c r="BE175" s="166" t="s">
        <v>737</v>
      </c>
      <c r="BF175" s="166" t="s">
        <v>747</v>
      </c>
      <c r="BG175" s="166" t="b">
        <f>EXACT(Д402[[#This Row],[Статусы CRM]],Д402[[#This Row],[Статус]])</f>
        <v>1</v>
      </c>
      <c r="BH175" s="3">
        <f>IF(Д402[[#This Row],[ПС]]=0,IF(Д402[[#This Row],[ДС]]=0,Д402[[#This Row],[ТС]],Д402[[#This Row],[ДС]]),Д402[[#This Row],[ПС]])</f>
        <v>7629400</v>
      </c>
      <c r="BI175" s="3">
        <v>7629400</v>
      </c>
      <c r="BJ175" s="3">
        <v>0</v>
      </c>
      <c r="BK175" s="3">
        <v>0</v>
      </c>
      <c r="BL175" s="274">
        <f>Д402[[#This Row],[Стоимость CRM]]-Д402[[#This Row],[Стоимость до скидки]]</f>
        <v>0</v>
      </c>
      <c r="BM175" s="166" t="s">
        <v>9</v>
      </c>
      <c r="BN175" s="166" t="b">
        <f>Д402[[#This Row],[Отделка CRM]]=Д402[[#This Row],[Отделка]]</f>
        <v>1</v>
      </c>
      <c r="BO175" s="275" t="s">
        <v>307</v>
      </c>
      <c r="BP175" s="69"/>
    </row>
    <row r="176" spans="1:68" ht="12" customHeight="1" x14ac:dyDescent="0.25">
      <c r="A176" s="140">
        <v>174</v>
      </c>
      <c r="B176" s="175">
        <v>2</v>
      </c>
      <c r="C176" s="141">
        <f t="shared" si="5"/>
        <v>12</v>
      </c>
      <c r="D176" s="142">
        <v>6</v>
      </c>
      <c r="E176" s="141">
        <v>2</v>
      </c>
      <c r="F176" s="143">
        <v>17.73</v>
      </c>
      <c r="G176" s="143">
        <v>12.22</v>
      </c>
      <c r="H176" s="143"/>
      <c r="I176" s="144">
        <f>SUM(Д402[[#This Row],[Комната 1]:[Комната 3]])</f>
        <v>29.950000000000003</v>
      </c>
      <c r="J176" s="145">
        <v>13.65</v>
      </c>
      <c r="K176" s="145">
        <v>5.15</v>
      </c>
      <c r="L176" s="145">
        <v>2.5</v>
      </c>
      <c r="M176" s="145">
        <v>8.06</v>
      </c>
      <c r="N176" s="145"/>
      <c r="O176" s="145">
        <v>3.11</v>
      </c>
      <c r="P176" s="146"/>
      <c r="Q176" s="146"/>
      <c r="R176" s="284">
        <f>SUM(Д402[[#This Row],[Лоджия 1]:[Лоджия 3]])</f>
        <v>3.11</v>
      </c>
      <c r="S176" s="10">
        <f>ROUND(SUM(Д402[[#This Row],[Площадь по проекту жилая]:[Лоджия 3]]),2)</f>
        <v>62.42</v>
      </c>
      <c r="T176" s="185">
        <f>ROUND(Д402[[#This Row],[Площадь по проекту(общая)]]-Д402[[#This Row],[Летние]],2)</f>
        <v>59.31</v>
      </c>
      <c r="U176" s="185">
        <f>ROUND(Д402[[#This Row],[Площадь по проекту(общая)]]-(SUM(Д402[[#This Row],[Лоджия 1]:[Лоджия 3]])/2),2)</f>
        <v>60.87</v>
      </c>
      <c r="V176" s="10">
        <f>VLOOKUP(Д402[[#This Row],[№]],наценка7[],COLUMN(наценка7[[#This Row],[Цена м2 с учетом всех K]]),0)</f>
        <v>126593.60000000001</v>
      </c>
      <c r="W176" s="162">
        <v>-10000</v>
      </c>
      <c r="X176" s="10">
        <f>Д402[[#This Row],[м2 после К]]+Д402[[#This Row],[02.12.2024]]</f>
        <v>116593.60000000001</v>
      </c>
      <c r="Y176" s="149">
        <v>1000</v>
      </c>
      <c r="Z176" s="10">
        <f>Д402[[#This Row],[Фикс 20.12.24]]+Д402[[#This Row],[23.12.24 СП +1000]]</f>
        <v>117593.60000000001</v>
      </c>
      <c r="AA176" s="149">
        <v>215</v>
      </c>
      <c r="AB176" s="10">
        <f>Д402[[#This Row],[Фикс 23.12.24]]+Д402[[#This Row],[Повышение 20.02.25]]</f>
        <v>117808.6</v>
      </c>
      <c r="AC176" s="149">
        <v>17.5</v>
      </c>
      <c r="AD176" s="10">
        <f>Д402[[#This Row],[Фикс 20.02.25]]+Д402[[#This Row],[Повышение 24.02.2025]]</f>
        <v>117826.1</v>
      </c>
      <c r="AE176" s="149">
        <f>Д402[[#This Row],[Фикс 24.02.25]]*0.5%</f>
        <v>589.1305000000001</v>
      </c>
      <c r="AF176" s="10">
        <f>Д402[[#This Row],[Фикс 24.02.25]]+Д402[[#This Row],[Повышение 05.03.2025
1К: до 40м - 1,5%, 40+ 0,5%
2К - 0,5% ]]</f>
        <v>118415.23050000001</v>
      </c>
      <c r="AG176" s="10"/>
      <c r="AH176" s="10">
        <f>Д402[[#This Row],[Фикс 05.03.25]]+Д402[[#This Row],[повышение 14.03.25 1К-1%]]</f>
        <v>118415.23050000001</v>
      </c>
      <c r="AI176" s="10"/>
      <c r="AJ176" s="10">
        <f>Д402[[#This Row],[Фикс 14.03.25]]+Д402[[#This Row],[повышение 28.03.25 1К-1%]]</f>
        <v>118415.23050000001</v>
      </c>
      <c r="AK176" s="10"/>
      <c r="AL176" s="10">
        <f>Д402[[#This Row],[Фикс 28.03.25]]+Д402[[#This Row],[Повышение 23.07.25
1К 43-46м2 - 2%
2К 55-58 - 2%; 58-64 - 3%
3К 76-79 - 2%
]]</f>
        <v>118415.23050000001</v>
      </c>
      <c r="AM176" s="164">
        <f>ROUND(Д402[[#This Row],[Фикс 23.07.25]],2)</f>
        <v>118415.23</v>
      </c>
      <c r="AN176" s="149">
        <f>ROUNDUP(Д402[[#This Row],[утв цена м2]]*Д402[[#This Row],[Расчетная проектная площадь]],-2)</f>
        <v>7208000</v>
      </c>
      <c r="AO176" s="151"/>
      <c r="AP176" s="152">
        <v>0.03</v>
      </c>
      <c r="AQ176" s="151">
        <f>Д402[[#This Row],[Стоимость до скидки]]*Д402[[#This Row],[Скидка %]]+Д402[[#This Row],[Скидка фиксированная]]</f>
        <v>216240</v>
      </c>
      <c r="AR176" s="3">
        <f>Д402[[#This Row],[Стоимость ОН без отделки со скидкой]]/Д402[[#This Row],[Расчетная проектная площадь]]</f>
        <v>114863.80811565633</v>
      </c>
      <c r="AS176" s="3">
        <f>Д402[[#This Row],[Стоимость до скидки]]-Д402[[#This Row],[Итоговая сумма скидки]]</f>
        <v>6991760</v>
      </c>
      <c r="AT17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6" s="153"/>
      <c r="AV176" s="153"/>
      <c r="AW176" s="3">
        <f>Д402[[#This Row],[Цена м2 без отделки со скидкой]]+Д402[[#This Row],[Стоимость отделки]]</f>
        <v>114863.80811565633</v>
      </c>
      <c r="AX176" s="3">
        <f>Д402[[#This Row],[Стоимость квартиры с отделкой]]-Д402[[#This Row],[Стоимость ОН без отделки со скидкой]]</f>
        <v>0</v>
      </c>
      <c r="AY176" s="3">
        <f>Д402[[#This Row],[Цена м2 с отделкой]]*Д402[[#This Row],[Расчетная проектная площадь]]</f>
        <v>6991760</v>
      </c>
      <c r="AZ176" s="161" t="s">
        <v>716</v>
      </c>
      <c r="BA176" s="269" t="s">
        <v>426</v>
      </c>
      <c r="BB176" s="269" t="str" cm="1">
        <f t="array" ref="BB17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76" s="166" t="s">
        <v>741</v>
      </c>
      <c r="BD176" s="166" t="s">
        <v>506</v>
      </c>
      <c r="BE176" s="166" t="s">
        <v>737</v>
      </c>
      <c r="BF176" s="166" t="s">
        <v>747</v>
      </c>
      <c r="BG176" s="166" t="b">
        <f>EXACT(Д402[[#This Row],[Статусы CRM]],Д402[[#This Row],[Статус]])</f>
        <v>1</v>
      </c>
      <c r="BH176" s="3">
        <f>IF(Д402[[#This Row],[ПС]]=0,IF(Д402[[#This Row],[ДС]]=0,Д402[[#This Row],[ТС]],Д402[[#This Row],[ДС]]),Д402[[#This Row],[ПС]])</f>
        <v>7208000</v>
      </c>
      <c r="BI176" s="3" t="s">
        <v>749</v>
      </c>
      <c r="BJ176" s="3">
        <v>0</v>
      </c>
      <c r="BK176" s="3">
        <v>7208000</v>
      </c>
      <c r="BL176" s="274">
        <f>Д402[[#This Row],[Стоимость CRM]]-Д402[[#This Row],[Стоимость до скидки]]</f>
        <v>0</v>
      </c>
      <c r="BM176" s="166" t="s">
        <v>9</v>
      </c>
      <c r="BN176" s="166" t="b">
        <f>Д402[[#This Row],[Отделка CRM]]=Д402[[#This Row],[Отделка]]</f>
        <v>1</v>
      </c>
      <c r="BO176" s="275" t="s">
        <v>308</v>
      </c>
      <c r="BP176" s="69"/>
    </row>
    <row r="177" spans="1:68" ht="12" customHeight="1" x14ac:dyDescent="0.25">
      <c r="A177" s="140">
        <v>175</v>
      </c>
      <c r="B177" s="175">
        <v>2</v>
      </c>
      <c r="C177" s="141">
        <f t="shared" si="5"/>
        <v>13</v>
      </c>
      <c r="D177" s="142">
        <v>1</v>
      </c>
      <c r="E177" s="141">
        <v>2</v>
      </c>
      <c r="F177" s="143">
        <v>17.579999999999998</v>
      </c>
      <c r="G177" s="143">
        <v>14.37</v>
      </c>
      <c r="H177" s="143"/>
      <c r="I177" s="144">
        <f>SUM(Д402[[#This Row],[Комната 1]:[Комната 3]])</f>
        <v>31.949999999999996</v>
      </c>
      <c r="J177" s="145">
        <v>14.29</v>
      </c>
      <c r="K177" s="145">
        <v>4.45</v>
      </c>
      <c r="L177" s="145"/>
      <c r="M177" s="145">
        <v>8.64</v>
      </c>
      <c r="N177" s="145">
        <v>4.76</v>
      </c>
      <c r="O177" s="145">
        <v>3.11</v>
      </c>
      <c r="P177" s="146"/>
      <c r="Q177" s="146"/>
      <c r="R177" s="284">
        <f>SUM(Д402[[#This Row],[Лоджия 1]:[Лоджия 3]])</f>
        <v>3.11</v>
      </c>
      <c r="S177" s="10">
        <f>ROUND(SUM(Д402[[#This Row],[Площадь по проекту жилая]:[Лоджия 3]]),2)</f>
        <v>67.2</v>
      </c>
      <c r="T177" s="185">
        <f>ROUND(Д402[[#This Row],[Площадь по проекту(общая)]]-Д402[[#This Row],[Летние]],2)</f>
        <v>64.09</v>
      </c>
      <c r="U177" s="185">
        <f>ROUND(Д402[[#This Row],[Площадь по проекту(общая)]]-(SUM(Д402[[#This Row],[Лоджия 1]:[Лоджия 3]])/2),2)</f>
        <v>65.650000000000006</v>
      </c>
      <c r="V177" s="10">
        <f>VLOOKUP(Д402[[#This Row],[№]],наценка7[],COLUMN(наценка7[[#This Row],[Цена м2 с учетом всех K]]),0)</f>
        <v>119811.8</v>
      </c>
      <c r="W177" s="163"/>
      <c r="X177" s="10">
        <f>Д402[[#This Row],[м2 после К]]+Д402[[#This Row],[02.12.2024]]</f>
        <v>119811.8</v>
      </c>
      <c r="Y177" s="149">
        <v>1000</v>
      </c>
      <c r="Z177" s="10">
        <f>Д402[[#This Row],[Фикс 20.12.24]]+Д402[[#This Row],[23.12.24 СП +1000]]</f>
        <v>120811.8</v>
      </c>
      <c r="AA177" s="149">
        <v>215</v>
      </c>
      <c r="AB177" s="10">
        <f>Д402[[#This Row],[Фикс 23.12.24]]+Д402[[#This Row],[Повышение 20.02.25]]</f>
        <v>121026.8</v>
      </c>
      <c r="AC177" s="149">
        <v>17.5</v>
      </c>
      <c r="AD177" s="10">
        <f>Д402[[#This Row],[Фикс 20.02.25]]+Д402[[#This Row],[Повышение 24.02.2025]]</f>
        <v>121044.3</v>
      </c>
      <c r="AE177" s="149">
        <f>Д402[[#This Row],[Фикс 24.02.25]]*0.5%</f>
        <v>605.22149999999999</v>
      </c>
      <c r="AF177" s="10">
        <f>Д402[[#This Row],[Фикс 24.02.25]]+Д402[[#This Row],[Повышение 05.03.2025
1К: до 40м - 1,5%, 40+ 0,5%
2К - 0,5% ]]</f>
        <v>121649.5215</v>
      </c>
      <c r="AG177" s="10"/>
      <c r="AH177" s="10">
        <f>Д402[[#This Row],[Фикс 05.03.25]]+Д402[[#This Row],[повышение 14.03.25 1К-1%]]</f>
        <v>121649.5215</v>
      </c>
      <c r="AI177" s="10"/>
      <c r="AJ177" s="10">
        <f>Д402[[#This Row],[Фикс 14.03.25]]+Д402[[#This Row],[повышение 28.03.25 1К-1%]]</f>
        <v>121649.5215</v>
      </c>
      <c r="AK177" s="10"/>
      <c r="AL177" s="10">
        <f>Д402[[#This Row],[Фикс 28.03.25]]+Д402[[#This Row],[Повышение 23.07.25
1К 43-46м2 - 2%
2К 55-58 - 2%; 58-64 - 3%
3К 76-79 - 2%
]]</f>
        <v>121649.5215</v>
      </c>
      <c r="AM177" s="164">
        <f>ROUND(Д402[[#This Row],[Фикс 23.07.25]],2)</f>
        <v>121649.52</v>
      </c>
      <c r="AN177" s="149">
        <f>ROUNDUP(Д402[[#This Row],[утв цена м2]]*Д402[[#This Row],[Расчетная проектная площадь]],-2)</f>
        <v>7986300</v>
      </c>
      <c r="AO177" s="151"/>
      <c r="AP177" s="152"/>
      <c r="AQ177" s="151">
        <f>Д402[[#This Row],[Стоимость до скидки]]*Д402[[#This Row],[Скидка %]]+Д402[[#This Row],[Скидка фиксированная]]</f>
        <v>0</v>
      </c>
      <c r="AR177" s="3">
        <f>Д402[[#This Row],[Стоимость ОН без отделки со скидкой]]/Д402[[#This Row],[Расчетная проектная площадь]]</f>
        <v>121649.65727341964</v>
      </c>
      <c r="AS177" s="3">
        <f>Д402[[#This Row],[Стоимость до скидки]]-Д402[[#This Row],[Итоговая сумма скидки]]</f>
        <v>7986300</v>
      </c>
      <c r="AT17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7" s="153"/>
      <c r="AV177" s="153"/>
      <c r="AW177" s="3">
        <f>Д402[[#This Row],[Цена м2 без отделки со скидкой]]+Д402[[#This Row],[Стоимость отделки]]</f>
        <v>121649.65727341964</v>
      </c>
      <c r="AX177" s="3">
        <f>Д402[[#This Row],[Стоимость квартиры с отделкой]]-Д402[[#This Row],[Стоимость ОН без отделки со скидкой]]</f>
        <v>0</v>
      </c>
      <c r="AY177" s="3">
        <f>Д402[[#This Row],[Цена м2 с отделкой]]*Д402[[#This Row],[Расчетная проектная площадь]]</f>
        <v>7986300</v>
      </c>
      <c r="AZ177" s="165"/>
      <c r="BA177" s="155" t="s">
        <v>12</v>
      </c>
      <c r="BB177" s="156" t="str" cm="1">
        <f t="array" ref="BB17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7" s="166" t="s">
        <v>738</v>
      </c>
      <c r="BD177" s="166" t="s">
        <v>739</v>
      </c>
      <c r="BE177" s="166" t="s">
        <v>737</v>
      </c>
      <c r="BF177" s="166" t="s">
        <v>744</v>
      </c>
      <c r="BG177" s="166" t="b">
        <f>EXACT(Д402[[#This Row],[Статусы CRM]],Д402[[#This Row],[Статус]])</f>
        <v>1</v>
      </c>
      <c r="BH177" s="3">
        <f>IF(Д402[[#This Row],[ПС]]=0,IF(Д402[[#This Row],[ДС]]=0,Д402[[#This Row],[ТС]],Д402[[#This Row],[ДС]]),Д402[[#This Row],[ПС]])</f>
        <v>7986300</v>
      </c>
      <c r="BI177" s="3">
        <v>7986300</v>
      </c>
      <c r="BJ177" s="3">
        <v>0</v>
      </c>
      <c r="BK177" s="3">
        <v>0</v>
      </c>
      <c r="BL177" s="274">
        <f>Д402[[#This Row],[Стоимость CRM]]-Д402[[#This Row],[Стоимость до скидки]]</f>
        <v>0</v>
      </c>
      <c r="BM177" s="166" t="s">
        <v>9</v>
      </c>
      <c r="BN177" s="166" t="b">
        <f>Д402[[#This Row],[Отделка CRM]]=Д402[[#This Row],[Отделка]]</f>
        <v>1</v>
      </c>
      <c r="BO177" s="275" t="s">
        <v>309</v>
      </c>
      <c r="BP177" s="69"/>
    </row>
    <row r="178" spans="1:68" ht="12" customHeight="1" x14ac:dyDescent="0.25">
      <c r="A178" s="140">
        <v>176</v>
      </c>
      <c r="B178" s="175">
        <v>2</v>
      </c>
      <c r="C178" s="141">
        <f t="shared" si="5"/>
        <v>13</v>
      </c>
      <c r="D178" s="142">
        <v>2</v>
      </c>
      <c r="E178" s="141">
        <v>1</v>
      </c>
      <c r="F178" s="143">
        <v>14.77</v>
      </c>
      <c r="G178" s="143"/>
      <c r="H178" s="143"/>
      <c r="I178" s="144">
        <f>SUM(Д402[[#This Row],[Комната 1]:[Комната 3]])</f>
        <v>14.77</v>
      </c>
      <c r="J178" s="145">
        <v>11.88</v>
      </c>
      <c r="K178" s="145">
        <v>4.07</v>
      </c>
      <c r="L178" s="145"/>
      <c r="M178" s="145">
        <v>4.28</v>
      </c>
      <c r="N178" s="145"/>
      <c r="O178" s="145">
        <v>3.11</v>
      </c>
      <c r="P178" s="146"/>
      <c r="Q178" s="146"/>
      <c r="R178" s="284">
        <f>SUM(Д402[[#This Row],[Лоджия 1]:[Лоджия 3]])</f>
        <v>3.11</v>
      </c>
      <c r="S178" s="10">
        <f>ROUND(SUM(Д402[[#This Row],[Площадь по проекту жилая]:[Лоджия 3]]),2)</f>
        <v>38.11</v>
      </c>
      <c r="T178" s="185">
        <f>ROUND(Д402[[#This Row],[Площадь по проекту(общая)]]-Д402[[#This Row],[Летние]],2)</f>
        <v>35</v>
      </c>
      <c r="U178" s="185">
        <f>ROUND(Д402[[#This Row],[Площадь по проекту(общая)]]-(SUM(Д402[[#This Row],[Лоджия 1]:[Лоджия 3]])/2),2)</f>
        <v>36.56</v>
      </c>
      <c r="V178" s="10">
        <f>VLOOKUP(Д402[[#This Row],[№]],наценка7[],COLUMN(наценка7[[#This Row],[Цена м2 с учетом всех K]]),0)</f>
        <v>125223</v>
      </c>
      <c r="W178" s="163"/>
      <c r="X178" s="10">
        <f>Д402[[#This Row],[м2 после К]]+Д402[[#This Row],[02.12.2024]]</f>
        <v>125223</v>
      </c>
      <c r="Y178" s="149">
        <v>1000</v>
      </c>
      <c r="Z178" s="10">
        <f>Д402[[#This Row],[Фикс 20.12.24]]+Д402[[#This Row],[23.12.24 СП +1000]]</f>
        <v>126223</v>
      </c>
      <c r="AA178" s="149">
        <v>215</v>
      </c>
      <c r="AB178" s="10">
        <f>Д402[[#This Row],[Фикс 23.12.24]]+Д402[[#This Row],[Повышение 20.02.25]]</f>
        <v>126438</v>
      </c>
      <c r="AC178" s="149">
        <v>17.5</v>
      </c>
      <c r="AD178" s="10">
        <f>Д402[[#This Row],[Фикс 20.02.25]]+Д402[[#This Row],[Повышение 24.02.2025]]</f>
        <v>126455.5</v>
      </c>
      <c r="AE178" s="149">
        <f>Д402[[#This Row],[Фикс 24.02.25]]*1.5%</f>
        <v>1896.8325</v>
      </c>
      <c r="AF178" s="10">
        <f>Д402[[#This Row],[Фикс 24.02.25]]+Д402[[#This Row],[Повышение 05.03.2025
1К: до 40м - 1,5%, 40+ 0,5%
2К - 0,5% ]]</f>
        <v>128352.3325</v>
      </c>
      <c r="AG178" s="149">
        <f>Д402[[#This Row],[Фикс 05.03.25]]*1%</f>
        <v>1283.5233250000001</v>
      </c>
      <c r="AH178" s="10">
        <f>Д402[[#This Row],[Фикс 05.03.25]]+Д402[[#This Row],[повышение 14.03.25 1К-1%]]</f>
        <v>129635.85582500001</v>
      </c>
      <c r="AI178" s="149">
        <f>Д402[[#This Row],[Фикс 14.03.25]]*1%</f>
        <v>1296.35855825</v>
      </c>
      <c r="AJ178" s="10">
        <f>Д402[[#This Row],[Фикс 14.03.25]]+Д402[[#This Row],[повышение 28.03.25 1К-1%]]</f>
        <v>130932.21438325</v>
      </c>
      <c r="AK178" s="10"/>
      <c r="AL178" s="10">
        <f>Д402[[#This Row],[Фикс 28.03.25]]+Д402[[#This Row],[Повышение 23.07.25
1К 43-46м2 - 2%
2К 55-58 - 2%; 58-64 - 3%
3К 76-79 - 2%
]]</f>
        <v>130932.21438325</v>
      </c>
      <c r="AM178" s="164">
        <f>ROUND(Д402[[#This Row],[Фикс 23.07.25]],2)</f>
        <v>130932.21</v>
      </c>
      <c r="AN178" s="149">
        <f>ROUNDUP(Д402[[#This Row],[утв цена м2]]*Д402[[#This Row],[Расчетная проектная площадь]],-2)</f>
        <v>4786900</v>
      </c>
      <c r="AO178" s="151"/>
      <c r="AP178" s="152"/>
      <c r="AQ178" s="151">
        <f>Д402[[#This Row],[Стоимость до скидки]]*Д402[[#This Row],[Скидка %]]+Д402[[#This Row],[Скидка фиксированная]]</f>
        <v>0</v>
      </c>
      <c r="AR178" s="3">
        <f>Д402[[#This Row],[Стоимость ОН без отделки со скидкой]]/Д402[[#This Row],[Расчетная проектная площадь]]</f>
        <v>130932.71334792122</v>
      </c>
      <c r="AS178" s="3">
        <f>Д402[[#This Row],[Стоимость до скидки]]-Д402[[#This Row],[Итоговая сумма скидки]]</f>
        <v>4786900</v>
      </c>
      <c r="AT17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8" s="153"/>
      <c r="AV178" s="153"/>
      <c r="AW178" s="3">
        <f>Д402[[#This Row],[Цена м2 без отделки со скидкой]]+Д402[[#This Row],[Стоимость отделки]]</f>
        <v>130932.71334792122</v>
      </c>
      <c r="AX178" s="3">
        <f>Д402[[#This Row],[Стоимость квартиры с отделкой]]-Д402[[#This Row],[Стоимость ОН без отделки со скидкой]]</f>
        <v>0</v>
      </c>
      <c r="AY178" s="3">
        <f>Д402[[#This Row],[Цена м2 с отделкой]]*Д402[[#This Row],[Расчетная проектная площадь]]</f>
        <v>4786900</v>
      </c>
      <c r="AZ178" s="165"/>
      <c r="BA178" s="269" t="s">
        <v>128</v>
      </c>
      <c r="BB178" s="156" t="str" cm="1">
        <f t="array" ref="BB17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78" s="166" t="s">
        <v>740</v>
      </c>
      <c r="BD178" s="166" t="s">
        <v>506</v>
      </c>
      <c r="BE178" s="166" t="s">
        <v>737</v>
      </c>
      <c r="BF178" s="166" t="s">
        <v>746</v>
      </c>
      <c r="BG178" s="166" t="b">
        <f>EXACT(Д402[[#This Row],[Статусы CRM]],Д402[[#This Row],[Статус]])</f>
        <v>1</v>
      </c>
      <c r="BH178" s="3">
        <f>IF(Д402[[#This Row],[ПС]]=0,IF(Д402[[#This Row],[ДС]]=0,Д402[[#This Row],[ТС]],Д402[[#This Row],[ДС]]),Д402[[#This Row],[ПС]])</f>
        <v>4786900</v>
      </c>
      <c r="BI178" s="3">
        <v>4786900</v>
      </c>
      <c r="BJ178" s="3">
        <v>0</v>
      </c>
      <c r="BK178" s="3">
        <v>0</v>
      </c>
      <c r="BL178" s="274">
        <f>Д402[[#This Row],[Стоимость CRM]]-Д402[[#This Row],[Стоимость до скидки]]</f>
        <v>0</v>
      </c>
      <c r="BM178" s="166" t="s">
        <v>9</v>
      </c>
      <c r="BN178" s="166" t="b">
        <f>Д402[[#This Row],[Отделка CRM]]=Д402[[#This Row],[Отделка]]</f>
        <v>1</v>
      </c>
      <c r="BO178" s="275" t="s">
        <v>310</v>
      </c>
      <c r="BP178" s="69"/>
    </row>
    <row r="179" spans="1:68" ht="12" customHeight="1" x14ac:dyDescent="0.25">
      <c r="A179" s="140">
        <v>177</v>
      </c>
      <c r="B179" s="175">
        <v>2</v>
      </c>
      <c r="C179" s="141">
        <f t="shared" si="5"/>
        <v>13</v>
      </c>
      <c r="D179" s="142">
        <v>3</v>
      </c>
      <c r="E179" s="141">
        <v>0</v>
      </c>
      <c r="F179" s="143">
        <v>13.94</v>
      </c>
      <c r="G179" s="143"/>
      <c r="H179" s="143"/>
      <c r="I179" s="144">
        <f>SUM(Д402[[#This Row],[Комната 1]:[Комната 3]])</f>
        <v>13.94</v>
      </c>
      <c r="J179" s="145">
        <v>5.98</v>
      </c>
      <c r="K179" s="145">
        <v>4.47</v>
      </c>
      <c r="L179" s="145"/>
      <c r="M179" s="145">
        <v>5.04</v>
      </c>
      <c r="N179" s="145"/>
      <c r="O179" s="145"/>
      <c r="P179" s="146"/>
      <c r="Q179" s="146"/>
      <c r="R179" s="284">
        <f>SUM(Д402[[#This Row],[Лоджия 1]:[Лоджия 3]])</f>
        <v>0</v>
      </c>
      <c r="S179" s="10">
        <f>ROUND(SUM(Д402[[#This Row],[Площадь по проекту жилая]:[Лоджия 3]]),2)</f>
        <v>29.43</v>
      </c>
      <c r="T179" s="185">
        <f>ROUND(Д402[[#This Row],[Площадь по проекту(общая)]]-Д402[[#This Row],[Летние]],2)</f>
        <v>29.43</v>
      </c>
      <c r="U179" s="185">
        <f>ROUND(Д402[[#This Row],[Площадь по проекту(общая)]]-(SUM(Д402[[#This Row],[Лоджия 1]:[Лоджия 3]])/2),2)</f>
        <v>29.43</v>
      </c>
      <c r="V179" s="10">
        <f>VLOOKUP(Д402[[#This Row],[№]],наценка7[],COLUMN(наценка7[[#This Row],[Цена м2 с учетом всех K]]),0)</f>
        <v>145319.20000000001</v>
      </c>
      <c r="W179" s="163"/>
      <c r="X179" s="10">
        <f>Д402[[#This Row],[м2 после К]]+Д402[[#This Row],[02.12.2024]]</f>
        <v>145319.20000000001</v>
      </c>
      <c r="Y179" s="149">
        <v>1000</v>
      </c>
      <c r="Z179" s="10">
        <f>Д402[[#This Row],[Фикс 20.12.24]]+Д402[[#This Row],[23.12.24 СП +1000]]</f>
        <v>146319.20000000001</v>
      </c>
      <c r="AA179" s="149">
        <v>215</v>
      </c>
      <c r="AB179" s="10">
        <f>Д402[[#This Row],[Фикс 23.12.24]]+Д402[[#This Row],[Повышение 20.02.25]]</f>
        <v>146534.20000000001</v>
      </c>
      <c r="AC179" s="149">
        <v>17.5</v>
      </c>
      <c r="AD179" s="10">
        <f>Д402[[#This Row],[Фикс 20.02.25]]+Д402[[#This Row],[Повышение 24.02.2025]]</f>
        <v>146551.70000000001</v>
      </c>
      <c r="AE179" s="10"/>
      <c r="AF179" s="10">
        <f>Д402[[#This Row],[Фикс 24.02.25]]+Д402[[#This Row],[Повышение 05.03.2025
1К: до 40м - 1,5%, 40+ 0,5%
2К - 0,5% ]]</f>
        <v>146551.70000000001</v>
      </c>
      <c r="AG179" s="10"/>
      <c r="AH179" s="10">
        <f>Д402[[#This Row],[Фикс 05.03.25]]+Д402[[#This Row],[повышение 14.03.25 1К-1%]]</f>
        <v>146551.70000000001</v>
      </c>
      <c r="AI179" s="10"/>
      <c r="AJ179" s="10">
        <f>Д402[[#This Row],[Фикс 14.03.25]]+Д402[[#This Row],[повышение 28.03.25 1К-1%]]</f>
        <v>146551.70000000001</v>
      </c>
      <c r="AK179" s="10"/>
      <c r="AL179" s="10">
        <f>Д402[[#This Row],[Фикс 28.03.25]]+Д402[[#This Row],[Повышение 23.07.25
1К 43-46м2 - 2%
2К 55-58 - 2%; 58-64 - 3%
3К 76-79 - 2%
]]</f>
        <v>146551.70000000001</v>
      </c>
      <c r="AM179" s="164">
        <f>ROUND(Д402[[#This Row],[Фикс 23.07.25]],2)</f>
        <v>146551.70000000001</v>
      </c>
      <c r="AN179" s="149">
        <f>ROUNDUP(Д402[[#This Row],[утв цена м2]]*Д402[[#This Row],[Расчетная проектная площадь]],-2)</f>
        <v>4313100</v>
      </c>
      <c r="AO179" s="151"/>
      <c r="AP179" s="152"/>
      <c r="AQ179" s="151">
        <f>Д402[[#This Row],[Стоимость до скидки]]*Д402[[#This Row],[Скидка %]]+Д402[[#This Row],[Скидка фиксированная]]</f>
        <v>0</v>
      </c>
      <c r="AR179" s="3">
        <f>Д402[[#This Row],[Стоимость ОН без отделки со скидкой]]/Д402[[#This Row],[Расчетная проектная площадь]]</f>
        <v>146554.5361875637</v>
      </c>
      <c r="AS179" s="3">
        <f>Д402[[#This Row],[Стоимость до скидки]]-Д402[[#This Row],[Итоговая сумма скидки]]</f>
        <v>4313100</v>
      </c>
      <c r="AT17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79" s="153"/>
      <c r="AV179" s="153"/>
      <c r="AW179" s="3">
        <f>Д402[[#This Row],[Цена м2 без отделки со скидкой]]+Д402[[#This Row],[Стоимость отделки]]</f>
        <v>146554.5361875637</v>
      </c>
      <c r="AX179" s="3">
        <f>Д402[[#This Row],[Стоимость квартиры с отделкой]]-Д402[[#This Row],[Стоимость ОН без отделки со скидкой]]</f>
        <v>0</v>
      </c>
      <c r="AY179" s="3">
        <f>Д402[[#This Row],[Цена м2 с отделкой]]*Д402[[#This Row],[Расчетная проектная площадь]]</f>
        <v>4313100</v>
      </c>
      <c r="AZ179" s="165"/>
      <c r="BA179" s="155" t="s">
        <v>12</v>
      </c>
      <c r="BB179" s="156" t="str" cm="1">
        <f t="array" ref="BB17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79" s="166" t="s">
        <v>738</v>
      </c>
      <c r="BD179" s="166" t="s">
        <v>739</v>
      </c>
      <c r="BE179" s="166" t="s">
        <v>737</v>
      </c>
      <c r="BF179" s="166" t="s">
        <v>743</v>
      </c>
      <c r="BG179" s="166" t="b">
        <f>EXACT(Д402[[#This Row],[Статусы CRM]],Д402[[#This Row],[Статус]])</f>
        <v>1</v>
      </c>
      <c r="BH179" s="3">
        <f>IF(Д402[[#This Row],[ПС]]=0,IF(Д402[[#This Row],[ДС]]=0,Д402[[#This Row],[ТС]],Д402[[#This Row],[ДС]]),Д402[[#This Row],[ПС]])</f>
        <v>4313100</v>
      </c>
      <c r="BI179" s="3">
        <v>4313100</v>
      </c>
      <c r="BJ179" s="3">
        <v>0</v>
      </c>
      <c r="BK179" s="3">
        <v>0</v>
      </c>
      <c r="BL179" s="274">
        <f>Д402[[#This Row],[Стоимость CRM]]-Д402[[#This Row],[Стоимость до скидки]]</f>
        <v>0</v>
      </c>
      <c r="BM179" s="166" t="s">
        <v>9</v>
      </c>
      <c r="BN179" s="166" t="b">
        <f>Д402[[#This Row],[Отделка CRM]]=Д402[[#This Row],[Отделка]]</f>
        <v>1</v>
      </c>
      <c r="BO179" s="275" t="s">
        <v>311</v>
      </c>
      <c r="BP179" s="69"/>
    </row>
    <row r="180" spans="1:68" ht="12" customHeight="1" x14ac:dyDescent="0.25">
      <c r="A180" s="140">
        <v>178</v>
      </c>
      <c r="B180" s="175">
        <v>2</v>
      </c>
      <c r="C180" s="141">
        <f t="shared" si="5"/>
        <v>13</v>
      </c>
      <c r="D180" s="142">
        <v>4</v>
      </c>
      <c r="E180" s="141">
        <v>0</v>
      </c>
      <c r="F180" s="143">
        <v>13.39</v>
      </c>
      <c r="G180" s="143"/>
      <c r="H180" s="143"/>
      <c r="I180" s="144">
        <f>SUM(Д402[[#This Row],[Комната 1]:[Комната 3]])</f>
        <v>13.39</v>
      </c>
      <c r="J180" s="145">
        <v>5.98</v>
      </c>
      <c r="K180" s="145">
        <v>4.47</v>
      </c>
      <c r="L180" s="145"/>
      <c r="M180" s="145">
        <v>4.08</v>
      </c>
      <c r="N180" s="145"/>
      <c r="O180" s="145"/>
      <c r="P180" s="146"/>
      <c r="Q180" s="146"/>
      <c r="R180" s="284">
        <f>SUM(Д402[[#This Row],[Лоджия 1]:[Лоджия 3]])</f>
        <v>0</v>
      </c>
      <c r="S180" s="10">
        <f>ROUND(SUM(Д402[[#This Row],[Площадь по проекту жилая]:[Лоджия 3]]),2)</f>
        <v>27.92</v>
      </c>
      <c r="T180" s="185">
        <f>ROUND(Д402[[#This Row],[Площадь по проекту(общая)]]-Д402[[#This Row],[Летние]],2)</f>
        <v>27.92</v>
      </c>
      <c r="U180" s="185">
        <f>ROUND(Д402[[#This Row],[Площадь по проекту(общая)]]-(SUM(Д402[[#This Row],[Лоджия 1]:[Лоджия 3]])/2),2)</f>
        <v>27.92</v>
      </c>
      <c r="V180" s="10">
        <f>VLOOKUP(Д402[[#This Row],[№]],наценка7[],COLUMN(наценка7[[#This Row],[Цена м2 с учетом всех K]]),0)</f>
        <v>145319.20000000001</v>
      </c>
      <c r="W180" s="163"/>
      <c r="X180" s="10">
        <f>Д402[[#This Row],[м2 после К]]+Д402[[#This Row],[02.12.2024]]</f>
        <v>145319.20000000001</v>
      </c>
      <c r="Y180" s="149">
        <v>1000</v>
      </c>
      <c r="Z180" s="10">
        <f>Д402[[#This Row],[Фикс 20.12.24]]+Д402[[#This Row],[23.12.24 СП +1000]]</f>
        <v>146319.20000000001</v>
      </c>
      <c r="AA180" s="149">
        <v>215</v>
      </c>
      <c r="AB180" s="10">
        <f>Д402[[#This Row],[Фикс 23.12.24]]+Д402[[#This Row],[Повышение 20.02.25]]</f>
        <v>146534.20000000001</v>
      </c>
      <c r="AC180" s="149">
        <v>17.5</v>
      </c>
      <c r="AD180" s="10">
        <f>Д402[[#This Row],[Фикс 20.02.25]]+Д402[[#This Row],[Повышение 24.02.2025]]</f>
        <v>146551.70000000001</v>
      </c>
      <c r="AE180" s="10"/>
      <c r="AF180" s="10">
        <f>Д402[[#This Row],[Фикс 24.02.25]]+Д402[[#This Row],[Повышение 05.03.2025
1К: до 40м - 1,5%, 40+ 0,5%
2К - 0,5% ]]</f>
        <v>146551.70000000001</v>
      </c>
      <c r="AG180" s="10"/>
      <c r="AH180" s="10">
        <f>Д402[[#This Row],[Фикс 05.03.25]]+Д402[[#This Row],[повышение 14.03.25 1К-1%]]</f>
        <v>146551.70000000001</v>
      </c>
      <c r="AI180" s="10"/>
      <c r="AJ180" s="10">
        <f>Д402[[#This Row],[Фикс 14.03.25]]+Д402[[#This Row],[повышение 28.03.25 1К-1%]]</f>
        <v>146551.70000000001</v>
      </c>
      <c r="AK180" s="10"/>
      <c r="AL180" s="10">
        <f>Д402[[#This Row],[Фикс 28.03.25]]+Д402[[#This Row],[Повышение 23.07.25
1К 43-46м2 - 2%
2К 55-58 - 2%; 58-64 - 3%
3К 76-79 - 2%
]]</f>
        <v>146551.70000000001</v>
      </c>
      <c r="AM180" s="164">
        <f>ROUND(Д402[[#This Row],[Фикс 23.07.25]],2)</f>
        <v>146551.70000000001</v>
      </c>
      <c r="AN180" s="149">
        <f>ROUNDUP(Д402[[#This Row],[утв цена м2]]*Д402[[#This Row],[Расчетная проектная площадь]],-2)</f>
        <v>4091800</v>
      </c>
      <c r="AO180" s="151"/>
      <c r="AP180" s="152"/>
      <c r="AQ180" s="151">
        <f>Д402[[#This Row],[Стоимость до скидки]]*Д402[[#This Row],[Скидка %]]+Д402[[#This Row],[Скидка фиксированная]]</f>
        <v>0</v>
      </c>
      <c r="AR180" s="3">
        <f>Д402[[#This Row],[Стоимость ОН без отделки со скидкой]]/Д402[[#This Row],[Расчетная проектная площадь]]</f>
        <v>146554.44126074496</v>
      </c>
      <c r="AS180" s="3">
        <f>Д402[[#This Row],[Стоимость до скидки]]-Д402[[#This Row],[Итоговая сумма скидки]]</f>
        <v>4091800</v>
      </c>
      <c r="AT18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0" s="153"/>
      <c r="AV180" s="153"/>
      <c r="AW180" s="3">
        <f>Д402[[#This Row],[Цена м2 без отделки со скидкой]]+Д402[[#This Row],[Стоимость отделки]]</f>
        <v>146554.44126074496</v>
      </c>
      <c r="AX180" s="3">
        <f>Д402[[#This Row],[Стоимость квартиры с отделкой]]-Д402[[#This Row],[Стоимость ОН без отделки со скидкой]]</f>
        <v>0</v>
      </c>
      <c r="AY180" s="3">
        <f>Д402[[#This Row],[Цена м2 с отделкой]]*Д402[[#This Row],[Расчетная проектная площадь]]</f>
        <v>4091799.9999999995</v>
      </c>
      <c r="AZ180" s="165"/>
      <c r="BA180" s="155" t="s">
        <v>12</v>
      </c>
      <c r="BB180" s="156" t="str" cm="1">
        <f t="array" ref="BB18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0" s="166" t="s">
        <v>738</v>
      </c>
      <c r="BD180" s="166" t="s">
        <v>739</v>
      </c>
      <c r="BE180" s="166" t="s">
        <v>737</v>
      </c>
      <c r="BF180" s="166" t="s">
        <v>743</v>
      </c>
      <c r="BG180" s="166" t="b">
        <f>EXACT(Д402[[#This Row],[Статусы CRM]],Д402[[#This Row],[Статус]])</f>
        <v>1</v>
      </c>
      <c r="BH180" s="3">
        <f>IF(Д402[[#This Row],[ПС]]=0,IF(Д402[[#This Row],[ДС]]=0,Д402[[#This Row],[ТС]],Д402[[#This Row],[ДС]]),Д402[[#This Row],[ПС]])</f>
        <v>4091800</v>
      </c>
      <c r="BI180" s="3">
        <v>4091800</v>
      </c>
      <c r="BJ180" s="3">
        <v>0</v>
      </c>
      <c r="BK180" s="3">
        <v>0</v>
      </c>
      <c r="BL180" s="274">
        <f>Д402[[#This Row],[Стоимость CRM]]-Д402[[#This Row],[Стоимость до скидки]]</f>
        <v>0</v>
      </c>
      <c r="BM180" s="166" t="s">
        <v>9</v>
      </c>
      <c r="BN180" s="166" t="b">
        <f>Д402[[#This Row],[Отделка CRM]]=Д402[[#This Row],[Отделка]]</f>
        <v>1</v>
      </c>
      <c r="BO180" s="275" t="s">
        <v>312</v>
      </c>
      <c r="BP180" s="69"/>
    </row>
    <row r="181" spans="1:68" ht="12" customHeight="1" x14ac:dyDescent="0.25">
      <c r="A181" s="140">
        <v>179</v>
      </c>
      <c r="B181" s="175">
        <v>2</v>
      </c>
      <c r="C181" s="141">
        <f t="shared" ref="C181:C182" si="6">C175+1</f>
        <v>13</v>
      </c>
      <c r="D181" s="142">
        <v>5</v>
      </c>
      <c r="E181" s="141">
        <v>2</v>
      </c>
      <c r="F181" s="143">
        <v>16.579999999999998</v>
      </c>
      <c r="G181" s="143">
        <v>14.14</v>
      </c>
      <c r="H181" s="143"/>
      <c r="I181" s="144">
        <f>SUM(Д402[[#This Row],[Комната 1]:[Комната 3]])</f>
        <v>30.72</v>
      </c>
      <c r="J181" s="145">
        <v>12.38</v>
      </c>
      <c r="K181" s="145">
        <v>4.07</v>
      </c>
      <c r="L181" s="145"/>
      <c r="M181" s="145">
        <v>7.61</v>
      </c>
      <c r="N181" s="145">
        <v>7.03</v>
      </c>
      <c r="O181" s="145">
        <v>3.11</v>
      </c>
      <c r="P181" s="146"/>
      <c r="Q181" s="146"/>
      <c r="R181" s="284">
        <f>SUM(Д402[[#This Row],[Лоджия 1]:[Лоджия 3]])</f>
        <v>3.11</v>
      </c>
      <c r="S181" s="10">
        <f>ROUND(SUM(Д402[[#This Row],[Площадь по проекту жилая]:[Лоджия 3]]),2)</f>
        <v>64.92</v>
      </c>
      <c r="T181" s="185">
        <f>ROUND(Д402[[#This Row],[Площадь по проекту(общая)]]-Д402[[#This Row],[Летние]],2)</f>
        <v>61.81</v>
      </c>
      <c r="U181" s="185">
        <f>ROUND(Д402[[#This Row],[Площадь по проекту(общая)]]-(SUM(Д402[[#This Row],[Лоджия 1]:[Лоджия 3]])/2),2)</f>
        <v>63.37</v>
      </c>
      <c r="V181" s="10">
        <f>VLOOKUP(Д402[[#This Row],[№]],наценка7[],COLUMN(наценка7[[#This Row],[Цена м2 с учетом всех K]]),0)</f>
        <v>122072.4</v>
      </c>
      <c r="W181" s="162">
        <v>-7000</v>
      </c>
      <c r="X181" s="10">
        <f>Д402[[#This Row],[м2 после К]]+Д402[[#This Row],[02.12.2024]]</f>
        <v>115072.4</v>
      </c>
      <c r="Y181" s="149">
        <v>1000</v>
      </c>
      <c r="Z181" s="10">
        <f>Д402[[#This Row],[Фикс 20.12.24]]+Д402[[#This Row],[23.12.24 СП +1000]]</f>
        <v>116072.4</v>
      </c>
      <c r="AA181" s="149">
        <v>215</v>
      </c>
      <c r="AB181" s="10">
        <f>Д402[[#This Row],[Фикс 23.12.24]]+Д402[[#This Row],[Повышение 20.02.25]]</f>
        <v>116287.4</v>
      </c>
      <c r="AC181" s="149">
        <v>17.5</v>
      </c>
      <c r="AD181" s="10">
        <f>Д402[[#This Row],[Фикс 20.02.25]]+Д402[[#This Row],[Повышение 24.02.2025]]</f>
        <v>116304.9</v>
      </c>
      <c r="AE181" s="149">
        <f>Д402[[#This Row],[Фикс 24.02.25]]*0.5%</f>
        <v>581.52449999999999</v>
      </c>
      <c r="AF181" s="10">
        <f>Д402[[#This Row],[Фикс 24.02.25]]+Д402[[#This Row],[Повышение 05.03.2025
1К: до 40м - 1,5%, 40+ 0,5%
2К - 0,5% ]]</f>
        <v>116886.42449999999</v>
      </c>
      <c r="AG181" s="10"/>
      <c r="AH181" s="10">
        <f>Д402[[#This Row],[Фикс 05.03.25]]+Д402[[#This Row],[повышение 14.03.25 1К-1%]]</f>
        <v>116886.42449999999</v>
      </c>
      <c r="AI181" s="10"/>
      <c r="AJ181" s="10">
        <f>Д402[[#This Row],[Фикс 14.03.25]]+Д402[[#This Row],[повышение 28.03.25 1К-1%]]</f>
        <v>116886.42449999999</v>
      </c>
      <c r="AK181" s="10">
        <f>Д402[[#This Row],[Фикс 28.03.25]]*3%</f>
        <v>3506.5927349999997</v>
      </c>
      <c r="AL181" s="10">
        <f>Д402[[#This Row],[Фикс 28.03.25]]+Д402[[#This Row],[Повышение 23.07.25
1К 43-46м2 - 2%
2К 55-58 - 2%; 58-64 - 3%
3К 76-79 - 2%
]]</f>
        <v>120393.01723499999</v>
      </c>
      <c r="AM181" s="164">
        <f>ROUND(Д402[[#This Row],[Фикс 23.07.25]],2)</f>
        <v>120393.02</v>
      </c>
      <c r="AN181" s="149">
        <f>ROUNDUP(Д402[[#This Row],[утв цена м2]]*Д402[[#This Row],[Расчетная проектная площадь]],-2)</f>
        <v>7629400</v>
      </c>
      <c r="AO181" s="151"/>
      <c r="AP181" s="152"/>
      <c r="AQ181" s="151">
        <f>Д402[[#This Row],[Стоимость до скидки]]*Д402[[#This Row],[Скидка %]]+Д402[[#This Row],[Скидка фиксированная]]</f>
        <v>0</v>
      </c>
      <c r="AR181" s="3">
        <f>Д402[[#This Row],[Стоимость ОН без отделки со скидкой]]/Д402[[#This Row],[Расчетная проектная площадь]]</f>
        <v>120394.50844248067</v>
      </c>
      <c r="AS181" s="3">
        <f>Д402[[#This Row],[Стоимость до скидки]]-Д402[[#This Row],[Итоговая сумма скидки]]</f>
        <v>7629400</v>
      </c>
      <c r="AT18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1" s="153"/>
      <c r="AV181" s="153"/>
      <c r="AW181" s="3">
        <f>Д402[[#This Row],[Цена м2 без отделки со скидкой]]+Д402[[#This Row],[Стоимость отделки]]</f>
        <v>120394.50844248067</v>
      </c>
      <c r="AX181" s="3">
        <f>Д402[[#This Row],[Стоимость квартиры с отделкой]]-Д402[[#This Row],[Стоимость ОН без отделки со скидкой]]</f>
        <v>0</v>
      </c>
      <c r="AY181" s="3">
        <f>Д402[[#This Row],[Цена м2 с отделкой]]*Д402[[#This Row],[Расчетная проектная площадь]]</f>
        <v>7629400</v>
      </c>
      <c r="AZ181" s="165"/>
      <c r="BA181" s="269" t="s">
        <v>128</v>
      </c>
      <c r="BB181" s="269" t="str" cm="1">
        <f t="array" ref="BB18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81" s="166" t="s">
        <v>740</v>
      </c>
      <c r="BD181" s="166" t="s">
        <v>506</v>
      </c>
      <c r="BE181" s="166" t="s">
        <v>737</v>
      </c>
      <c r="BF181" s="166" t="s">
        <v>747</v>
      </c>
      <c r="BG181" s="166" t="b">
        <f>EXACT(Д402[[#This Row],[Статусы CRM]],Д402[[#This Row],[Статус]])</f>
        <v>1</v>
      </c>
      <c r="BH181" s="3">
        <f>IF(Д402[[#This Row],[ПС]]=0,IF(Д402[[#This Row],[ДС]]=0,Д402[[#This Row],[ТС]],Д402[[#This Row],[ДС]]),Д402[[#This Row],[ПС]])</f>
        <v>7629400</v>
      </c>
      <c r="BI181" s="3">
        <v>7629400</v>
      </c>
      <c r="BJ181" s="3">
        <v>0</v>
      </c>
      <c r="BK181" s="3">
        <v>0</v>
      </c>
      <c r="BL181" s="274">
        <f>Д402[[#This Row],[Стоимость CRM]]-Д402[[#This Row],[Стоимость до скидки]]</f>
        <v>0</v>
      </c>
      <c r="BM181" s="166" t="s">
        <v>9</v>
      </c>
      <c r="BN181" s="166" t="b">
        <f>Д402[[#This Row],[Отделка CRM]]=Д402[[#This Row],[Отделка]]</f>
        <v>1</v>
      </c>
      <c r="BO181" s="275" t="s">
        <v>313</v>
      </c>
      <c r="BP181" s="69"/>
    </row>
    <row r="182" spans="1:68" ht="12" customHeight="1" x14ac:dyDescent="0.25">
      <c r="A182" s="140">
        <v>180</v>
      </c>
      <c r="B182" s="175">
        <v>2</v>
      </c>
      <c r="C182" s="141">
        <f t="shared" si="6"/>
        <v>13</v>
      </c>
      <c r="D182" s="142">
        <v>6</v>
      </c>
      <c r="E182" s="141">
        <v>2</v>
      </c>
      <c r="F182" s="143">
        <v>17.73</v>
      </c>
      <c r="G182" s="143">
        <v>12.22</v>
      </c>
      <c r="H182" s="143"/>
      <c r="I182" s="144">
        <f>SUM(Д402[[#This Row],[Комната 1]:[Комната 3]])</f>
        <v>29.950000000000003</v>
      </c>
      <c r="J182" s="145">
        <v>13.65</v>
      </c>
      <c r="K182" s="145">
        <v>5.15</v>
      </c>
      <c r="L182" s="145">
        <v>2.5</v>
      </c>
      <c r="M182" s="145">
        <v>8.06</v>
      </c>
      <c r="N182" s="145"/>
      <c r="O182" s="145">
        <v>3.11</v>
      </c>
      <c r="P182" s="146"/>
      <c r="Q182" s="146"/>
      <c r="R182" s="284">
        <f>SUM(Д402[[#This Row],[Лоджия 1]:[Лоджия 3]])</f>
        <v>3.11</v>
      </c>
      <c r="S182" s="10">
        <f>ROUND(SUM(Д402[[#This Row],[Площадь по проекту жилая]:[Лоджия 3]]),2)</f>
        <v>62.42</v>
      </c>
      <c r="T182" s="185">
        <f>ROUND(Д402[[#This Row],[Площадь по проекту(общая)]]-Д402[[#This Row],[Летние]],2)</f>
        <v>59.31</v>
      </c>
      <c r="U182" s="185">
        <f>ROUND(Д402[[#This Row],[Площадь по проекту(общая)]]-(SUM(Д402[[#This Row],[Лоджия 1]:[Лоджия 3]])/2),2)</f>
        <v>60.87</v>
      </c>
      <c r="V182" s="10">
        <f>VLOOKUP(Д402[[#This Row],[№]],наценка7[],COLUMN(наценка7[[#This Row],[Цена м2 с учетом всех K]]),0)</f>
        <v>126593.60000000001</v>
      </c>
      <c r="W182" s="162">
        <v>-10000</v>
      </c>
      <c r="X182" s="10">
        <f>Д402[[#This Row],[м2 после К]]+Д402[[#This Row],[02.12.2024]]</f>
        <v>116593.60000000001</v>
      </c>
      <c r="Y182" s="149">
        <v>1000</v>
      </c>
      <c r="Z182" s="10">
        <f>Д402[[#This Row],[Фикс 20.12.24]]+Д402[[#This Row],[23.12.24 СП +1000]]</f>
        <v>117593.60000000001</v>
      </c>
      <c r="AA182" s="149">
        <v>215</v>
      </c>
      <c r="AB182" s="10">
        <f>Д402[[#This Row],[Фикс 23.12.24]]+Д402[[#This Row],[Повышение 20.02.25]]</f>
        <v>117808.6</v>
      </c>
      <c r="AC182" s="149">
        <v>17.5</v>
      </c>
      <c r="AD182" s="10">
        <f>Д402[[#This Row],[Фикс 20.02.25]]+Д402[[#This Row],[Повышение 24.02.2025]]</f>
        <v>117826.1</v>
      </c>
      <c r="AE182" s="149">
        <f>Д402[[#This Row],[Фикс 24.02.25]]*0.5%</f>
        <v>589.1305000000001</v>
      </c>
      <c r="AF182" s="10">
        <f>Д402[[#This Row],[Фикс 24.02.25]]+Д402[[#This Row],[Повышение 05.03.2025
1К: до 40м - 1,5%, 40+ 0,5%
2К - 0,5% ]]</f>
        <v>118415.23050000001</v>
      </c>
      <c r="AG182" s="10"/>
      <c r="AH182" s="10">
        <f>Д402[[#This Row],[Фикс 05.03.25]]+Д402[[#This Row],[повышение 14.03.25 1К-1%]]</f>
        <v>118415.23050000001</v>
      </c>
      <c r="AI182" s="10"/>
      <c r="AJ182" s="10">
        <f>Д402[[#This Row],[Фикс 14.03.25]]+Д402[[#This Row],[повышение 28.03.25 1К-1%]]</f>
        <v>118415.23050000001</v>
      </c>
      <c r="AK182" s="10">
        <f>Д402[[#This Row],[Фикс 28.03.25]]*3%</f>
        <v>3552.4569150000002</v>
      </c>
      <c r="AL182" s="10">
        <f>Д402[[#This Row],[Фикс 28.03.25]]+Д402[[#This Row],[Повышение 23.07.25
1К 43-46м2 - 2%
2К 55-58 - 2%; 58-64 - 3%
3К 76-79 - 2%
]]</f>
        <v>121967.68741500001</v>
      </c>
      <c r="AM182" s="164">
        <f>ROUND(Д402[[#This Row],[Фикс 23.07.25]],2)</f>
        <v>121967.69</v>
      </c>
      <c r="AN182" s="149">
        <f>ROUNDUP(Д402[[#This Row],[утв цена м2]]*Д402[[#This Row],[Расчетная проектная площадь]],-2)</f>
        <v>7424200</v>
      </c>
      <c r="AO182" s="151"/>
      <c r="AP182" s="152"/>
      <c r="AQ182" s="151">
        <f>Д402[[#This Row],[Стоимость до скидки]]*Д402[[#This Row],[Скидка %]]+Д402[[#This Row],[Скидка фиксированная]]</f>
        <v>0</v>
      </c>
      <c r="AR182" s="3">
        <f>Д402[[#This Row],[Стоимость ОН без отделки со скидкой]]/Д402[[#This Row],[Расчетная проектная площадь]]</f>
        <v>121968.12879908</v>
      </c>
      <c r="AS182" s="3">
        <f>Д402[[#This Row],[Стоимость до скидки]]-Д402[[#This Row],[Итоговая сумма скидки]]</f>
        <v>7424200</v>
      </c>
      <c r="AT18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82" s="153">
        <v>30000</v>
      </c>
      <c r="AV182" s="153" t="s">
        <v>722</v>
      </c>
      <c r="AW182" s="3">
        <f>Д402[[#This Row],[Цена м2 без отделки со скидкой]]+Д402[[#This Row],[Стоимость отделки]]</f>
        <v>151968.12879908</v>
      </c>
      <c r="AX182" s="3">
        <f>Д402[[#This Row],[Стоимость квартиры с отделкой]]-Д402[[#This Row],[Стоимость ОН без отделки со скидкой]]</f>
        <v>1826100</v>
      </c>
      <c r="AY182" s="3">
        <f>Д402[[#This Row],[Цена м2 с отделкой]]*Д402[[#This Row],[Расчетная проектная площадь]]</f>
        <v>9250300</v>
      </c>
      <c r="AZ182" s="165"/>
      <c r="BA182" s="269" t="s">
        <v>12</v>
      </c>
      <c r="BB182" s="269" t="str" cm="1">
        <f t="array" ref="BB18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2" s="166" t="s">
        <v>738</v>
      </c>
      <c r="BD182" s="166" t="s">
        <v>739</v>
      </c>
      <c r="BE182" s="166" t="s">
        <v>737</v>
      </c>
      <c r="BF182" s="166" t="s">
        <v>747</v>
      </c>
      <c r="BG182" s="166" t="b">
        <f>EXACT(Д402[[#This Row],[Статусы CRM]],Д402[[#This Row],[Статус]])</f>
        <v>1</v>
      </c>
      <c r="BH182" s="3">
        <f>IF(Д402[[#This Row],[ПС]]=0,IF(Д402[[#This Row],[ДС]]=0,Д402[[#This Row],[ТС]],Д402[[#This Row],[ДС]]),Д402[[#This Row],[ПС]])</f>
        <v>7424200</v>
      </c>
      <c r="BI182" s="3">
        <v>7424200</v>
      </c>
      <c r="BJ182" s="3">
        <v>0</v>
      </c>
      <c r="BK182" s="3">
        <v>0</v>
      </c>
      <c r="BL182" s="274">
        <f>Д402[[#This Row],[Стоимость CRM]]-Д402[[#This Row],[Стоимость до скидки]]</f>
        <v>0</v>
      </c>
      <c r="BM182" s="166" t="s">
        <v>11</v>
      </c>
      <c r="BN182" s="166" t="b">
        <f>Д402[[#This Row],[Отделка CRM]]=Д402[[#This Row],[Отделка]]</f>
        <v>1</v>
      </c>
      <c r="BO182" s="275" t="s">
        <v>314</v>
      </c>
      <c r="BP182" s="69"/>
    </row>
    <row r="183" spans="1:68" ht="12" customHeight="1" x14ac:dyDescent="0.25">
      <c r="A183" s="140">
        <v>181</v>
      </c>
      <c r="B183" s="175">
        <v>3</v>
      </c>
      <c r="C183" s="141">
        <v>2</v>
      </c>
      <c r="D183" s="142">
        <v>1</v>
      </c>
      <c r="E183" s="141">
        <v>1</v>
      </c>
      <c r="F183" s="143">
        <v>14.42</v>
      </c>
      <c r="G183" s="143"/>
      <c r="H183" s="143"/>
      <c r="I183" s="144">
        <f>SUM(Д402[[#This Row],[Комната 1]:[Комната 3]])</f>
        <v>14.42</v>
      </c>
      <c r="J183" s="145">
        <v>16.2</v>
      </c>
      <c r="K183" s="145">
        <v>4.09</v>
      </c>
      <c r="L183" s="145"/>
      <c r="M183" s="145">
        <v>8.0299999999999994</v>
      </c>
      <c r="N183" s="145"/>
      <c r="O183" s="145">
        <v>3.01</v>
      </c>
      <c r="P183" s="146"/>
      <c r="Q183" s="146"/>
      <c r="R183" s="146">
        <f>SUM(Д402[[#This Row],[Лоджия 1]:[Лоджия 3]])</f>
        <v>3.01</v>
      </c>
      <c r="S183" s="10">
        <f>ROUND(SUM(Д402[[#This Row],[Площадь по проекту жилая]:[Лоджия 3]]),2)</f>
        <v>45.75</v>
      </c>
      <c r="T183" s="10">
        <f>ROUND(Д402[[#This Row],[Площадь по проекту(общая)]]-Д402[[#This Row],[Летние]],2)</f>
        <v>42.74</v>
      </c>
      <c r="U183" s="10">
        <f>ROUND(Д402[[#This Row],[Площадь по проекту(общая)]]-(SUM(Д402[[#This Row],[Лоджия 1]:[Лоджия 3]])/2),2)</f>
        <v>44.25</v>
      </c>
      <c r="V183" s="10">
        <f>VLOOKUP(Д402[[#This Row],[№]],наценка7[],COLUMN(наценка7[[#This Row],[Цена м2 с учетом всех K]]),0)</f>
        <v>121645.2</v>
      </c>
      <c r="W183" s="162"/>
      <c r="X183" s="10">
        <f>Д402[[#This Row],[м2 после К]]+Д402[[#This Row],[02.12.2024]]</f>
        <v>121645.2</v>
      </c>
      <c r="Y183" s="149">
        <v>1000</v>
      </c>
      <c r="Z183" s="10">
        <f>Д402[[#This Row],[Фикс 20.12.24]]+Д402[[#This Row],[23.12.24 СП +1000]]</f>
        <v>122645.2</v>
      </c>
      <c r="AA183" s="149">
        <v>215</v>
      </c>
      <c r="AB183" s="10">
        <f>Д402[[#This Row],[Фикс 23.12.24]]+Д402[[#This Row],[Повышение 20.02.25]]</f>
        <v>122860.2</v>
      </c>
      <c r="AC183" s="149">
        <v>17.5</v>
      </c>
      <c r="AD183" s="10">
        <f>Д402[[#This Row],[Фикс 20.02.25]]+Д402[[#This Row],[Повышение 24.02.2025]]</f>
        <v>122877.7</v>
      </c>
      <c r="AE183" s="149">
        <f>Д402[[#This Row],[Фикс 24.02.25]]*0.5%</f>
        <v>614.38850000000002</v>
      </c>
      <c r="AF183" s="10">
        <f>Д402[[#This Row],[Фикс 24.02.25]]+Д402[[#This Row],[Повышение 05.03.2025
1К: до 40м - 1,5%, 40+ 0,5%
2К - 0,5% ]]</f>
        <v>123492.0885</v>
      </c>
      <c r="AG183" s="149">
        <f>Д402[[#This Row],[Фикс 05.03.25]]*1%</f>
        <v>1234.920885</v>
      </c>
      <c r="AH183" s="10">
        <f>Д402[[#This Row],[Фикс 05.03.25]]+Д402[[#This Row],[повышение 14.03.25 1К-1%]]</f>
        <v>124727.009385</v>
      </c>
      <c r="AI183" s="149">
        <f>Д402[[#This Row],[Фикс 14.03.25]]*1%</f>
        <v>1247.27009385</v>
      </c>
      <c r="AJ183" s="10">
        <f>Д402[[#This Row],[Фикс 14.03.25]]+Д402[[#This Row],[повышение 28.03.25 1К-1%]]</f>
        <v>125974.27947885</v>
      </c>
      <c r="AK183" s="149">
        <f>Д402[[#This Row],[Фикс 28.03.25]]*2%</f>
        <v>2519.4855895770002</v>
      </c>
      <c r="AL183" s="10">
        <f>Д402[[#This Row],[Фикс 28.03.25]]+Д402[[#This Row],[Повышение 23.07.25
1К 43-46м2 - 2%
2К 55-58 - 2%; 58-64 - 3%
3К 76-79 - 2%
]]</f>
        <v>128493.765068427</v>
      </c>
      <c r="AM183" s="149">
        <f>ROUND(Д402[[#This Row],[Фикс 23.07.25]],2)</f>
        <v>128493.77</v>
      </c>
      <c r="AN183" s="149">
        <f>ROUNDUP(Д402[[#This Row],[утв цена м2]]*Д402[[#This Row],[Расчетная проектная площадь]],-2)</f>
        <v>5685900</v>
      </c>
      <c r="AO183" s="151"/>
      <c r="AP183" s="152"/>
      <c r="AQ183" s="151">
        <f>Д402[[#This Row],[Стоимость до скидки]]*Д402[[#This Row],[Скидка %]]+Д402[[#This Row],[Скидка фиксированная]]</f>
        <v>0</v>
      </c>
      <c r="AR183" s="3">
        <f>Д402[[#This Row],[Стоимость ОН без отделки со скидкой]]/Д402[[#This Row],[Расчетная проектная площадь]]</f>
        <v>128494.91525423729</v>
      </c>
      <c r="AS183" s="3">
        <f>Д402[[#This Row],[Стоимость до скидки]]-Д402[[#This Row],[Итоговая сумма скидки]]</f>
        <v>5685900</v>
      </c>
      <c r="AT18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3" s="153"/>
      <c r="AV183" s="153"/>
      <c r="AW183" s="3">
        <f>Д402[[#This Row],[Цена м2 без отделки со скидкой]]+Д402[[#This Row],[Стоимость отделки]]</f>
        <v>128494.91525423729</v>
      </c>
      <c r="AX183" s="3">
        <f>Д402[[#This Row],[Стоимость квартиры с отделкой]]-Д402[[#This Row],[Стоимость ОН без отделки со скидкой]]</f>
        <v>0</v>
      </c>
      <c r="AY183" s="3">
        <f>Д402[[#This Row],[Цена м2 с отделкой]]*Д402[[#This Row],[Расчетная проектная площадь]]</f>
        <v>5685900</v>
      </c>
      <c r="AZ183" s="161"/>
      <c r="BA183" s="155" t="s">
        <v>12</v>
      </c>
      <c r="BB183" s="156" t="str" cm="1">
        <f t="array" ref="BB18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3" s="161" t="s">
        <v>738</v>
      </c>
      <c r="BD183" s="161" t="s">
        <v>739</v>
      </c>
      <c r="BE183" s="161" t="s">
        <v>737</v>
      </c>
      <c r="BF183" s="161" t="s">
        <v>745</v>
      </c>
      <c r="BG183" s="161" t="b">
        <f>EXACT(Д402[[#This Row],[Статусы CRM]],Д402[[#This Row],[Статус]])</f>
        <v>1</v>
      </c>
      <c r="BH183" s="3">
        <f>IF(Д402[[#This Row],[ПС]]=0,IF(Д402[[#This Row],[ДС]]=0,Д402[[#This Row],[ТС]],Д402[[#This Row],[ДС]]),Д402[[#This Row],[ПС]])</f>
        <v>5685900</v>
      </c>
      <c r="BI183" s="3">
        <v>5685900</v>
      </c>
      <c r="BJ183" s="3">
        <v>0</v>
      </c>
      <c r="BK183" s="3">
        <v>0</v>
      </c>
      <c r="BL183" s="273">
        <f>Д402[[#This Row],[Стоимость CRM]]-Д402[[#This Row],[Стоимость до скидки]]</f>
        <v>0</v>
      </c>
      <c r="BM183" s="161" t="s">
        <v>9</v>
      </c>
      <c r="BN183" s="161" t="b">
        <f>Д402[[#This Row],[Отделка CRM]]=Д402[[#This Row],[Отделка]]</f>
        <v>1</v>
      </c>
      <c r="BO183" s="275" t="s">
        <v>315</v>
      </c>
      <c r="BP183" s="69"/>
    </row>
    <row r="184" spans="1:68" ht="12" customHeight="1" x14ac:dyDescent="0.25">
      <c r="A184" s="140">
        <v>182</v>
      </c>
      <c r="B184" s="15">
        <v>3</v>
      </c>
      <c r="C184" s="141">
        <v>2</v>
      </c>
      <c r="D184" s="142">
        <v>2</v>
      </c>
      <c r="E184" s="141">
        <v>1</v>
      </c>
      <c r="F184" s="143">
        <v>12.76</v>
      </c>
      <c r="G184" s="143"/>
      <c r="H184" s="143"/>
      <c r="I184" s="144">
        <f>SUM(Д402[[#This Row],[Комната 1]:[Комната 3]])</f>
        <v>12.76</v>
      </c>
      <c r="J184" s="145">
        <v>15.1</v>
      </c>
      <c r="K184" s="145">
        <v>4.22</v>
      </c>
      <c r="L184" s="145"/>
      <c r="M184" s="145">
        <v>3.09</v>
      </c>
      <c r="N184" s="145"/>
      <c r="O184" s="145">
        <v>2.93</v>
      </c>
      <c r="P184" s="146"/>
      <c r="Q184" s="146"/>
      <c r="R184" s="146">
        <f>SUM(Д402[[#This Row],[Лоджия 1]:[Лоджия 3]])</f>
        <v>2.93</v>
      </c>
      <c r="S184" s="10">
        <f>ROUND(SUM(Д402[[#This Row],[Площадь по проекту жилая]:[Лоджия 3]]),2)</f>
        <v>38.1</v>
      </c>
      <c r="T184" s="10">
        <f>ROUND(Д402[[#This Row],[Площадь по проекту(общая)]]-Д402[[#This Row],[Летние]],2)</f>
        <v>35.17</v>
      </c>
      <c r="U184" s="10">
        <f>ROUND(Д402[[#This Row],[Площадь по проекту(общая)]]-(SUM(Д402[[#This Row],[Лоджия 1]:[Лоджия 3]])/2),2)</f>
        <v>36.64</v>
      </c>
      <c r="V184" s="10">
        <f>VLOOKUP(Д402[[#This Row],[№]],наценка7[],COLUMN(наценка7[[#This Row],[Цена м2 с учетом всех K]]),0)</f>
        <v>125223</v>
      </c>
      <c r="W184" s="162"/>
      <c r="X184" s="10">
        <f>Д402[[#This Row],[м2 после К]]+Д402[[#This Row],[02.12.2024]]</f>
        <v>125223</v>
      </c>
      <c r="Y184" s="149">
        <v>1000</v>
      </c>
      <c r="Z184" s="10">
        <f>Д402[[#This Row],[Фикс 20.12.24]]+Д402[[#This Row],[23.12.24 СП +1000]]</f>
        <v>126223</v>
      </c>
      <c r="AA184" s="149">
        <v>215</v>
      </c>
      <c r="AB184" s="10">
        <f>Д402[[#This Row],[Фикс 23.12.24]]+Д402[[#This Row],[Повышение 20.02.25]]</f>
        <v>126438</v>
      </c>
      <c r="AC184" s="149">
        <v>17.5</v>
      </c>
      <c r="AD184" s="10">
        <f>Д402[[#This Row],[Фикс 20.02.25]]+Д402[[#This Row],[Повышение 24.02.2025]]</f>
        <v>126455.5</v>
      </c>
      <c r="AE184" s="149">
        <f>Д402[[#This Row],[Фикс 24.02.25]]*1.5%</f>
        <v>1896.8325</v>
      </c>
      <c r="AF184" s="10">
        <f>Д402[[#This Row],[Фикс 24.02.25]]+Д402[[#This Row],[Повышение 05.03.2025
1К: до 40м - 1,5%, 40+ 0,5%
2К - 0,5% ]]</f>
        <v>128352.3325</v>
      </c>
      <c r="AG184" s="149">
        <f>Д402[[#This Row],[Фикс 05.03.25]]*1%</f>
        <v>1283.5233250000001</v>
      </c>
      <c r="AH184" s="10">
        <f>Д402[[#This Row],[Фикс 05.03.25]]+Д402[[#This Row],[повышение 14.03.25 1К-1%]]</f>
        <v>129635.85582500001</v>
      </c>
      <c r="AI184" s="149">
        <f>Д402[[#This Row],[Фикс 14.03.25]]*1%</f>
        <v>1296.35855825</v>
      </c>
      <c r="AJ184" s="10">
        <f>Д402[[#This Row],[Фикс 14.03.25]]+Д402[[#This Row],[повышение 28.03.25 1К-1%]]</f>
        <v>130932.21438325</v>
      </c>
      <c r="AK184" s="10"/>
      <c r="AL184" s="10">
        <f>Д402[[#This Row],[Фикс 28.03.25]]+Д402[[#This Row],[Повышение 23.07.25
1К 43-46м2 - 2%
2К 55-58 - 2%; 58-64 - 3%
3К 76-79 - 2%
]]</f>
        <v>130932.21438325</v>
      </c>
      <c r="AM184" s="149">
        <f>ROUND(Д402[[#This Row],[Фикс 23.07.25]],2)</f>
        <v>130932.21</v>
      </c>
      <c r="AN184" s="149">
        <f>ROUNDUP(Д402[[#This Row],[утв цена м2]]*Д402[[#This Row],[Расчетная проектная площадь]],-2)</f>
        <v>4797400</v>
      </c>
      <c r="AO184" s="151"/>
      <c r="AP184" s="152"/>
      <c r="AQ184" s="151">
        <f>Д402[[#This Row],[Стоимость до скидки]]*Д402[[#This Row],[Скидка %]]+Д402[[#This Row],[Скидка фиксированная]]</f>
        <v>0</v>
      </c>
      <c r="AR184" s="3">
        <f>Д402[[#This Row],[Стоимость ОН без отделки со скидкой]]/Д402[[#This Row],[Расчетная проектная площадь]]</f>
        <v>130933.40611353712</v>
      </c>
      <c r="AS184" s="3">
        <f>Д402[[#This Row],[Стоимость до скидки]]-Д402[[#This Row],[Итоговая сумма скидки]]</f>
        <v>4797400</v>
      </c>
      <c r="AT18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4" s="153"/>
      <c r="AV184" s="153"/>
      <c r="AW184" s="3">
        <f>Д402[[#This Row],[Цена м2 без отделки со скидкой]]+Д402[[#This Row],[Стоимость отделки]]</f>
        <v>130933.40611353712</v>
      </c>
      <c r="AX184" s="3">
        <f>Д402[[#This Row],[Стоимость квартиры с отделкой]]-Д402[[#This Row],[Стоимость ОН без отделки со скидкой]]</f>
        <v>0</v>
      </c>
      <c r="AY184" s="3">
        <f>Д402[[#This Row],[Цена м2 с отделкой]]*Д402[[#This Row],[Расчетная проектная площадь]]</f>
        <v>4797400</v>
      </c>
      <c r="AZ184" s="161"/>
      <c r="BA184" s="155" t="s">
        <v>12</v>
      </c>
      <c r="BB184" s="156" t="str" cm="1">
        <f t="array" ref="BB18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4" s="161" t="s">
        <v>738</v>
      </c>
      <c r="BD184" s="161" t="s">
        <v>739</v>
      </c>
      <c r="BE184" s="161" t="s">
        <v>737</v>
      </c>
      <c r="BF184" s="161" t="s">
        <v>745</v>
      </c>
      <c r="BG184" s="161" t="b">
        <f>EXACT(Д402[[#This Row],[Статусы CRM]],Д402[[#This Row],[Статус]])</f>
        <v>1</v>
      </c>
      <c r="BH184" s="3">
        <f>IF(Д402[[#This Row],[ПС]]=0,IF(Д402[[#This Row],[ДС]]=0,Д402[[#This Row],[ТС]],Д402[[#This Row],[ДС]]),Д402[[#This Row],[ПС]])</f>
        <v>4797400</v>
      </c>
      <c r="BI184" s="3">
        <v>4797400</v>
      </c>
      <c r="BJ184" s="3">
        <v>0</v>
      </c>
      <c r="BK184" s="3">
        <v>0</v>
      </c>
      <c r="BL184" s="273">
        <f>Д402[[#This Row],[Стоимость CRM]]-Д402[[#This Row],[Стоимость до скидки]]</f>
        <v>0</v>
      </c>
      <c r="BM184" s="161" t="s">
        <v>9</v>
      </c>
      <c r="BN184" s="161" t="b">
        <f>Д402[[#This Row],[Отделка CRM]]=Д402[[#This Row],[Отделка]]</f>
        <v>1</v>
      </c>
      <c r="BO184" s="275" t="s">
        <v>316</v>
      </c>
      <c r="BP184" s="69"/>
    </row>
    <row r="185" spans="1:68" ht="12" customHeight="1" x14ac:dyDescent="0.25">
      <c r="A185" s="140">
        <v>183</v>
      </c>
      <c r="B185" s="15">
        <v>3</v>
      </c>
      <c r="C185" s="141">
        <v>2</v>
      </c>
      <c r="D185" s="142">
        <v>3</v>
      </c>
      <c r="E185" s="141">
        <v>2</v>
      </c>
      <c r="F185" s="143">
        <v>15.36</v>
      </c>
      <c r="G185" s="143">
        <v>11.95</v>
      </c>
      <c r="H185" s="143"/>
      <c r="I185" s="144">
        <f>SUM(Д402[[#This Row],[Комната 1]:[Комната 3]])</f>
        <v>27.31</v>
      </c>
      <c r="J185" s="145">
        <v>18.87</v>
      </c>
      <c r="K185" s="145">
        <v>4.21</v>
      </c>
      <c r="L185" s="145"/>
      <c r="M185" s="145">
        <v>6.6</v>
      </c>
      <c r="N185" s="145"/>
      <c r="O185" s="145"/>
      <c r="P185" s="146"/>
      <c r="Q185" s="146"/>
      <c r="R185" s="146">
        <f>SUM(Д402[[#This Row],[Лоджия 1]:[Лоджия 3]])</f>
        <v>0</v>
      </c>
      <c r="S185" s="10">
        <f>ROUND(SUM(Д402[[#This Row],[Площадь по проекту жилая]:[Лоджия 3]]),2)</f>
        <v>56.99</v>
      </c>
      <c r="T185" s="10">
        <f>ROUND(Д402[[#This Row],[Площадь по проекту(общая)]]-Д402[[#This Row],[Летние]],2)</f>
        <v>56.99</v>
      </c>
      <c r="U185" s="10">
        <f>ROUND(Д402[[#This Row],[Площадь по проекту(общая)]]-(SUM(Д402[[#This Row],[Лоджия 1]:[Лоджия 3]])/2),2)</f>
        <v>56.99</v>
      </c>
      <c r="V185" s="10">
        <f>VLOOKUP(Д402[[#This Row],[№]],наценка7[],COLUMN(наценка7[[#This Row],[Цена м2 с учетом всех K]]),0)</f>
        <v>116420.9</v>
      </c>
      <c r="W185" s="162"/>
      <c r="X185" s="10">
        <f>Д402[[#This Row],[м2 после К]]+Д402[[#This Row],[02.12.2024]]</f>
        <v>116420.9</v>
      </c>
      <c r="Y185" s="149">
        <v>1000</v>
      </c>
      <c r="Z185" s="10">
        <f>Д402[[#This Row],[Фикс 20.12.24]]+Д402[[#This Row],[23.12.24 СП +1000]]</f>
        <v>117420.9</v>
      </c>
      <c r="AA185" s="149">
        <v>215</v>
      </c>
      <c r="AB185" s="10">
        <f>Д402[[#This Row],[Фикс 23.12.24]]+Д402[[#This Row],[Повышение 20.02.25]]</f>
        <v>117635.9</v>
      </c>
      <c r="AC185" s="149">
        <v>17.5</v>
      </c>
      <c r="AD185" s="10">
        <f>Д402[[#This Row],[Фикс 20.02.25]]+Д402[[#This Row],[Повышение 24.02.2025]]</f>
        <v>117653.4</v>
      </c>
      <c r="AE185" s="149">
        <f>Д402[[#This Row],[Фикс 24.02.25]]*0.5%</f>
        <v>588.26699999999994</v>
      </c>
      <c r="AF185" s="10">
        <f>Д402[[#This Row],[Фикс 24.02.25]]+Д402[[#This Row],[Повышение 05.03.2025
1К: до 40м - 1,5%, 40+ 0,5%
2К - 0,5% ]]</f>
        <v>118241.667</v>
      </c>
      <c r="AG185" s="10"/>
      <c r="AH185" s="10">
        <f>Д402[[#This Row],[Фикс 05.03.25]]+Д402[[#This Row],[повышение 14.03.25 1К-1%]]</f>
        <v>118241.667</v>
      </c>
      <c r="AI185" s="10"/>
      <c r="AJ185" s="10">
        <f>Д402[[#This Row],[Фикс 14.03.25]]+Д402[[#This Row],[повышение 28.03.25 1К-1%]]</f>
        <v>118241.667</v>
      </c>
      <c r="AK185" s="149">
        <f>Д402[[#This Row],[Фикс 28.03.25]]*2%</f>
        <v>2364.8333400000001</v>
      </c>
      <c r="AL185" s="10">
        <f>Д402[[#This Row],[Фикс 28.03.25]]+Д402[[#This Row],[Повышение 23.07.25
1К 43-46м2 - 2%
2К 55-58 - 2%; 58-64 - 3%
3К 76-79 - 2%
]]</f>
        <v>120606.50034</v>
      </c>
      <c r="AM185" s="149">
        <f>ROUND(Д402[[#This Row],[Фикс 23.07.25]],2)</f>
        <v>120606.5</v>
      </c>
      <c r="AN185" s="149">
        <f>ROUNDUP(Д402[[#This Row],[утв цена м2]]*Д402[[#This Row],[Расчетная проектная площадь]],-2)</f>
        <v>6873400</v>
      </c>
      <c r="AO185" s="151"/>
      <c r="AP185" s="152"/>
      <c r="AQ185" s="151">
        <f>Д402[[#This Row],[Стоимость до скидки]]*Д402[[#This Row],[Скидка %]]+Д402[[#This Row],[Скидка фиксированная]]</f>
        <v>0</v>
      </c>
      <c r="AR185" s="3">
        <f>Д402[[#This Row],[Стоимость ОН без отделки со скидкой]]/Д402[[#This Row],[Расчетная проектная площадь]]</f>
        <v>120607.12405685207</v>
      </c>
      <c r="AS185" s="3">
        <f>Д402[[#This Row],[Стоимость до скидки]]-Д402[[#This Row],[Итоговая сумма скидки]]</f>
        <v>6873400</v>
      </c>
      <c r="AT18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5" s="153"/>
      <c r="AV185" s="153"/>
      <c r="AW185" s="3">
        <f>Д402[[#This Row],[Цена м2 без отделки со скидкой]]+Д402[[#This Row],[Стоимость отделки]]</f>
        <v>120607.12405685207</v>
      </c>
      <c r="AX185" s="3">
        <f>Д402[[#This Row],[Стоимость квартиры с отделкой]]-Д402[[#This Row],[Стоимость ОН без отделки со скидкой]]</f>
        <v>0</v>
      </c>
      <c r="AY185" s="3">
        <f>Д402[[#This Row],[Цена м2 с отделкой]]*Д402[[#This Row],[Расчетная проектная площадь]]</f>
        <v>6873400</v>
      </c>
      <c r="AZ185" s="161"/>
      <c r="BA185" s="155" t="s">
        <v>12</v>
      </c>
      <c r="BB185" s="156" t="str" cm="1">
        <f t="array" ref="BB18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5" s="161" t="s">
        <v>738</v>
      </c>
      <c r="BD185" s="161" t="s">
        <v>739</v>
      </c>
      <c r="BE185" s="161" t="s">
        <v>737</v>
      </c>
      <c r="BF185" s="161" t="s">
        <v>744</v>
      </c>
      <c r="BG185" s="161" t="b">
        <f>EXACT(Д402[[#This Row],[Статусы CRM]],Д402[[#This Row],[Статус]])</f>
        <v>1</v>
      </c>
      <c r="BH185" s="3">
        <f>IF(Д402[[#This Row],[ПС]]=0,IF(Д402[[#This Row],[ДС]]=0,Д402[[#This Row],[ТС]],Д402[[#This Row],[ДС]]),Д402[[#This Row],[ПС]])</f>
        <v>6873400</v>
      </c>
      <c r="BI185" s="3">
        <v>6873400</v>
      </c>
      <c r="BJ185" s="3">
        <v>0</v>
      </c>
      <c r="BK185" s="3">
        <v>0</v>
      </c>
      <c r="BL185" s="273">
        <f>Д402[[#This Row],[Стоимость CRM]]-Д402[[#This Row],[Стоимость до скидки]]</f>
        <v>0</v>
      </c>
      <c r="BM185" s="161" t="s">
        <v>9</v>
      </c>
      <c r="BN185" s="161" t="b">
        <f>Д402[[#This Row],[Отделка CRM]]=Д402[[#This Row],[Отделка]]</f>
        <v>1</v>
      </c>
      <c r="BO185" s="275" t="s">
        <v>317</v>
      </c>
      <c r="BP185" s="69"/>
    </row>
    <row r="186" spans="1:68" ht="12" customHeight="1" x14ac:dyDescent="0.25">
      <c r="A186" s="140">
        <v>184</v>
      </c>
      <c r="B186" s="175">
        <v>3</v>
      </c>
      <c r="C186" s="141">
        <v>2</v>
      </c>
      <c r="D186" s="142">
        <v>4</v>
      </c>
      <c r="E186" s="141">
        <v>1</v>
      </c>
      <c r="F186" s="143">
        <v>14.28</v>
      </c>
      <c r="G186" s="143"/>
      <c r="H186" s="143"/>
      <c r="I186" s="144">
        <f>SUM(Д402[[#This Row],[Комната 1]:[Комната 3]])</f>
        <v>14.28</v>
      </c>
      <c r="J186" s="145">
        <v>13.99</v>
      </c>
      <c r="K186" s="145">
        <v>3.9</v>
      </c>
      <c r="L186" s="145"/>
      <c r="M186" s="145">
        <v>2.6</v>
      </c>
      <c r="N186" s="145"/>
      <c r="O186" s="145">
        <v>3.23</v>
      </c>
      <c r="P186" s="146"/>
      <c r="Q186" s="146"/>
      <c r="R186" s="146">
        <f>SUM(Д402[[#This Row],[Лоджия 1]:[Лоджия 3]])</f>
        <v>3.23</v>
      </c>
      <c r="S186" s="10">
        <f>ROUND(SUM(Д402[[#This Row],[Площадь по проекту жилая]:[Лоджия 3]]),2)</f>
        <v>38</v>
      </c>
      <c r="T186" s="10">
        <f>ROUND(Д402[[#This Row],[Площадь по проекту(общая)]]-Д402[[#This Row],[Летние]],2)</f>
        <v>34.770000000000003</v>
      </c>
      <c r="U186" s="10">
        <f>ROUND(Д402[[#This Row],[Площадь по проекту(общая)]]-(SUM(Д402[[#This Row],[Лоджия 1]:[Лоджия 3]])/2),2)</f>
        <v>36.39</v>
      </c>
      <c r="V186" s="10">
        <f>VLOOKUP(Д402[[#This Row],[№]],наценка7[],COLUMN(наценка7[[#This Row],[Цена м2 с учетом всех K]]),0)</f>
        <v>124030.39999999999</v>
      </c>
      <c r="W186" s="162"/>
      <c r="X186" s="10">
        <f>Д402[[#This Row],[м2 после К]]+Д402[[#This Row],[02.12.2024]]</f>
        <v>124030.39999999999</v>
      </c>
      <c r="Y186" s="149">
        <v>1000</v>
      </c>
      <c r="Z186" s="10">
        <f>Д402[[#This Row],[Фикс 20.12.24]]+Д402[[#This Row],[23.12.24 СП +1000]]</f>
        <v>125030.39999999999</v>
      </c>
      <c r="AA186" s="149">
        <v>215</v>
      </c>
      <c r="AB186" s="10">
        <f>Д402[[#This Row],[Фикс 23.12.24]]+Д402[[#This Row],[Повышение 20.02.25]]</f>
        <v>125245.4</v>
      </c>
      <c r="AC186" s="149">
        <v>17.5</v>
      </c>
      <c r="AD186" s="10">
        <f>Д402[[#This Row],[Фикс 20.02.25]]+Д402[[#This Row],[Повышение 24.02.2025]]</f>
        <v>125262.9</v>
      </c>
      <c r="AE186" s="149">
        <f>Д402[[#This Row],[Фикс 24.02.25]]*1.5%</f>
        <v>1878.9434999999999</v>
      </c>
      <c r="AF186" s="10">
        <f>Д402[[#This Row],[Фикс 24.02.25]]+Д402[[#This Row],[Повышение 05.03.2025
1К: до 40м - 1,5%, 40+ 0,5%
2К - 0,5% ]]</f>
        <v>127141.84349999999</v>
      </c>
      <c r="AG186" s="149">
        <f>Д402[[#This Row],[Фикс 05.03.25]]*1%</f>
        <v>1271.4184349999998</v>
      </c>
      <c r="AH186" s="10">
        <f>Д402[[#This Row],[Фикс 05.03.25]]+Д402[[#This Row],[повышение 14.03.25 1К-1%]]</f>
        <v>128413.26193499999</v>
      </c>
      <c r="AI186" s="149">
        <f>Д402[[#This Row],[Фикс 14.03.25]]*1%</f>
        <v>1284.1326193499999</v>
      </c>
      <c r="AJ186" s="10">
        <f>Д402[[#This Row],[Фикс 14.03.25]]+Д402[[#This Row],[повышение 28.03.25 1К-1%]]</f>
        <v>129697.39455434999</v>
      </c>
      <c r="AK186" s="10"/>
      <c r="AL186" s="10">
        <f>Д402[[#This Row],[Фикс 28.03.25]]+Д402[[#This Row],[Повышение 23.07.25
1К 43-46м2 - 2%
2К 55-58 - 2%; 58-64 - 3%
3К 76-79 - 2%
]]</f>
        <v>129697.39455434999</v>
      </c>
      <c r="AM186" s="149">
        <f>ROUND(Д402[[#This Row],[Фикс 23.07.25]],2)</f>
        <v>129697.39</v>
      </c>
      <c r="AN186" s="149">
        <f>ROUNDUP(Д402[[#This Row],[утв цена м2]]*Д402[[#This Row],[Расчетная проектная площадь]],-2)</f>
        <v>4719700</v>
      </c>
      <c r="AO186" s="151"/>
      <c r="AP186" s="152"/>
      <c r="AQ186" s="151">
        <f>Д402[[#This Row],[Стоимость до скидки]]*Д402[[#This Row],[Скидка %]]+Д402[[#This Row],[Скидка фиксированная]]</f>
        <v>0</v>
      </c>
      <c r="AR186" s="3">
        <f>Д402[[#This Row],[Стоимость ОН без отделки со скидкой]]/Д402[[#This Row],[Расчетная проектная площадь]]</f>
        <v>129697.71915361362</v>
      </c>
      <c r="AS186" s="3">
        <f>Д402[[#This Row],[Стоимость до скидки]]-Д402[[#This Row],[Итоговая сумма скидки]]</f>
        <v>4719700</v>
      </c>
      <c r="AT18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6" s="153"/>
      <c r="AV186" s="153"/>
      <c r="AW186" s="3">
        <f>Д402[[#This Row],[Цена м2 без отделки со скидкой]]+Д402[[#This Row],[Стоимость отделки]]</f>
        <v>129697.71915361362</v>
      </c>
      <c r="AX186" s="3">
        <f>Д402[[#This Row],[Стоимость квартиры с отделкой]]-Д402[[#This Row],[Стоимость ОН без отделки со скидкой]]</f>
        <v>0</v>
      </c>
      <c r="AY186" s="3">
        <f>Д402[[#This Row],[Цена м2 с отделкой]]*Д402[[#This Row],[Расчетная проектная площадь]]</f>
        <v>4719700</v>
      </c>
      <c r="AZ186" s="161"/>
      <c r="BA186" s="155" t="s">
        <v>12</v>
      </c>
      <c r="BB186" s="156" t="str" cm="1">
        <f t="array" ref="BB18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6" s="161" t="s">
        <v>738</v>
      </c>
      <c r="BD186" s="161" t="s">
        <v>739</v>
      </c>
      <c r="BE186" s="161" t="s">
        <v>737</v>
      </c>
      <c r="BF186" s="161" t="s">
        <v>746</v>
      </c>
      <c r="BG186" s="161" t="b">
        <f>EXACT(Д402[[#This Row],[Статусы CRM]],Д402[[#This Row],[Статус]])</f>
        <v>1</v>
      </c>
      <c r="BH186" s="3">
        <f>IF(Д402[[#This Row],[ПС]]=0,IF(Д402[[#This Row],[ДС]]=0,Д402[[#This Row],[ТС]],Д402[[#This Row],[ДС]]),Д402[[#This Row],[ПС]])</f>
        <v>4719700</v>
      </c>
      <c r="BI186" s="3">
        <v>4719700</v>
      </c>
      <c r="BJ186" s="3">
        <v>0</v>
      </c>
      <c r="BK186" s="3">
        <v>0</v>
      </c>
      <c r="BL186" s="273">
        <f>Д402[[#This Row],[Стоимость CRM]]-Д402[[#This Row],[Стоимость до скидки]]</f>
        <v>0</v>
      </c>
      <c r="BM186" s="161" t="s">
        <v>9</v>
      </c>
      <c r="BN186" s="161" t="b">
        <f>Д402[[#This Row],[Отделка CRM]]=Д402[[#This Row],[Отделка]]</f>
        <v>1</v>
      </c>
      <c r="BO186" s="275" t="s">
        <v>318</v>
      </c>
      <c r="BP186" s="69"/>
    </row>
    <row r="187" spans="1:68" ht="12" customHeight="1" x14ac:dyDescent="0.25">
      <c r="A187" s="140">
        <v>185</v>
      </c>
      <c r="B187" s="15">
        <v>3</v>
      </c>
      <c r="C187" s="141">
        <v>2</v>
      </c>
      <c r="D187" s="142">
        <v>5</v>
      </c>
      <c r="E187" s="141">
        <v>3</v>
      </c>
      <c r="F187" s="143">
        <v>15.96</v>
      </c>
      <c r="G187" s="143">
        <v>11.55</v>
      </c>
      <c r="H187" s="143">
        <v>18.350000000000001</v>
      </c>
      <c r="I187" s="144">
        <f>SUM(Д402[[#This Row],[Комната 1]:[Комната 3]])</f>
        <v>45.86</v>
      </c>
      <c r="J187" s="145">
        <v>11.42</v>
      </c>
      <c r="K187" s="145">
        <v>3.9</v>
      </c>
      <c r="L187" s="145">
        <v>4.37</v>
      </c>
      <c r="M187" s="145">
        <v>11.06</v>
      </c>
      <c r="N187" s="145"/>
      <c r="O187" s="145">
        <v>3.1</v>
      </c>
      <c r="P187" s="146"/>
      <c r="Q187" s="146"/>
      <c r="R187" s="146">
        <f>SUM(Д402[[#This Row],[Лоджия 1]:[Лоджия 3]])</f>
        <v>3.1</v>
      </c>
      <c r="S187" s="10">
        <f>ROUND(SUM(Д402[[#This Row],[Площадь по проекту жилая]:[Лоджия 3]]),2)</f>
        <v>79.709999999999994</v>
      </c>
      <c r="T187" s="10">
        <f>ROUND(Д402[[#This Row],[Площадь по проекту(общая)]]-Д402[[#This Row],[Летние]],2)</f>
        <v>76.61</v>
      </c>
      <c r="U187" s="10">
        <f>ROUND(Д402[[#This Row],[Площадь по проекту(общая)]]-(SUM(Д402[[#This Row],[Лоджия 1]:[Лоджия 3]])/2),2)</f>
        <v>78.16</v>
      </c>
      <c r="V187" s="10">
        <f>VLOOKUP(Д402[[#This Row],[№]],наценка7[],COLUMN(наценка7[[#This Row],[Цена м2 с учетом всех K]]),0)</f>
        <v>109434.4</v>
      </c>
      <c r="W187" s="162"/>
      <c r="X187" s="10">
        <f>Д402[[#This Row],[м2 после К]]+Д402[[#This Row],[02.12.2024]]</f>
        <v>109434.4</v>
      </c>
      <c r="Y187" s="149">
        <v>1000</v>
      </c>
      <c r="Z187" s="10">
        <f>Д402[[#This Row],[Фикс 20.12.24]]+Д402[[#This Row],[23.12.24 СП +1000]]</f>
        <v>110434.4</v>
      </c>
      <c r="AA187" s="149">
        <v>215</v>
      </c>
      <c r="AB187" s="10">
        <f>Д402[[#This Row],[Фикс 23.12.24]]+Д402[[#This Row],[Повышение 20.02.25]]</f>
        <v>110649.4</v>
      </c>
      <c r="AC187" s="149">
        <v>17.5</v>
      </c>
      <c r="AD187" s="10">
        <f>Д402[[#This Row],[Фикс 20.02.25]]+Д402[[#This Row],[Повышение 24.02.2025]]</f>
        <v>110666.9</v>
      </c>
      <c r="AE187" s="10"/>
      <c r="AF187" s="10">
        <f>Д402[[#This Row],[Фикс 24.02.25]]+Д402[[#This Row],[Повышение 05.03.2025
1К: до 40м - 1,5%, 40+ 0,5%
2К - 0,5% ]]</f>
        <v>110666.9</v>
      </c>
      <c r="AG187" s="10"/>
      <c r="AH187" s="10">
        <f>Д402[[#This Row],[Фикс 05.03.25]]+Д402[[#This Row],[повышение 14.03.25 1К-1%]]</f>
        <v>110666.9</v>
      </c>
      <c r="AI187" s="10"/>
      <c r="AJ187" s="10">
        <f>Д402[[#This Row],[Фикс 14.03.25]]+Д402[[#This Row],[повышение 28.03.25 1К-1%]]</f>
        <v>110666.9</v>
      </c>
      <c r="AK187" s="10"/>
      <c r="AL187" s="10">
        <f>Д402[[#This Row],[Фикс 28.03.25]]+Д402[[#This Row],[Повышение 23.07.25
1К 43-46м2 - 2%
2К 55-58 - 2%; 58-64 - 3%
3К 76-79 - 2%
]]</f>
        <v>110666.9</v>
      </c>
      <c r="AM187" s="149">
        <f>ROUND(Д402[[#This Row],[Фикс 23.07.25]],2)</f>
        <v>110666.9</v>
      </c>
      <c r="AN187" s="149">
        <f>ROUNDUP(Д402[[#This Row],[утв цена м2]]*Д402[[#This Row],[Расчетная проектная площадь]],-2)</f>
        <v>8649800</v>
      </c>
      <c r="AO187" s="151"/>
      <c r="AP187" s="152"/>
      <c r="AQ187" s="151">
        <f>Д402[[#This Row],[Стоимость до скидки]]*Д402[[#This Row],[Скидка %]]+Д402[[#This Row],[Скидка фиксированная]]</f>
        <v>0</v>
      </c>
      <c r="AR187" s="3">
        <f>Д402[[#This Row],[Стоимость ОН без отделки со скидкой]]/Д402[[#This Row],[Расчетная проектная площадь]]</f>
        <v>110667.86079836234</v>
      </c>
      <c r="AS187" s="3">
        <f>Д402[[#This Row],[Стоимость до скидки]]-Д402[[#This Row],[Итоговая сумма скидки]]</f>
        <v>8649800</v>
      </c>
      <c r="AT18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7" s="153"/>
      <c r="AV187" s="153"/>
      <c r="AW187" s="3">
        <f>Д402[[#This Row],[Цена м2 без отделки со скидкой]]+Д402[[#This Row],[Стоимость отделки]]</f>
        <v>110667.86079836234</v>
      </c>
      <c r="AX187" s="3">
        <f>Д402[[#This Row],[Стоимость квартиры с отделкой]]-Д402[[#This Row],[Стоимость ОН без отделки со скидкой]]</f>
        <v>0</v>
      </c>
      <c r="AY187" s="3">
        <f>Д402[[#This Row],[Цена м2 с отделкой]]*Д402[[#This Row],[Расчетная проектная площадь]]</f>
        <v>8649800</v>
      </c>
      <c r="AZ187" s="161"/>
      <c r="BA187" s="269" t="s">
        <v>128</v>
      </c>
      <c r="BB187" s="298" t="str" cm="1">
        <f t="array" ref="BB18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187" s="161" t="s">
        <v>740</v>
      </c>
      <c r="BD187" s="161" t="s">
        <v>506</v>
      </c>
      <c r="BE187" s="161" t="s">
        <v>737</v>
      </c>
      <c r="BF187" s="161" t="s">
        <v>748</v>
      </c>
      <c r="BG187" s="161" t="b">
        <f>EXACT(Д402[[#This Row],[Статусы CRM]],Д402[[#This Row],[Статус]])</f>
        <v>1</v>
      </c>
      <c r="BH187" s="3">
        <f>IF(Д402[[#This Row],[ПС]]=0,IF(Д402[[#This Row],[ДС]]=0,Д402[[#This Row],[ТС]],Д402[[#This Row],[ДС]]),Д402[[#This Row],[ПС]])</f>
        <v>8649800</v>
      </c>
      <c r="BI187" s="3">
        <v>8649800</v>
      </c>
      <c r="BJ187" s="3">
        <v>0</v>
      </c>
      <c r="BK187" s="3">
        <v>0</v>
      </c>
      <c r="BL187" s="273">
        <f>Д402[[#This Row],[Стоимость CRM]]-Д402[[#This Row],[Стоимость до скидки]]</f>
        <v>0</v>
      </c>
      <c r="BM187" s="161" t="s">
        <v>9</v>
      </c>
      <c r="BN187" s="161" t="b">
        <f>Д402[[#This Row],[Отделка CRM]]=Д402[[#This Row],[Отделка]]</f>
        <v>1</v>
      </c>
      <c r="BO187" s="275" t="s">
        <v>319</v>
      </c>
      <c r="BP187" s="69"/>
    </row>
    <row r="188" spans="1:68" ht="12" customHeight="1" x14ac:dyDescent="0.25">
      <c r="A188" s="140">
        <v>186</v>
      </c>
      <c r="B188" s="15">
        <v>3</v>
      </c>
      <c r="C188" s="141">
        <v>2</v>
      </c>
      <c r="D188" s="142">
        <v>6</v>
      </c>
      <c r="E188" s="141">
        <v>0</v>
      </c>
      <c r="F188" s="143">
        <v>16.25</v>
      </c>
      <c r="G188" s="143"/>
      <c r="H188" s="143"/>
      <c r="I188" s="144">
        <f>SUM(Д402[[#This Row],[Комната 1]:[Комната 3]])</f>
        <v>16.25</v>
      </c>
      <c r="J188" s="145">
        <v>5</v>
      </c>
      <c r="K188" s="145">
        <v>4.2699999999999996</v>
      </c>
      <c r="L188" s="145"/>
      <c r="M188" s="145">
        <v>4.21</v>
      </c>
      <c r="N188" s="145"/>
      <c r="O188" s="145"/>
      <c r="P188" s="146"/>
      <c r="Q188" s="146"/>
      <c r="R188" s="146">
        <f>SUM(Д402[[#This Row],[Лоджия 1]:[Лоджия 3]])</f>
        <v>0</v>
      </c>
      <c r="S188" s="10">
        <f>ROUND(SUM(Д402[[#This Row],[Площадь по проекту жилая]:[Лоджия 3]]),2)</f>
        <v>29.73</v>
      </c>
      <c r="T188" s="10">
        <f>ROUND(Д402[[#This Row],[Площадь по проекту(общая)]]-Д402[[#This Row],[Летние]],2)</f>
        <v>29.73</v>
      </c>
      <c r="U188" s="10">
        <f>ROUND(Д402[[#This Row],[Площадь по проекту(общая)]]-(SUM(Д402[[#This Row],[Лоджия 1]:[Лоджия 3]])/2),2)</f>
        <v>29.73</v>
      </c>
      <c r="V188" s="10">
        <f>VLOOKUP(Д402[[#This Row],[№]],наценка7[],COLUMN(наценка7[[#This Row],[Цена м2 с учетом всех K]]),0)</f>
        <v>139730</v>
      </c>
      <c r="W188" s="162"/>
      <c r="X188" s="10">
        <f>Д402[[#This Row],[м2 после К]]+Д402[[#This Row],[02.12.2024]]</f>
        <v>139730</v>
      </c>
      <c r="Y188" s="149">
        <v>1000</v>
      </c>
      <c r="Z188" s="10">
        <f>Д402[[#This Row],[Фикс 20.12.24]]+Д402[[#This Row],[23.12.24 СП +1000]]</f>
        <v>140730</v>
      </c>
      <c r="AA188" s="149">
        <v>215</v>
      </c>
      <c r="AB188" s="10">
        <f>Д402[[#This Row],[Фикс 23.12.24]]+Д402[[#This Row],[Повышение 20.02.25]]</f>
        <v>140945</v>
      </c>
      <c r="AC188" s="149">
        <v>17.5</v>
      </c>
      <c r="AD188" s="10">
        <f>Д402[[#This Row],[Фикс 20.02.25]]+Д402[[#This Row],[Повышение 24.02.2025]]</f>
        <v>140962.5</v>
      </c>
      <c r="AE188" s="10"/>
      <c r="AF188" s="10">
        <f>Д402[[#This Row],[Фикс 24.02.25]]+Д402[[#This Row],[Повышение 05.03.2025
1К: до 40м - 1,5%, 40+ 0,5%
2К - 0,5% ]]</f>
        <v>140962.5</v>
      </c>
      <c r="AG188" s="10"/>
      <c r="AH188" s="10">
        <f>Д402[[#This Row],[Фикс 05.03.25]]+Д402[[#This Row],[повышение 14.03.25 1К-1%]]</f>
        <v>140962.5</v>
      </c>
      <c r="AI188" s="10"/>
      <c r="AJ188" s="10">
        <f>Д402[[#This Row],[Фикс 14.03.25]]+Д402[[#This Row],[повышение 28.03.25 1К-1%]]</f>
        <v>140962.5</v>
      </c>
      <c r="AK188" s="10"/>
      <c r="AL188" s="10">
        <f>Д402[[#This Row],[Фикс 28.03.25]]+Д402[[#This Row],[Повышение 23.07.25
1К 43-46м2 - 2%
2К 55-58 - 2%; 58-64 - 3%
3К 76-79 - 2%
]]</f>
        <v>140962.5</v>
      </c>
      <c r="AM188" s="149">
        <f>ROUND(Д402[[#This Row],[Фикс 23.07.25]],2)</f>
        <v>140962.5</v>
      </c>
      <c r="AN188" s="149">
        <f>ROUNDUP(Д402[[#This Row],[утв цена м2]]*Д402[[#This Row],[Расчетная проектная площадь]],-2)</f>
        <v>4190900</v>
      </c>
      <c r="AO188" s="151"/>
      <c r="AP188" s="152"/>
      <c r="AQ188" s="151">
        <f>Д402[[#This Row],[Стоимость до скидки]]*Д402[[#This Row],[Скидка %]]+Д402[[#This Row],[Скидка фиксированная]]</f>
        <v>0</v>
      </c>
      <c r="AR188" s="3">
        <f>Д402[[#This Row],[Стоимость ОН без отделки со скидкой]]/Д402[[#This Row],[Расчетная проектная площадь]]</f>
        <v>140965.35486041036</v>
      </c>
      <c r="AS188" s="3">
        <f>Д402[[#This Row],[Стоимость до скидки]]-Д402[[#This Row],[Итоговая сумма скидки]]</f>
        <v>4190900</v>
      </c>
      <c r="AT18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8" s="153"/>
      <c r="AV188" s="153"/>
      <c r="AW188" s="3">
        <f>Д402[[#This Row],[Цена м2 без отделки со скидкой]]+Д402[[#This Row],[Стоимость отделки]]</f>
        <v>140965.35486041036</v>
      </c>
      <c r="AX188" s="3">
        <f>Д402[[#This Row],[Стоимость квартиры с отделкой]]-Д402[[#This Row],[Стоимость ОН без отделки со скидкой]]</f>
        <v>0</v>
      </c>
      <c r="AY188" s="3">
        <f>Д402[[#This Row],[Цена м2 с отделкой]]*Д402[[#This Row],[Расчетная проектная площадь]]</f>
        <v>4190900</v>
      </c>
      <c r="AZ188" s="161"/>
      <c r="BA188" s="155" t="s">
        <v>12</v>
      </c>
      <c r="BB188" s="156" t="str" cm="1">
        <f t="array" ref="BB18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88" s="161" t="s">
        <v>738</v>
      </c>
      <c r="BD188" s="161" t="s">
        <v>739</v>
      </c>
      <c r="BE188" s="161" t="s">
        <v>737</v>
      </c>
      <c r="BF188" s="161" t="s">
        <v>743</v>
      </c>
      <c r="BG188" s="161" t="b">
        <f>EXACT(Д402[[#This Row],[Статусы CRM]],Д402[[#This Row],[Статус]])</f>
        <v>1</v>
      </c>
      <c r="BH188" s="3">
        <f>IF(Д402[[#This Row],[ПС]]=0,IF(Д402[[#This Row],[ДС]]=0,Д402[[#This Row],[ТС]],Д402[[#This Row],[ДС]]),Д402[[#This Row],[ПС]])</f>
        <v>4190900</v>
      </c>
      <c r="BI188" s="3">
        <v>4190900</v>
      </c>
      <c r="BJ188" s="3">
        <v>0</v>
      </c>
      <c r="BK188" s="3">
        <v>0</v>
      </c>
      <c r="BL188" s="273">
        <f>Д402[[#This Row],[Стоимость CRM]]-Д402[[#This Row],[Стоимость до скидки]]</f>
        <v>0</v>
      </c>
      <c r="BM188" s="161" t="s">
        <v>9</v>
      </c>
      <c r="BN188" s="161" t="b">
        <f>Д402[[#This Row],[Отделка CRM]]=Д402[[#This Row],[Отделка]]</f>
        <v>1</v>
      </c>
      <c r="BO188" s="275" t="s">
        <v>320</v>
      </c>
      <c r="BP188" s="69"/>
    </row>
    <row r="189" spans="1:68" ht="12" customHeight="1" x14ac:dyDescent="0.25">
      <c r="A189" s="140">
        <v>187</v>
      </c>
      <c r="B189" s="15">
        <v>3</v>
      </c>
      <c r="C189" s="141">
        <f t="shared" ref="C189:C220" si="7">C183+1</f>
        <v>3</v>
      </c>
      <c r="D189" s="142">
        <v>1</v>
      </c>
      <c r="E189" s="141">
        <v>1</v>
      </c>
      <c r="F189" s="143">
        <v>14.42</v>
      </c>
      <c r="G189" s="143"/>
      <c r="H189" s="143"/>
      <c r="I189" s="144">
        <f>SUM(Д402[[#This Row],[Комната 1]:[Комната 3]])</f>
        <v>14.42</v>
      </c>
      <c r="J189" s="145">
        <v>16.2</v>
      </c>
      <c r="K189" s="145">
        <v>4.09</v>
      </c>
      <c r="L189" s="145"/>
      <c r="M189" s="145">
        <v>8.0299999999999994</v>
      </c>
      <c r="N189" s="145"/>
      <c r="O189" s="145">
        <v>3.01</v>
      </c>
      <c r="P189" s="146"/>
      <c r="Q189" s="146"/>
      <c r="R189" s="146">
        <f>SUM(Д402[[#This Row],[Лоджия 1]:[Лоджия 3]])</f>
        <v>3.01</v>
      </c>
      <c r="S189" s="10">
        <f>ROUND(SUM(Д402[[#This Row],[Площадь по проекту жилая]:[Лоджия 3]]),2)</f>
        <v>45.75</v>
      </c>
      <c r="T189" s="10">
        <f>ROUND(Д402[[#This Row],[Площадь по проекту(общая)]]-Д402[[#This Row],[Летние]],2)</f>
        <v>42.74</v>
      </c>
      <c r="U189" s="10">
        <f>ROUND(Д402[[#This Row],[Площадь по проекту(общая)]]-(SUM(Д402[[#This Row],[Лоджия 1]:[Лоджия 3]])/2),2)</f>
        <v>44.25</v>
      </c>
      <c r="V189" s="10">
        <f>VLOOKUP(Д402[[#This Row],[№]],наценка7[],COLUMN(наценка7[[#This Row],[Цена м2 с учетом всех K]]),0)</f>
        <v>121645.2</v>
      </c>
      <c r="W189" s="159">
        <f>2%*Д402[[#This Row],[м2 после К]]</f>
        <v>2432.904</v>
      </c>
      <c r="X189" s="10">
        <f>Д402[[#This Row],[м2 после К]]+Д402[[#This Row],[02.12.2024]]</f>
        <v>124078.10399999999</v>
      </c>
      <c r="Y189" s="149">
        <v>1000</v>
      </c>
      <c r="Z189" s="10">
        <f>Д402[[#This Row],[Фикс 20.12.24]]+Д402[[#This Row],[23.12.24 СП +1000]]</f>
        <v>125078.10399999999</v>
      </c>
      <c r="AA189" s="149">
        <v>215</v>
      </c>
      <c r="AB189" s="10">
        <f>Д402[[#This Row],[Фикс 23.12.24]]+Д402[[#This Row],[Повышение 20.02.25]]</f>
        <v>125293.10399999999</v>
      </c>
      <c r="AC189" s="149">
        <v>17.5</v>
      </c>
      <c r="AD189" s="10">
        <f>Д402[[#This Row],[Фикс 20.02.25]]+Д402[[#This Row],[Повышение 24.02.2025]]</f>
        <v>125310.60399999999</v>
      </c>
      <c r="AE189" s="10"/>
      <c r="AF189" s="10">
        <f>Д402[[#This Row],[Фикс 24.02.25]]+Д402[[#This Row],[Повышение 05.03.2025
1К: до 40м - 1,5%, 40+ 0,5%
2К - 0,5% ]]</f>
        <v>125310.60399999999</v>
      </c>
      <c r="AG189" s="10"/>
      <c r="AH189" s="10">
        <f>Д402[[#This Row],[Фикс 05.03.25]]+Д402[[#This Row],[повышение 14.03.25 1К-1%]]</f>
        <v>125310.60399999999</v>
      </c>
      <c r="AI189" s="10"/>
      <c r="AJ189" s="10">
        <f>Д402[[#This Row],[Фикс 14.03.25]]+Д402[[#This Row],[повышение 28.03.25 1К-1%]]</f>
        <v>125310.60399999999</v>
      </c>
      <c r="AK189" s="10"/>
      <c r="AL189" s="10">
        <f>Д402[[#This Row],[Фикс 28.03.25]]+Д402[[#This Row],[Повышение 23.07.25
1К 43-46м2 - 2%
2К 55-58 - 2%; 58-64 - 3%
3К 76-79 - 2%
]]</f>
        <v>125310.60399999999</v>
      </c>
      <c r="AM189" s="149">
        <f>ROUND(Д402[[#This Row],[Фикс 23.07.25]],2)</f>
        <v>125310.6</v>
      </c>
      <c r="AN189" s="149">
        <f>ROUNDUP(Д402[[#This Row],[утв цена м2]]*Д402[[#This Row],[Расчетная проектная площадь]],-2)</f>
        <v>5545000</v>
      </c>
      <c r="AO189" s="151"/>
      <c r="AP189" s="152">
        <v>0.02</v>
      </c>
      <c r="AQ189" s="151">
        <f>Д402[[#This Row],[Стоимость до скидки]]*Д402[[#This Row],[Скидка %]]+Д402[[#This Row],[Скидка фиксированная]]</f>
        <v>110900</v>
      </c>
      <c r="AR189" s="3">
        <f>Д402[[#This Row],[Стоимость ОН без отделки со скидкой]]/Д402[[#This Row],[Расчетная проектная площадь]]</f>
        <v>122804.51977401129</v>
      </c>
      <c r="AS189" s="3">
        <f>Д402[[#This Row],[Стоимость до скидки]]-Д402[[#This Row],[Итоговая сумма скидки]]</f>
        <v>5434100</v>
      </c>
      <c r="AT18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89" s="153"/>
      <c r="AV189" s="153"/>
      <c r="AW189" s="3">
        <f>Д402[[#This Row],[Цена м2 без отделки со скидкой]]+Д402[[#This Row],[Стоимость отделки]]</f>
        <v>122804.51977401129</v>
      </c>
      <c r="AX189" s="3">
        <f>Д402[[#This Row],[Стоимость квартиры с отделкой]]-Д402[[#This Row],[Стоимость ОН без отделки со скидкой]]</f>
        <v>0</v>
      </c>
      <c r="AY189" s="3">
        <f>Д402[[#This Row],[Цена м2 с отделкой]]*Д402[[#This Row],[Расчетная проектная площадь]]</f>
        <v>5434100</v>
      </c>
      <c r="AZ189" s="161" t="s">
        <v>436</v>
      </c>
      <c r="BA189" s="269" t="s">
        <v>426</v>
      </c>
      <c r="BB189" s="269" t="str" cm="1">
        <f t="array" ref="BB18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89" s="161" t="s">
        <v>741</v>
      </c>
      <c r="BD189" s="161" t="s">
        <v>506</v>
      </c>
      <c r="BE189" s="161" t="s">
        <v>737</v>
      </c>
      <c r="BF189" s="161" t="s">
        <v>745</v>
      </c>
      <c r="BG189" s="161" t="b">
        <f>EXACT(Д402[[#This Row],[Статусы CRM]],Д402[[#This Row],[Статус]])</f>
        <v>1</v>
      </c>
      <c r="BH189" s="3">
        <f>IF(Д402[[#This Row],[ПС]]=0,IF(Д402[[#This Row],[ДС]]=0,Д402[[#This Row],[ТС]],Д402[[#This Row],[ДС]]),Д402[[#This Row],[ПС]])</f>
        <v>5545000</v>
      </c>
      <c r="BI189" s="3" t="s">
        <v>749</v>
      </c>
      <c r="BJ189" s="3">
        <v>0</v>
      </c>
      <c r="BK189" s="3">
        <v>5545000</v>
      </c>
      <c r="BL189" s="273">
        <f>Д402[[#This Row],[Стоимость CRM]]-Д402[[#This Row],[Стоимость до скидки]]</f>
        <v>0</v>
      </c>
      <c r="BM189" s="161" t="s">
        <v>9</v>
      </c>
      <c r="BN189" s="161" t="b">
        <f>Д402[[#This Row],[Отделка CRM]]=Д402[[#This Row],[Отделка]]</f>
        <v>1</v>
      </c>
      <c r="BO189" s="275" t="s">
        <v>321</v>
      </c>
      <c r="BP189" s="69"/>
    </row>
    <row r="190" spans="1:68" ht="12" customHeight="1" x14ac:dyDescent="0.25">
      <c r="A190" s="140">
        <v>188</v>
      </c>
      <c r="B190" s="15">
        <v>3</v>
      </c>
      <c r="C190" s="141">
        <f t="shared" si="7"/>
        <v>3</v>
      </c>
      <c r="D190" s="142">
        <v>2</v>
      </c>
      <c r="E190" s="141">
        <v>1</v>
      </c>
      <c r="F190" s="143">
        <v>12.76</v>
      </c>
      <c r="G190" s="143"/>
      <c r="H190" s="143"/>
      <c r="I190" s="144">
        <f>SUM(Д402[[#This Row],[Комната 1]:[Комната 3]])</f>
        <v>12.76</v>
      </c>
      <c r="J190" s="145">
        <v>15.1</v>
      </c>
      <c r="K190" s="145">
        <v>4.22</v>
      </c>
      <c r="L190" s="145"/>
      <c r="M190" s="145">
        <v>3.09</v>
      </c>
      <c r="N190" s="145"/>
      <c r="O190" s="145">
        <v>2.93</v>
      </c>
      <c r="P190" s="146"/>
      <c r="Q190" s="146"/>
      <c r="R190" s="146">
        <f>SUM(Д402[[#This Row],[Лоджия 1]:[Лоджия 3]])</f>
        <v>2.93</v>
      </c>
      <c r="S190" s="10">
        <f>ROUND(SUM(Д402[[#This Row],[Площадь по проекту жилая]:[Лоджия 3]]),2)</f>
        <v>38.1</v>
      </c>
      <c r="T190" s="10">
        <f>ROUND(Д402[[#This Row],[Площадь по проекту(общая)]]-Д402[[#This Row],[Летние]],2)</f>
        <v>35.17</v>
      </c>
      <c r="U190" s="10">
        <f>ROUND(Д402[[#This Row],[Площадь по проекту(общая)]]-(SUM(Д402[[#This Row],[Лоджия 1]:[Лоджия 3]])/2),2)</f>
        <v>36.64</v>
      </c>
      <c r="V190" s="10">
        <f>VLOOKUP(Д402[[#This Row],[№]],наценка7[],COLUMN(наценка7[[#This Row],[Цена м2 с учетом всех K]]),0)</f>
        <v>125223</v>
      </c>
      <c r="W190" s="159">
        <f>2%*Д402[[#This Row],[м2 после К]]</f>
        <v>2504.46</v>
      </c>
      <c r="X190" s="10">
        <f>Д402[[#This Row],[м2 после К]]+Д402[[#This Row],[02.12.2024]]</f>
        <v>127727.46</v>
      </c>
      <c r="Y190" s="149">
        <v>1000</v>
      </c>
      <c r="Z190" s="10">
        <f>Д402[[#This Row],[Фикс 20.12.24]]+Д402[[#This Row],[23.12.24 СП +1000]]</f>
        <v>128727.46</v>
      </c>
      <c r="AA190" s="149">
        <v>215</v>
      </c>
      <c r="AB190" s="10">
        <f>Д402[[#This Row],[Фикс 23.12.24]]+Д402[[#This Row],[Повышение 20.02.25]]</f>
        <v>128942.46</v>
      </c>
      <c r="AC190" s="149">
        <v>17.5</v>
      </c>
      <c r="AD190" s="10">
        <f>Д402[[#This Row],[Фикс 20.02.25]]+Д402[[#This Row],[Повышение 24.02.2025]]</f>
        <v>128959.96</v>
      </c>
      <c r="AE190" s="149">
        <f>Д402[[#This Row],[Фикс 24.02.25]]*1.5%</f>
        <v>1934.3994</v>
      </c>
      <c r="AF190" s="10">
        <f>Д402[[#This Row],[Фикс 24.02.25]]+Д402[[#This Row],[Повышение 05.03.2025
1К: до 40м - 1,5%, 40+ 0,5%
2К - 0,5% ]]</f>
        <v>130894.3594</v>
      </c>
      <c r="AG190" s="149">
        <f>Д402[[#This Row],[Фикс 05.03.25]]*1%</f>
        <v>1308.9435940000001</v>
      </c>
      <c r="AH190" s="10">
        <f>Д402[[#This Row],[Фикс 05.03.25]]+Д402[[#This Row],[повышение 14.03.25 1К-1%]]</f>
        <v>132203.302994</v>
      </c>
      <c r="AI190" s="149">
        <f>Д402[[#This Row],[Фикс 14.03.25]]*1%</f>
        <v>1322.03302994</v>
      </c>
      <c r="AJ190" s="10">
        <f>Д402[[#This Row],[Фикс 14.03.25]]+Д402[[#This Row],[повышение 28.03.25 1К-1%]]</f>
        <v>133525.33602394001</v>
      </c>
      <c r="AK190" s="10"/>
      <c r="AL190" s="10">
        <f>Д402[[#This Row],[Фикс 28.03.25]]+Д402[[#This Row],[Повышение 23.07.25
1К 43-46м2 - 2%
2К 55-58 - 2%; 58-64 - 3%
3К 76-79 - 2%
]]</f>
        <v>133525.33602394001</v>
      </c>
      <c r="AM190" s="149">
        <f>ROUND(Д402[[#This Row],[Фикс 23.07.25]],2)</f>
        <v>133525.34</v>
      </c>
      <c r="AN190" s="149">
        <f>ROUNDUP(Д402[[#This Row],[утв цена м2]]*Д402[[#This Row],[Расчетная проектная площадь]],-2)</f>
        <v>4892400</v>
      </c>
      <c r="AO190" s="151"/>
      <c r="AP190" s="152"/>
      <c r="AQ190" s="151">
        <f>Д402[[#This Row],[Стоимость до скидки]]*Д402[[#This Row],[Скидка %]]+Д402[[#This Row],[Скидка фиксированная]]</f>
        <v>0</v>
      </c>
      <c r="AR190" s="3">
        <f>Д402[[#This Row],[Стоимость ОН без отделки со скидкой]]/Д402[[#This Row],[Расчетная проектная площадь]]</f>
        <v>133526.20087336245</v>
      </c>
      <c r="AS190" s="3">
        <f>Д402[[#This Row],[Стоимость до скидки]]-Д402[[#This Row],[Итоговая сумма скидки]]</f>
        <v>4892400</v>
      </c>
      <c r="AT19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0" s="153"/>
      <c r="AV190" s="153"/>
      <c r="AW190" s="3">
        <f>Д402[[#This Row],[Цена м2 без отделки со скидкой]]+Д402[[#This Row],[Стоимость отделки]]</f>
        <v>133526.20087336245</v>
      </c>
      <c r="AX190" s="3">
        <f>Д402[[#This Row],[Стоимость квартиры с отделкой]]-Д402[[#This Row],[Стоимость ОН без отделки со скидкой]]</f>
        <v>0</v>
      </c>
      <c r="AY190" s="3">
        <f>Д402[[#This Row],[Цена м2 с отделкой]]*Д402[[#This Row],[Расчетная проектная площадь]]</f>
        <v>4892400</v>
      </c>
      <c r="AZ190" s="161"/>
      <c r="BA190" s="269" t="s">
        <v>12</v>
      </c>
      <c r="BB190" s="269" t="str" cm="1">
        <f t="array" ref="BB19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0" s="161" t="s">
        <v>738</v>
      </c>
      <c r="BD190" s="161" t="s">
        <v>739</v>
      </c>
      <c r="BE190" s="161" t="s">
        <v>737</v>
      </c>
      <c r="BF190" s="161" t="s">
        <v>745</v>
      </c>
      <c r="BG190" s="161" t="b">
        <f>EXACT(Д402[[#This Row],[Статусы CRM]],Д402[[#This Row],[Статус]])</f>
        <v>1</v>
      </c>
      <c r="BH190" s="3">
        <f>IF(Д402[[#This Row],[ПС]]=0,IF(Д402[[#This Row],[ДС]]=0,Д402[[#This Row],[ТС]],Д402[[#This Row],[ДС]]),Д402[[#This Row],[ПС]])</f>
        <v>4892400</v>
      </c>
      <c r="BI190" s="3">
        <v>4892400</v>
      </c>
      <c r="BJ190" s="3">
        <v>0</v>
      </c>
      <c r="BK190" s="3">
        <v>0</v>
      </c>
      <c r="BL190" s="273">
        <f>Д402[[#This Row],[Стоимость CRM]]-Д402[[#This Row],[Стоимость до скидки]]</f>
        <v>0</v>
      </c>
      <c r="BM190" s="161" t="s">
        <v>9</v>
      </c>
      <c r="BN190" s="161" t="b">
        <f>Д402[[#This Row],[Отделка CRM]]=Д402[[#This Row],[Отделка]]</f>
        <v>1</v>
      </c>
      <c r="BO190" s="275" t="s">
        <v>322</v>
      </c>
      <c r="BP190" s="69"/>
    </row>
    <row r="191" spans="1:68" ht="12" customHeight="1" x14ac:dyDescent="0.25">
      <c r="A191" s="140">
        <v>189</v>
      </c>
      <c r="B191" s="15">
        <v>3</v>
      </c>
      <c r="C191" s="141">
        <f t="shared" si="7"/>
        <v>3</v>
      </c>
      <c r="D191" s="142">
        <v>3</v>
      </c>
      <c r="E191" s="141">
        <v>2</v>
      </c>
      <c r="F191" s="143">
        <v>15.36</v>
      </c>
      <c r="G191" s="143">
        <v>11.95</v>
      </c>
      <c r="H191" s="143"/>
      <c r="I191" s="144">
        <f>SUM(Д402[[#This Row],[Комната 1]:[Комната 3]])</f>
        <v>27.31</v>
      </c>
      <c r="J191" s="145">
        <v>14.7</v>
      </c>
      <c r="K191" s="145">
        <v>4.21</v>
      </c>
      <c r="L191" s="145"/>
      <c r="M191" s="145">
        <v>6.6</v>
      </c>
      <c r="N191" s="145"/>
      <c r="O191" s="145">
        <v>3.23</v>
      </c>
      <c r="P191" s="146"/>
      <c r="Q191" s="146"/>
      <c r="R191" s="146">
        <f>SUM(Д402[[#This Row],[Лоджия 1]:[Лоджия 3]])</f>
        <v>3.23</v>
      </c>
      <c r="S191" s="10">
        <f>ROUND(SUM(Д402[[#This Row],[Площадь по проекту жилая]:[Лоджия 3]]),2)</f>
        <v>56.05</v>
      </c>
      <c r="T191" s="10">
        <f>ROUND(Д402[[#This Row],[Площадь по проекту(общая)]]-Д402[[#This Row],[Летние]],2)</f>
        <v>52.82</v>
      </c>
      <c r="U191" s="10">
        <f>ROUND(Д402[[#This Row],[Площадь по проекту(общая)]]-(SUM(Д402[[#This Row],[Лоджия 1]:[Лоджия 3]])/2),2)</f>
        <v>54.44</v>
      </c>
      <c r="V191" s="10">
        <f>VLOOKUP(Д402[[#This Row],[№]],наценка7[],COLUMN(наценка7[[#This Row],[Цена м2 с учетом всех K]]),0)</f>
        <v>119811.8</v>
      </c>
      <c r="W191" s="162">
        <f>0.021*Д402[[#This Row],[м2 после К]]</f>
        <v>2516.0478000000003</v>
      </c>
      <c r="X191" s="10">
        <f>Д402[[#This Row],[м2 после К]]+Д402[[#This Row],[02.12.2024]]</f>
        <v>122327.8478</v>
      </c>
      <c r="Y191" s="149">
        <v>1000</v>
      </c>
      <c r="Z191" s="10">
        <f>Д402[[#This Row],[Фикс 20.12.24]]+Д402[[#This Row],[23.12.24 СП +1000]]</f>
        <v>123327.8478</v>
      </c>
      <c r="AA191" s="149">
        <v>215</v>
      </c>
      <c r="AB191" s="10">
        <f>Д402[[#This Row],[Фикс 23.12.24]]+Д402[[#This Row],[Повышение 20.02.25]]</f>
        <v>123542.8478</v>
      </c>
      <c r="AC191" s="149">
        <v>17.5</v>
      </c>
      <c r="AD191" s="10">
        <f>Д402[[#This Row],[Фикс 20.02.25]]+Д402[[#This Row],[Повышение 24.02.2025]]</f>
        <v>123560.3478</v>
      </c>
      <c r="AE191" s="149">
        <f>Д402[[#This Row],[Фикс 24.02.25]]*0.5%</f>
        <v>617.801739</v>
      </c>
      <c r="AF191" s="10">
        <f>Д402[[#This Row],[Фикс 24.02.25]]+Д402[[#This Row],[Повышение 05.03.2025
1К: до 40м - 1,5%, 40+ 0,5%
2К - 0,5% ]]</f>
        <v>124178.14953900001</v>
      </c>
      <c r="AG191" s="10"/>
      <c r="AH191" s="10">
        <f>Д402[[#This Row],[Фикс 05.03.25]]+Д402[[#This Row],[повышение 14.03.25 1К-1%]]</f>
        <v>124178.14953900001</v>
      </c>
      <c r="AI191" s="10"/>
      <c r="AJ191" s="10">
        <f>Д402[[#This Row],[Фикс 14.03.25]]+Д402[[#This Row],[повышение 28.03.25 1К-1%]]</f>
        <v>124178.14953900001</v>
      </c>
      <c r="AK191" s="10"/>
      <c r="AL191" s="10">
        <f>Д402[[#This Row],[Фикс 28.03.25]]+Д402[[#This Row],[Повышение 23.07.25
1К 43-46м2 - 2%
2К 55-58 - 2%; 58-64 - 3%
3К 76-79 - 2%
]]</f>
        <v>124178.14953900001</v>
      </c>
      <c r="AM191" s="149">
        <f>ROUND(Д402[[#This Row],[Фикс 23.07.25]],2)</f>
        <v>124178.15</v>
      </c>
      <c r="AN191" s="149">
        <f>ROUNDUP(Д402[[#This Row],[утв цена м2]]*Д402[[#This Row],[Расчетная проектная площадь]],-2)</f>
        <v>6760300</v>
      </c>
      <c r="AO191" s="151"/>
      <c r="AP191" s="152"/>
      <c r="AQ191" s="151">
        <f>Д402[[#This Row],[Стоимость до скидки]]*Д402[[#This Row],[Скидка %]]+Д402[[#This Row],[Скидка фиксированная]]</f>
        <v>0</v>
      </c>
      <c r="AR191" s="3">
        <f>Д402[[#This Row],[Стоимость ОН без отделки со скидкой]]/Д402[[#This Row],[Расчетная проектная площадь]]</f>
        <v>124178.91256429096</v>
      </c>
      <c r="AS191" s="3">
        <f>Д402[[#This Row],[Стоимость до скидки]]-Д402[[#This Row],[Итоговая сумма скидки]]</f>
        <v>6760300</v>
      </c>
      <c r="AT19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1" s="153"/>
      <c r="AV191" s="153"/>
      <c r="AW191" s="3">
        <f>Д402[[#This Row],[Цена м2 без отделки со скидкой]]+Д402[[#This Row],[Стоимость отделки]]</f>
        <v>124178.91256429096</v>
      </c>
      <c r="AX191" s="3">
        <f>Д402[[#This Row],[Стоимость квартиры с отделкой]]-Д402[[#This Row],[Стоимость ОН без отделки со скидкой]]</f>
        <v>0</v>
      </c>
      <c r="AY191" s="3">
        <f>Д402[[#This Row],[Цена м2 с отделкой]]*Д402[[#This Row],[Расчетная проектная площадь]]</f>
        <v>6760300</v>
      </c>
      <c r="AZ191" s="161"/>
      <c r="BA191" s="269" t="s">
        <v>12</v>
      </c>
      <c r="BB191" s="269" t="str" cm="1">
        <f t="array" ref="BB19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1" s="161" t="s">
        <v>738</v>
      </c>
      <c r="BD191" s="161" t="s">
        <v>739</v>
      </c>
      <c r="BE191" s="161" t="s">
        <v>737</v>
      </c>
      <c r="BF191" s="161" t="s">
        <v>744</v>
      </c>
      <c r="BG191" s="161" t="b">
        <f>EXACT(Д402[[#This Row],[Статусы CRM]],Д402[[#This Row],[Статус]])</f>
        <v>1</v>
      </c>
      <c r="BH191" s="3">
        <f>IF(Д402[[#This Row],[ПС]]=0,IF(Д402[[#This Row],[ДС]]=0,Д402[[#This Row],[ТС]],Д402[[#This Row],[ДС]]),Д402[[#This Row],[ПС]])</f>
        <v>6760300</v>
      </c>
      <c r="BI191" s="3">
        <v>6760300</v>
      </c>
      <c r="BJ191" s="3">
        <v>0</v>
      </c>
      <c r="BK191" s="3">
        <v>0</v>
      </c>
      <c r="BL191" s="273">
        <f>Д402[[#This Row],[Стоимость CRM]]-Д402[[#This Row],[Стоимость до скидки]]</f>
        <v>0</v>
      </c>
      <c r="BM191" s="161" t="s">
        <v>9</v>
      </c>
      <c r="BN191" s="161" t="b">
        <f>Д402[[#This Row],[Отделка CRM]]=Д402[[#This Row],[Отделка]]</f>
        <v>1</v>
      </c>
      <c r="BO191" s="275" t="s">
        <v>323</v>
      </c>
      <c r="BP191" s="69"/>
    </row>
    <row r="192" spans="1:68" ht="12" customHeight="1" x14ac:dyDescent="0.25">
      <c r="A192" s="140">
        <v>190</v>
      </c>
      <c r="B192" s="175">
        <v>3</v>
      </c>
      <c r="C192" s="141">
        <f t="shared" si="7"/>
        <v>3</v>
      </c>
      <c r="D192" s="142">
        <v>4</v>
      </c>
      <c r="E192" s="141">
        <v>1</v>
      </c>
      <c r="F192" s="143">
        <v>14.28</v>
      </c>
      <c r="G192" s="143"/>
      <c r="H192" s="143"/>
      <c r="I192" s="144">
        <f>SUM(Д402[[#This Row],[Комната 1]:[Комната 3]])</f>
        <v>14.28</v>
      </c>
      <c r="J192" s="145">
        <v>13.99</v>
      </c>
      <c r="K192" s="145">
        <v>3.9</v>
      </c>
      <c r="L192" s="145"/>
      <c r="M192" s="145">
        <v>2.6</v>
      </c>
      <c r="N192" s="145"/>
      <c r="O192" s="145">
        <v>3.23</v>
      </c>
      <c r="P192" s="146"/>
      <c r="Q192" s="146"/>
      <c r="R192" s="146">
        <f>SUM(Д402[[#This Row],[Лоджия 1]:[Лоджия 3]])</f>
        <v>3.23</v>
      </c>
      <c r="S192" s="10">
        <f>ROUND(SUM(Д402[[#This Row],[Площадь по проекту жилая]:[Лоджия 3]]),2)</f>
        <v>38</v>
      </c>
      <c r="T192" s="10">
        <f>ROUND(Д402[[#This Row],[Площадь по проекту(общая)]]-Д402[[#This Row],[Летние]],2)</f>
        <v>34.770000000000003</v>
      </c>
      <c r="U192" s="10">
        <f>ROUND(Д402[[#This Row],[Площадь по проекту(общая)]]-(SUM(Д402[[#This Row],[Лоджия 1]:[Лоджия 3]])/2),2)</f>
        <v>36.39</v>
      </c>
      <c r="V192" s="10">
        <f>VLOOKUP(Д402[[#This Row],[№]],наценка7[],COLUMN(наценка7[[#This Row],[Цена м2 с учетом всех K]]),0)</f>
        <v>124030.39999999999</v>
      </c>
      <c r="W192" s="162"/>
      <c r="X192" s="10">
        <f>Д402[[#This Row],[м2 после К]]+Д402[[#This Row],[02.12.2024]]</f>
        <v>124030.39999999999</v>
      </c>
      <c r="Y192" s="149">
        <v>1000</v>
      </c>
      <c r="Z192" s="10">
        <f>Д402[[#This Row],[Фикс 20.12.24]]+Д402[[#This Row],[23.12.24 СП +1000]]</f>
        <v>125030.39999999999</v>
      </c>
      <c r="AA192" s="149">
        <v>215</v>
      </c>
      <c r="AB192" s="10">
        <f>Д402[[#This Row],[Фикс 23.12.24]]+Д402[[#This Row],[Повышение 20.02.25]]</f>
        <v>125245.4</v>
      </c>
      <c r="AC192" s="149">
        <v>17.5</v>
      </c>
      <c r="AD192" s="10">
        <f>Д402[[#This Row],[Фикс 20.02.25]]+Д402[[#This Row],[Повышение 24.02.2025]]</f>
        <v>125262.9</v>
      </c>
      <c r="AE192" s="149">
        <f>Д402[[#This Row],[Фикс 24.02.25]]*1.5%</f>
        <v>1878.9434999999999</v>
      </c>
      <c r="AF192" s="10">
        <f>Д402[[#This Row],[Фикс 24.02.25]]+Д402[[#This Row],[Повышение 05.03.2025
1К: до 40м - 1,5%, 40+ 0,5%
2К - 0,5% ]]</f>
        <v>127141.84349999999</v>
      </c>
      <c r="AG192" s="149">
        <f>Д402[[#This Row],[Фикс 05.03.25]]*1%</f>
        <v>1271.4184349999998</v>
      </c>
      <c r="AH192" s="10">
        <f>Д402[[#This Row],[Фикс 05.03.25]]+Д402[[#This Row],[повышение 14.03.25 1К-1%]]</f>
        <v>128413.26193499999</v>
      </c>
      <c r="AI192" s="149">
        <f>Д402[[#This Row],[Фикс 14.03.25]]*1%</f>
        <v>1284.1326193499999</v>
      </c>
      <c r="AJ192" s="10">
        <f>Д402[[#This Row],[Фикс 14.03.25]]+Д402[[#This Row],[повышение 28.03.25 1К-1%]]</f>
        <v>129697.39455434999</v>
      </c>
      <c r="AK192" s="10"/>
      <c r="AL192" s="10">
        <f>Д402[[#This Row],[Фикс 28.03.25]]+Д402[[#This Row],[Повышение 23.07.25
1К 43-46м2 - 2%
2К 55-58 - 2%; 58-64 - 3%
3К 76-79 - 2%
]]</f>
        <v>129697.39455434999</v>
      </c>
      <c r="AM192" s="149">
        <f>ROUND(Д402[[#This Row],[Фикс 23.07.25]],2)</f>
        <v>129697.39</v>
      </c>
      <c r="AN192" s="149">
        <f>ROUNDUP(Д402[[#This Row],[утв цена м2]]*Д402[[#This Row],[Расчетная проектная площадь]],-2)</f>
        <v>4719700</v>
      </c>
      <c r="AO192" s="151"/>
      <c r="AP192" s="152"/>
      <c r="AQ192" s="151">
        <f>Д402[[#This Row],[Стоимость до скидки]]*Д402[[#This Row],[Скидка %]]+Д402[[#This Row],[Скидка фиксированная]]</f>
        <v>0</v>
      </c>
      <c r="AR192" s="3">
        <f>Д402[[#This Row],[Стоимость ОН без отделки со скидкой]]/Д402[[#This Row],[Расчетная проектная площадь]]</f>
        <v>129697.71915361362</v>
      </c>
      <c r="AS192" s="3">
        <f>Д402[[#This Row],[Стоимость до скидки]]-Д402[[#This Row],[Итоговая сумма скидки]]</f>
        <v>4719700</v>
      </c>
      <c r="AT19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2" s="153"/>
      <c r="AV192" s="153"/>
      <c r="AW192" s="3">
        <f>Д402[[#This Row],[Цена м2 без отделки со скидкой]]+Д402[[#This Row],[Стоимость отделки]]</f>
        <v>129697.71915361362</v>
      </c>
      <c r="AX192" s="3">
        <f>Д402[[#This Row],[Стоимость квартиры с отделкой]]-Д402[[#This Row],[Стоимость ОН без отделки со скидкой]]</f>
        <v>0</v>
      </c>
      <c r="AY192" s="3">
        <f>Д402[[#This Row],[Цена м2 с отделкой]]*Д402[[#This Row],[Расчетная проектная площадь]]</f>
        <v>4719700</v>
      </c>
      <c r="AZ192" s="161"/>
      <c r="BA192" s="155" t="s">
        <v>12</v>
      </c>
      <c r="BB192" s="156" t="str" cm="1">
        <f t="array" ref="BB19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2" s="161" t="s">
        <v>738</v>
      </c>
      <c r="BD192" s="161" t="s">
        <v>739</v>
      </c>
      <c r="BE192" s="161" t="s">
        <v>737</v>
      </c>
      <c r="BF192" s="161" t="s">
        <v>746</v>
      </c>
      <c r="BG192" s="161" t="b">
        <f>EXACT(Д402[[#This Row],[Статусы CRM]],Д402[[#This Row],[Статус]])</f>
        <v>1</v>
      </c>
      <c r="BH192" s="3">
        <f>IF(Д402[[#This Row],[ПС]]=0,IF(Д402[[#This Row],[ДС]]=0,Д402[[#This Row],[ТС]],Д402[[#This Row],[ДС]]),Д402[[#This Row],[ПС]])</f>
        <v>4719700</v>
      </c>
      <c r="BI192" s="3">
        <v>4719700</v>
      </c>
      <c r="BJ192" s="3">
        <v>0</v>
      </c>
      <c r="BK192" s="3">
        <v>0</v>
      </c>
      <c r="BL192" s="273">
        <f>Д402[[#This Row],[Стоимость CRM]]-Д402[[#This Row],[Стоимость до скидки]]</f>
        <v>0</v>
      </c>
      <c r="BM192" s="161" t="s">
        <v>9</v>
      </c>
      <c r="BN192" s="161" t="b">
        <f>Д402[[#This Row],[Отделка CRM]]=Д402[[#This Row],[Отделка]]</f>
        <v>1</v>
      </c>
      <c r="BO192" s="275" t="s">
        <v>324</v>
      </c>
      <c r="BP192" s="69"/>
    </row>
    <row r="193" spans="1:68" ht="12" customHeight="1" x14ac:dyDescent="0.25">
      <c r="A193" s="140">
        <v>191</v>
      </c>
      <c r="B193" s="15">
        <v>3</v>
      </c>
      <c r="C193" s="141">
        <f t="shared" si="7"/>
        <v>3</v>
      </c>
      <c r="D193" s="142">
        <v>5</v>
      </c>
      <c r="E193" s="141">
        <v>3</v>
      </c>
      <c r="F193" s="143">
        <v>18.350000000000001</v>
      </c>
      <c r="G193" s="143">
        <v>15.96</v>
      </c>
      <c r="H193" s="143">
        <v>11.55</v>
      </c>
      <c r="I193" s="144">
        <f>SUM(Д402[[#This Row],[Комната 1]:[Комната 3]])</f>
        <v>45.86</v>
      </c>
      <c r="J193" s="145">
        <v>11.42</v>
      </c>
      <c r="K193" s="145">
        <v>3.9</v>
      </c>
      <c r="L193" s="145">
        <v>4.37</v>
      </c>
      <c r="M193" s="145">
        <v>11.06</v>
      </c>
      <c r="N193" s="145"/>
      <c r="O193" s="145">
        <v>3.1</v>
      </c>
      <c r="P193" s="146"/>
      <c r="Q193" s="146"/>
      <c r="R193" s="146">
        <f>SUM(Д402[[#This Row],[Лоджия 1]:[Лоджия 3]])</f>
        <v>3.1</v>
      </c>
      <c r="S193" s="10">
        <f>ROUND(SUM(Д402[[#This Row],[Площадь по проекту жилая]:[Лоджия 3]]),2)</f>
        <v>79.709999999999994</v>
      </c>
      <c r="T193" s="10">
        <f>ROUND(Д402[[#This Row],[Площадь по проекту(общая)]]-Д402[[#This Row],[Летние]],2)</f>
        <v>76.61</v>
      </c>
      <c r="U193" s="10">
        <f>ROUND(Д402[[#This Row],[Площадь по проекту(общая)]]-(SUM(Д402[[#This Row],[Лоджия 1]:[Лоджия 3]])/2),2)</f>
        <v>78.16</v>
      </c>
      <c r="V193" s="10">
        <f>VLOOKUP(Д402[[#This Row],[№]],наценка7[],COLUMN(наценка7[[#This Row],[Цена м2 с учетом всех K]]),0)</f>
        <v>109434.4</v>
      </c>
      <c r="W193" s="162"/>
      <c r="X193" s="10">
        <f>Д402[[#This Row],[м2 после К]]+Д402[[#This Row],[02.12.2024]]</f>
        <v>109434.4</v>
      </c>
      <c r="Y193" s="149">
        <v>1000</v>
      </c>
      <c r="Z193" s="10">
        <f>Д402[[#This Row],[Фикс 20.12.24]]+Д402[[#This Row],[23.12.24 СП +1000]]</f>
        <v>110434.4</v>
      </c>
      <c r="AA193" s="149">
        <v>215</v>
      </c>
      <c r="AB193" s="10">
        <f>Д402[[#This Row],[Фикс 23.12.24]]+Д402[[#This Row],[Повышение 20.02.25]]</f>
        <v>110649.4</v>
      </c>
      <c r="AC193" s="149">
        <v>17.5</v>
      </c>
      <c r="AD193" s="10">
        <f>Д402[[#This Row],[Фикс 20.02.25]]+Д402[[#This Row],[Повышение 24.02.2025]]</f>
        <v>110666.9</v>
      </c>
      <c r="AE193" s="10"/>
      <c r="AF193" s="10">
        <f>Д402[[#This Row],[Фикс 24.02.25]]+Д402[[#This Row],[Повышение 05.03.2025
1К: до 40м - 1,5%, 40+ 0,5%
2К - 0,5% ]]</f>
        <v>110666.9</v>
      </c>
      <c r="AG193" s="10"/>
      <c r="AH193" s="10">
        <f>Д402[[#This Row],[Фикс 05.03.25]]+Д402[[#This Row],[повышение 14.03.25 1К-1%]]</f>
        <v>110666.9</v>
      </c>
      <c r="AI193" s="10"/>
      <c r="AJ193" s="10">
        <f>Д402[[#This Row],[Фикс 14.03.25]]+Д402[[#This Row],[повышение 28.03.25 1К-1%]]</f>
        <v>110666.9</v>
      </c>
      <c r="AK193" s="10">
        <f>Д402[[#This Row],[Фикс 28.03.25]]*2%</f>
        <v>2213.3379999999997</v>
      </c>
      <c r="AL193" s="10">
        <f>Д402[[#This Row],[Фикс 28.03.25]]+Д402[[#This Row],[Повышение 23.07.25
1К 43-46м2 - 2%
2К 55-58 - 2%; 58-64 - 3%
3К 76-79 - 2%
]]</f>
        <v>112880.238</v>
      </c>
      <c r="AM193" s="149">
        <f>ROUND(Д402[[#This Row],[Фикс 23.07.25]],2)</f>
        <v>112880.24</v>
      </c>
      <c r="AN193" s="149">
        <f>ROUNDUP(Д402[[#This Row],[утв цена м2]]*Д402[[#This Row],[Расчетная проектная площадь]],-2)</f>
        <v>8822800</v>
      </c>
      <c r="AO193" s="151"/>
      <c r="AP193" s="152"/>
      <c r="AQ193" s="151">
        <f>Д402[[#This Row],[Стоимость до скидки]]*Д402[[#This Row],[Скидка %]]+Д402[[#This Row],[Скидка фиксированная]]</f>
        <v>0</v>
      </c>
      <c r="AR193" s="3">
        <f>Д402[[#This Row],[Стоимость ОН без отделки со скидкой]]/Д402[[#This Row],[Расчетная проектная площадь]]</f>
        <v>112881.26919140226</v>
      </c>
      <c r="AS193" s="3">
        <f>Д402[[#This Row],[Стоимость до скидки]]-Д402[[#This Row],[Итоговая сумма скидки]]</f>
        <v>8822800</v>
      </c>
      <c r="AT19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3" s="153"/>
      <c r="AV193" s="153"/>
      <c r="AW193" s="3">
        <f>Д402[[#This Row],[Цена м2 без отделки со скидкой]]+Д402[[#This Row],[Стоимость отделки]]</f>
        <v>112881.26919140226</v>
      </c>
      <c r="AX193" s="3">
        <f>Д402[[#This Row],[Стоимость квартиры с отделкой]]-Д402[[#This Row],[Стоимость ОН без отделки со скидкой]]</f>
        <v>0</v>
      </c>
      <c r="AY193" s="3">
        <f>Д402[[#This Row],[Цена м2 с отделкой]]*Д402[[#This Row],[Расчетная проектная площадь]]</f>
        <v>8822800</v>
      </c>
      <c r="AZ193" s="161"/>
      <c r="BA193" s="155" t="s">
        <v>12</v>
      </c>
      <c r="BB193" s="156" t="str" cm="1">
        <f t="array" ref="BB19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3" s="161" t="s">
        <v>738</v>
      </c>
      <c r="BD193" s="161" t="s">
        <v>739</v>
      </c>
      <c r="BE193" s="161" t="s">
        <v>737</v>
      </c>
      <c r="BF193" s="161" t="s">
        <v>748</v>
      </c>
      <c r="BG193" s="161" t="b">
        <f>EXACT(Д402[[#This Row],[Статусы CRM]],Д402[[#This Row],[Статус]])</f>
        <v>1</v>
      </c>
      <c r="BH193" s="3">
        <f>IF(Д402[[#This Row],[ПС]]=0,IF(Д402[[#This Row],[ДС]]=0,Д402[[#This Row],[ТС]],Д402[[#This Row],[ДС]]),Д402[[#This Row],[ПС]])</f>
        <v>8822800</v>
      </c>
      <c r="BI193" s="3">
        <v>8822800</v>
      </c>
      <c r="BJ193" s="3">
        <v>0</v>
      </c>
      <c r="BK193" s="3">
        <v>0</v>
      </c>
      <c r="BL193" s="273">
        <f>Д402[[#This Row],[Стоимость CRM]]-Д402[[#This Row],[Стоимость до скидки]]</f>
        <v>0</v>
      </c>
      <c r="BM193" s="161" t="s">
        <v>9</v>
      </c>
      <c r="BN193" s="161" t="b">
        <f>Д402[[#This Row],[Отделка CRM]]=Д402[[#This Row],[Отделка]]</f>
        <v>1</v>
      </c>
      <c r="BO193" s="275" t="s">
        <v>325</v>
      </c>
      <c r="BP193" s="69"/>
    </row>
    <row r="194" spans="1:68" ht="12" customHeight="1" x14ac:dyDescent="0.25">
      <c r="A194" s="140">
        <v>192</v>
      </c>
      <c r="B194" s="15">
        <v>3</v>
      </c>
      <c r="C194" s="141">
        <f t="shared" si="7"/>
        <v>3</v>
      </c>
      <c r="D194" s="142">
        <v>6</v>
      </c>
      <c r="E194" s="141">
        <v>0</v>
      </c>
      <c r="F194" s="143">
        <v>16.25</v>
      </c>
      <c r="G194" s="143"/>
      <c r="H194" s="143"/>
      <c r="I194" s="144">
        <f>SUM(Д402[[#This Row],[Комната 1]:[Комната 3]])</f>
        <v>16.25</v>
      </c>
      <c r="J194" s="145">
        <v>5</v>
      </c>
      <c r="K194" s="145">
        <v>4.2699999999999996</v>
      </c>
      <c r="L194" s="145"/>
      <c r="M194" s="145">
        <v>4.21</v>
      </c>
      <c r="N194" s="145"/>
      <c r="O194" s="145"/>
      <c r="P194" s="146"/>
      <c r="Q194" s="146"/>
      <c r="R194" s="146">
        <f>SUM(Д402[[#This Row],[Лоджия 1]:[Лоджия 3]])</f>
        <v>0</v>
      </c>
      <c r="S194" s="10">
        <f>ROUND(SUM(Д402[[#This Row],[Площадь по проекту жилая]:[Лоджия 3]]),2)</f>
        <v>29.73</v>
      </c>
      <c r="T194" s="10">
        <f>ROUND(Д402[[#This Row],[Площадь по проекту(общая)]]-Д402[[#This Row],[Летние]],2)</f>
        <v>29.73</v>
      </c>
      <c r="U194" s="10">
        <f>ROUND(Д402[[#This Row],[Площадь по проекту(общая)]]-(SUM(Д402[[#This Row],[Лоджия 1]:[Лоджия 3]])/2),2)</f>
        <v>29.73</v>
      </c>
      <c r="V194" s="10">
        <f>VLOOKUP(Д402[[#This Row],[№]],наценка7[],COLUMN(наценка7[[#This Row],[Цена м2 с учетом всех K]]),0)</f>
        <v>138332.70000000001</v>
      </c>
      <c r="W194" s="162"/>
      <c r="X194" s="10">
        <f>Д402[[#This Row],[м2 после К]]+Д402[[#This Row],[02.12.2024]]</f>
        <v>138332.70000000001</v>
      </c>
      <c r="Y194" s="149">
        <v>1000</v>
      </c>
      <c r="Z194" s="10">
        <f>Д402[[#This Row],[Фикс 20.12.24]]+Д402[[#This Row],[23.12.24 СП +1000]]</f>
        <v>139332.70000000001</v>
      </c>
      <c r="AA194" s="149">
        <v>215</v>
      </c>
      <c r="AB194" s="10">
        <f>Д402[[#This Row],[Фикс 23.12.24]]+Д402[[#This Row],[Повышение 20.02.25]]</f>
        <v>139547.70000000001</v>
      </c>
      <c r="AC194" s="149">
        <v>17.5</v>
      </c>
      <c r="AD194" s="10">
        <f>Д402[[#This Row],[Фикс 20.02.25]]+Д402[[#This Row],[Повышение 24.02.2025]]</f>
        <v>139565.20000000001</v>
      </c>
      <c r="AE194" s="10"/>
      <c r="AF194" s="10">
        <f>Д402[[#This Row],[Фикс 24.02.25]]+Д402[[#This Row],[Повышение 05.03.2025
1К: до 40м - 1,5%, 40+ 0,5%
2К - 0,5% ]]</f>
        <v>139565.20000000001</v>
      </c>
      <c r="AG194" s="10"/>
      <c r="AH194" s="10">
        <f>Д402[[#This Row],[Фикс 05.03.25]]+Д402[[#This Row],[повышение 14.03.25 1К-1%]]</f>
        <v>139565.20000000001</v>
      </c>
      <c r="AI194" s="10"/>
      <c r="AJ194" s="10">
        <f>Д402[[#This Row],[Фикс 14.03.25]]+Д402[[#This Row],[повышение 28.03.25 1К-1%]]</f>
        <v>139565.20000000001</v>
      </c>
      <c r="AK194" s="10"/>
      <c r="AL194" s="10">
        <f>Д402[[#This Row],[Фикс 28.03.25]]+Д402[[#This Row],[Повышение 23.07.25
1К 43-46м2 - 2%
2К 55-58 - 2%; 58-64 - 3%
3К 76-79 - 2%
]]</f>
        <v>139565.20000000001</v>
      </c>
      <c r="AM194" s="149">
        <f>ROUND(Д402[[#This Row],[Фикс 23.07.25]],2)</f>
        <v>139565.20000000001</v>
      </c>
      <c r="AN194" s="149">
        <f>ROUNDUP(Д402[[#This Row],[утв цена м2]]*Д402[[#This Row],[Расчетная проектная площадь]],-2)</f>
        <v>4149300</v>
      </c>
      <c r="AO194" s="151"/>
      <c r="AP194" s="152"/>
      <c r="AQ194" s="151">
        <f>Д402[[#This Row],[Стоимость до скидки]]*Д402[[#This Row],[Скидка %]]+Д402[[#This Row],[Скидка фиксированная]]</f>
        <v>0</v>
      </c>
      <c r="AR194" s="3">
        <f>Д402[[#This Row],[Стоимость ОН без отделки со скидкой]]/Д402[[#This Row],[Расчетная проектная площадь]]</f>
        <v>139566.09485368314</v>
      </c>
      <c r="AS194" s="3">
        <f>Д402[[#This Row],[Стоимость до скидки]]-Д402[[#This Row],[Итоговая сумма скидки]]</f>
        <v>4149300</v>
      </c>
      <c r="AT19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4" s="153"/>
      <c r="AV194" s="153"/>
      <c r="AW194" s="3">
        <f>Д402[[#This Row],[Цена м2 без отделки со скидкой]]+Д402[[#This Row],[Стоимость отделки]]</f>
        <v>139566.09485368314</v>
      </c>
      <c r="AX194" s="3">
        <f>Д402[[#This Row],[Стоимость квартиры с отделкой]]-Д402[[#This Row],[Стоимость ОН без отделки со скидкой]]</f>
        <v>0</v>
      </c>
      <c r="AY194" s="3">
        <f>Д402[[#This Row],[Цена м2 с отделкой]]*Д402[[#This Row],[Расчетная проектная площадь]]</f>
        <v>4149300</v>
      </c>
      <c r="AZ194" s="161"/>
      <c r="BA194" s="155" t="s">
        <v>12</v>
      </c>
      <c r="BB194" s="156" t="str" cm="1">
        <f t="array" ref="BB19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4" s="161" t="s">
        <v>738</v>
      </c>
      <c r="BD194" s="161" t="s">
        <v>739</v>
      </c>
      <c r="BE194" s="161" t="s">
        <v>737</v>
      </c>
      <c r="BF194" s="161" t="s">
        <v>743</v>
      </c>
      <c r="BG194" s="161" t="b">
        <f>EXACT(Д402[[#This Row],[Статусы CRM]],Д402[[#This Row],[Статус]])</f>
        <v>1</v>
      </c>
      <c r="BH194" s="3">
        <f>IF(Д402[[#This Row],[ПС]]=0,IF(Д402[[#This Row],[ДС]]=0,Д402[[#This Row],[ТС]],Д402[[#This Row],[ДС]]),Д402[[#This Row],[ПС]])</f>
        <v>4149300</v>
      </c>
      <c r="BI194" s="3">
        <v>4149300</v>
      </c>
      <c r="BJ194" s="3">
        <v>0</v>
      </c>
      <c r="BK194" s="3">
        <v>0</v>
      </c>
      <c r="BL194" s="273">
        <f>Д402[[#This Row],[Стоимость CRM]]-Д402[[#This Row],[Стоимость до скидки]]</f>
        <v>0</v>
      </c>
      <c r="BM194" s="161" t="s">
        <v>9</v>
      </c>
      <c r="BN194" s="161" t="b">
        <f>Д402[[#This Row],[Отделка CRM]]=Д402[[#This Row],[Отделка]]</f>
        <v>1</v>
      </c>
      <c r="BO194" s="275" t="s">
        <v>326</v>
      </c>
      <c r="BP194" s="69"/>
    </row>
    <row r="195" spans="1:68" ht="12" customHeight="1" x14ac:dyDescent="0.25">
      <c r="A195" s="140">
        <v>193</v>
      </c>
      <c r="B195" s="15">
        <v>3</v>
      </c>
      <c r="C195" s="141">
        <f t="shared" si="7"/>
        <v>4</v>
      </c>
      <c r="D195" s="142">
        <v>1</v>
      </c>
      <c r="E195" s="141">
        <v>1</v>
      </c>
      <c r="F195" s="143">
        <v>14.42</v>
      </c>
      <c r="G195" s="143"/>
      <c r="H195" s="143"/>
      <c r="I195" s="144">
        <f>SUM(Д402[[#This Row],[Комната 1]:[Комната 3]])</f>
        <v>14.42</v>
      </c>
      <c r="J195" s="145">
        <v>16.2</v>
      </c>
      <c r="K195" s="145">
        <v>4.09</v>
      </c>
      <c r="L195" s="145"/>
      <c r="M195" s="145">
        <v>8.0299999999999994</v>
      </c>
      <c r="N195" s="145"/>
      <c r="O195" s="145">
        <v>3.01</v>
      </c>
      <c r="P195" s="146"/>
      <c r="Q195" s="146"/>
      <c r="R195" s="146">
        <f>SUM(Д402[[#This Row],[Лоджия 1]:[Лоджия 3]])</f>
        <v>3.01</v>
      </c>
      <c r="S195" s="10">
        <f>ROUND(SUM(Д402[[#This Row],[Площадь по проекту жилая]:[Лоджия 3]]),2)</f>
        <v>45.75</v>
      </c>
      <c r="T195" s="10">
        <f>ROUND(Д402[[#This Row],[Площадь по проекту(общая)]]-Д402[[#This Row],[Летние]],2)</f>
        <v>42.74</v>
      </c>
      <c r="U195" s="10">
        <f>ROUND(Д402[[#This Row],[Площадь по проекту(общая)]]-(SUM(Д402[[#This Row],[Лоджия 1]:[Лоджия 3]])/2),2)</f>
        <v>44.25</v>
      </c>
      <c r="V195" s="10">
        <f>VLOOKUP(Д402[[#This Row],[№]],наценка7[],COLUMN(наценка7[[#This Row],[Цена м2 с учетом всех K]]),0)</f>
        <v>121645.2</v>
      </c>
      <c r="W195" s="159">
        <f>2%*Д402[[#This Row],[м2 после К]]</f>
        <v>2432.904</v>
      </c>
      <c r="X195" s="10">
        <f>Д402[[#This Row],[м2 после К]]+Д402[[#This Row],[02.12.2024]]</f>
        <v>124078.10399999999</v>
      </c>
      <c r="Y195" s="149">
        <v>1000</v>
      </c>
      <c r="Z195" s="10">
        <f>Д402[[#This Row],[Фикс 20.12.24]]+Д402[[#This Row],[23.12.24 СП +1000]]</f>
        <v>125078.10399999999</v>
      </c>
      <c r="AA195" s="149">
        <v>215</v>
      </c>
      <c r="AB195" s="10">
        <f>Д402[[#This Row],[Фикс 23.12.24]]+Д402[[#This Row],[Повышение 20.02.25]]</f>
        <v>125293.10399999999</v>
      </c>
      <c r="AC195" s="149">
        <v>17.5</v>
      </c>
      <c r="AD195" s="10">
        <f>Д402[[#This Row],[Фикс 20.02.25]]+Д402[[#This Row],[Повышение 24.02.2025]]</f>
        <v>125310.60399999999</v>
      </c>
      <c r="AE195" s="149">
        <f>Д402[[#This Row],[Фикс 24.02.25]]*0.5%</f>
        <v>626.55301999999995</v>
      </c>
      <c r="AF195" s="10">
        <f>Д402[[#This Row],[Фикс 24.02.25]]+Д402[[#This Row],[Повышение 05.03.2025
1К: до 40м - 1,5%, 40+ 0,5%
2К - 0,5% ]]</f>
        <v>125937.15702</v>
      </c>
      <c r="AG195" s="149">
        <f>Д402[[#This Row],[Фикс 05.03.25]]*1%</f>
        <v>1259.3715702</v>
      </c>
      <c r="AH195" s="10">
        <f>Д402[[#This Row],[Фикс 05.03.25]]+Д402[[#This Row],[повышение 14.03.25 1К-1%]]</f>
        <v>127196.5285902</v>
      </c>
      <c r="AI195" s="10"/>
      <c r="AJ195" s="10">
        <f>Д402[[#This Row],[Фикс 14.03.25]]+Д402[[#This Row],[повышение 28.03.25 1К-1%]]</f>
        <v>127196.5285902</v>
      </c>
      <c r="AK195" s="10"/>
      <c r="AL195" s="10">
        <f>Д402[[#This Row],[Фикс 28.03.25]]+Д402[[#This Row],[Повышение 23.07.25
1К 43-46м2 - 2%
2К 55-58 - 2%; 58-64 - 3%
3К 76-79 - 2%
]]</f>
        <v>127196.5285902</v>
      </c>
      <c r="AM195" s="149">
        <f>ROUND(Д402[[#This Row],[Фикс 23.07.25]],2)</f>
        <v>127196.53</v>
      </c>
      <c r="AN195" s="149">
        <f>ROUNDUP(Д402[[#This Row],[утв цена м2]]*Д402[[#This Row],[Расчетная проектная площадь]],-2)</f>
        <v>5628500</v>
      </c>
      <c r="AO195" s="151"/>
      <c r="AP195" s="152">
        <v>0.02</v>
      </c>
      <c r="AQ195" s="151">
        <f>Д402[[#This Row],[Стоимость до скидки]]*Д402[[#This Row],[Скидка %]]+Д402[[#This Row],[Скидка фиксированная]]</f>
        <v>112570</v>
      </c>
      <c r="AR195" s="3">
        <f>Д402[[#This Row],[Стоимость ОН без отделки со скидкой]]/Д402[[#This Row],[Расчетная проектная площадь]]</f>
        <v>124653.78531073446</v>
      </c>
      <c r="AS195" s="3">
        <f>Д402[[#This Row],[Стоимость до скидки]]-Д402[[#This Row],[Итоговая сумма скидки]]</f>
        <v>5515930</v>
      </c>
      <c r="AT19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195" s="153">
        <v>10000</v>
      </c>
      <c r="AV195" s="153"/>
      <c r="AW195" s="3">
        <f>Д402[[#This Row],[Цена м2 без отделки со скидкой]]+Д402[[#This Row],[Стоимость отделки]]</f>
        <v>134653.78531073447</v>
      </c>
      <c r="AX195" s="3">
        <f>Д402[[#This Row],[Стоимость квартиры с отделкой]]-Д402[[#This Row],[Стоимость ОН без отделки со скидкой]]</f>
        <v>442500</v>
      </c>
      <c r="AY195" s="3">
        <f>Д402[[#This Row],[Цена м2 с отделкой]]*Д402[[#This Row],[Расчетная проектная площадь]]</f>
        <v>5958430</v>
      </c>
      <c r="AZ195" s="161" t="s">
        <v>436</v>
      </c>
      <c r="BA195" s="277" t="s">
        <v>426</v>
      </c>
      <c r="BB195" s="269" t="str" cm="1">
        <f t="array" ref="BB19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95" s="161" t="s">
        <v>741</v>
      </c>
      <c r="BD195" s="161" t="s">
        <v>506</v>
      </c>
      <c r="BE195" s="161" t="s">
        <v>737</v>
      </c>
      <c r="BF195" s="161" t="s">
        <v>745</v>
      </c>
      <c r="BG195" s="161" t="b">
        <f>EXACT(Д402[[#This Row],[Статусы CRM]],Д402[[#This Row],[Статус]])</f>
        <v>1</v>
      </c>
      <c r="BH195" s="3">
        <f>IF(Д402[[#This Row],[ПС]]=0,IF(Д402[[#This Row],[ДС]]=0,Д402[[#This Row],[ТС]],Д402[[#This Row],[ДС]]),Д402[[#This Row],[ПС]])</f>
        <v>5628500</v>
      </c>
      <c r="BI195" s="3" t="s">
        <v>749</v>
      </c>
      <c r="BJ195" s="3">
        <v>0</v>
      </c>
      <c r="BK195" s="3">
        <v>5628500</v>
      </c>
      <c r="BL195" s="273">
        <f>Д402[[#This Row],[Стоимость CRM]]-Д402[[#This Row],[Стоимость до скидки]]</f>
        <v>0</v>
      </c>
      <c r="BM195" s="161" t="s">
        <v>718</v>
      </c>
      <c r="BN195" s="161" t="b">
        <f>Д402[[#This Row],[Отделка CRM]]=Д402[[#This Row],[Отделка]]</f>
        <v>1</v>
      </c>
      <c r="BO195" s="275" t="s">
        <v>327</v>
      </c>
      <c r="BP195" s="69"/>
    </row>
    <row r="196" spans="1:68" ht="12" customHeight="1" x14ac:dyDescent="0.25">
      <c r="A196" s="140">
        <v>194</v>
      </c>
      <c r="B196" s="15">
        <v>3</v>
      </c>
      <c r="C196" s="141">
        <f t="shared" si="7"/>
        <v>4</v>
      </c>
      <c r="D196" s="142">
        <v>2</v>
      </c>
      <c r="E196" s="141">
        <v>1</v>
      </c>
      <c r="F196" s="143">
        <v>12.76</v>
      </c>
      <c r="G196" s="143"/>
      <c r="H196" s="143"/>
      <c r="I196" s="144">
        <f>SUM(Д402[[#This Row],[Комната 1]:[Комната 3]])</f>
        <v>12.76</v>
      </c>
      <c r="J196" s="145">
        <v>15.1</v>
      </c>
      <c r="K196" s="145">
        <v>4.22</v>
      </c>
      <c r="L196" s="145"/>
      <c r="M196" s="145">
        <v>3.09</v>
      </c>
      <c r="N196" s="145"/>
      <c r="O196" s="145">
        <v>2.93</v>
      </c>
      <c r="P196" s="146"/>
      <c r="Q196" s="146"/>
      <c r="R196" s="146">
        <f>SUM(Д402[[#This Row],[Лоджия 1]:[Лоджия 3]])</f>
        <v>2.93</v>
      </c>
      <c r="S196" s="10">
        <f>ROUND(SUM(Д402[[#This Row],[Площадь по проекту жилая]:[Лоджия 3]]),2)</f>
        <v>38.1</v>
      </c>
      <c r="T196" s="10">
        <f>ROUND(Д402[[#This Row],[Площадь по проекту(общая)]]-Д402[[#This Row],[Летние]],2)</f>
        <v>35.17</v>
      </c>
      <c r="U196" s="10">
        <f>ROUND(Д402[[#This Row],[Площадь по проекту(общая)]]-(SUM(Д402[[#This Row],[Лоджия 1]:[Лоджия 3]])/2),2)</f>
        <v>36.64</v>
      </c>
      <c r="V196" s="10">
        <f>VLOOKUP(Д402[[#This Row],[№]],наценка7[],COLUMN(наценка7[[#This Row],[Цена м2 с учетом всех K]]),0)</f>
        <v>125223</v>
      </c>
      <c r="W196" s="159">
        <f>2%*Д402[[#This Row],[м2 после К]]</f>
        <v>2504.46</v>
      </c>
      <c r="X196" s="10">
        <f>Д402[[#This Row],[м2 после К]]+Д402[[#This Row],[02.12.2024]]</f>
        <v>127727.46</v>
      </c>
      <c r="Y196" s="149">
        <v>1000</v>
      </c>
      <c r="Z196" s="10">
        <f>Д402[[#This Row],[Фикс 20.12.24]]+Д402[[#This Row],[23.12.24 СП +1000]]</f>
        <v>128727.46</v>
      </c>
      <c r="AA196" s="10"/>
      <c r="AB196" s="10">
        <f>Д402[[#This Row],[Фикс 23.12.24]]+Д402[[#This Row],[Повышение 20.02.25]]</f>
        <v>128727.46</v>
      </c>
      <c r="AC196" s="10"/>
      <c r="AD196" s="10">
        <f>Д402[[#This Row],[Фикс 20.02.25]]+Д402[[#This Row],[Повышение 24.02.2025]]</f>
        <v>128727.46</v>
      </c>
      <c r="AE196" s="10"/>
      <c r="AF196" s="10">
        <f>Д402[[#This Row],[Фикс 24.02.25]]+Д402[[#This Row],[Повышение 05.03.2025
1К: до 40м - 1,5%, 40+ 0,5%
2К - 0,5% ]]</f>
        <v>128727.46</v>
      </c>
      <c r="AG196" s="10"/>
      <c r="AH196" s="10">
        <f>Д402[[#This Row],[Фикс 05.03.25]]+Д402[[#This Row],[повышение 14.03.25 1К-1%]]</f>
        <v>128727.46</v>
      </c>
      <c r="AI196" s="10"/>
      <c r="AJ196" s="10">
        <f>Д402[[#This Row],[Фикс 14.03.25]]+Д402[[#This Row],[повышение 28.03.25 1К-1%]]</f>
        <v>128727.46</v>
      </c>
      <c r="AK196" s="10"/>
      <c r="AL196" s="10">
        <f>Д402[[#This Row],[Фикс 28.03.25]]+Д402[[#This Row],[Повышение 23.07.25
1К 43-46м2 - 2%
2К 55-58 - 2%; 58-64 - 3%
3К 76-79 - 2%
]]</f>
        <v>128727.46</v>
      </c>
      <c r="AM196" s="149">
        <f>ROUND(Д402[[#This Row],[Фикс 23.07.25]],2)</f>
        <v>128727.46</v>
      </c>
      <c r="AN196" s="149">
        <f>ROUNDUP(Д402[[#This Row],[утв цена м2]]*Д402[[#This Row],[Расчетная проектная площадь]],-2)</f>
        <v>4716600</v>
      </c>
      <c r="AO196" s="151"/>
      <c r="AP196" s="152">
        <v>0.02</v>
      </c>
      <c r="AQ196" s="151">
        <f>Д402[[#This Row],[Стоимость до скидки]]*Д402[[#This Row],[Скидка %]]+Д402[[#This Row],[Скидка фиксированная]]</f>
        <v>94332</v>
      </c>
      <c r="AR196" s="3">
        <f>Д402[[#This Row],[Стоимость ОН без отделки со скидкой]]/Д402[[#This Row],[Расчетная проектная площадь]]</f>
        <v>126153.60262008733</v>
      </c>
      <c r="AS196" s="3">
        <f>Д402[[#This Row],[Стоимость до скидки]]-Д402[[#This Row],[Итоговая сумма скидки]]</f>
        <v>4622268</v>
      </c>
      <c r="AT19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6" s="153"/>
      <c r="AV196" s="153"/>
      <c r="AW196" s="3">
        <f>Д402[[#This Row],[Цена м2 без отделки со скидкой]]+Д402[[#This Row],[Стоимость отделки]]</f>
        <v>126153.60262008733</v>
      </c>
      <c r="AX196" s="3">
        <f>Д402[[#This Row],[Стоимость квартиры с отделкой]]-Д402[[#This Row],[Стоимость ОН без отделки со скидкой]]</f>
        <v>0</v>
      </c>
      <c r="AY196" s="3">
        <f>Д402[[#This Row],[Цена м2 с отделкой]]*Д402[[#This Row],[Расчетная проектная площадь]]</f>
        <v>4622268</v>
      </c>
      <c r="AZ196" s="161" t="s">
        <v>424</v>
      </c>
      <c r="BA196" s="269" t="s">
        <v>426</v>
      </c>
      <c r="BB196" s="269" t="str" cm="1">
        <f t="array" ref="BB19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196" s="161" t="s">
        <v>741</v>
      </c>
      <c r="BD196" s="161" t="s">
        <v>506</v>
      </c>
      <c r="BE196" s="161" t="s">
        <v>737</v>
      </c>
      <c r="BF196" s="161" t="s">
        <v>745</v>
      </c>
      <c r="BG196" s="161" t="b">
        <f>EXACT(Д402[[#This Row],[Статусы CRM]],Д402[[#This Row],[Статус]])</f>
        <v>1</v>
      </c>
      <c r="BH196" s="3">
        <f>IF(Д402[[#This Row],[ПС]]=0,IF(Д402[[#This Row],[ДС]]=0,Д402[[#This Row],[ТС]],Д402[[#This Row],[ДС]]),Д402[[#This Row],[ПС]])</f>
        <v>4716600</v>
      </c>
      <c r="BI196" s="3" t="s">
        <v>749</v>
      </c>
      <c r="BJ196" s="3">
        <v>0</v>
      </c>
      <c r="BK196" s="3">
        <v>4716600</v>
      </c>
      <c r="BL196" s="273">
        <f>Д402[[#This Row],[Стоимость CRM]]-Д402[[#This Row],[Стоимость до скидки]]</f>
        <v>0</v>
      </c>
      <c r="BM196" s="161" t="s">
        <v>9</v>
      </c>
      <c r="BN196" s="161" t="b">
        <f>Д402[[#This Row],[Отделка CRM]]=Д402[[#This Row],[Отделка]]</f>
        <v>1</v>
      </c>
      <c r="BO196" s="275" t="s">
        <v>328</v>
      </c>
      <c r="BP196" s="69"/>
    </row>
    <row r="197" spans="1:68" ht="12" customHeight="1" x14ac:dyDescent="0.25">
      <c r="A197" s="140">
        <v>195</v>
      </c>
      <c r="B197" s="15">
        <v>3</v>
      </c>
      <c r="C197" s="141">
        <f t="shared" si="7"/>
        <v>4</v>
      </c>
      <c r="D197" s="142">
        <v>3</v>
      </c>
      <c r="E197" s="141">
        <v>2</v>
      </c>
      <c r="F197" s="143">
        <v>15.36</v>
      </c>
      <c r="G197" s="143">
        <v>11.95</v>
      </c>
      <c r="H197" s="143"/>
      <c r="I197" s="144">
        <f>SUM(Д402[[#This Row],[Комната 1]:[Комната 3]])</f>
        <v>27.31</v>
      </c>
      <c r="J197" s="145">
        <v>14.7</v>
      </c>
      <c r="K197" s="145">
        <v>4.21</v>
      </c>
      <c r="L197" s="145"/>
      <c r="M197" s="145">
        <v>6.6</v>
      </c>
      <c r="N197" s="145"/>
      <c r="O197" s="145">
        <v>3.23</v>
      </c>
      <c r="P197" s="146"/>
      <c r="Q197" s="146"/>
      <c r="R197" s="146">
        <f>SUM(Д402[[#This Row],[Лоджия 1]:[Лоджия 3]])</f>
        <v>3.23</v>
      </c>
      <c r="S197" s="10">
        <f>ROUND(SUM(Д402[[#This Row],[Площадь по проекту жилая]:[Лоджия 3]]),2)</f>
        <v>56.05</v>
      </c>
      <c r="T197" s="10">
        <f>ROUND(Д402[[#This Row],[Площадь по проекту(общая)]]-Д402[[#This Row],[Летние]],2)</f>
        <v>52.82</v>
      </c>
      <c r="U197" s="10">
        <f>ROUND(Д402[[#This Row],[Площадь по проекту(общая)]]-(SUM(Д402[[#This Row],[Лоджия 1]:[Лоджия 3]])/2),2)</f>
        <v>54.44</v>
      </c>
      <c r="V197" s="10">
        <f>VLOOKUP(Д402[[#This Row],[№]],наценка7[],COLUMN(наценка7[[#This Row],[Цена м2 с учетом всех K]]),0)</f>
        <v>119811.8</v>
      </c>
      <c r="W197" s="162">
        <f>0.021*Д402[[#This Row],[м2 после К]]</f>
        <v>2516.0478000000003</v>
      </c>
      <c r="X197" s="10">
        <f>Д402[[#This Row],[м2 после К]]+Д402[[#This Row],[02.12.2024]]</f>
        <v>122327.8478</v>
      </c>
      <c r="Y197" s="149">
        <v>1000</v>
      </c>
      <c r="Z197" s="10">
        <f>Д402[[#This Row],[Фикс 20.12.24]]+Д402[[#This Row],[23.12.24 СП +1000]]</f>
        <v>123327.8478</v>
      </c>
      <c r="AA197" s="149">
        <v>215</v>
      </c>
      <c r="AB197" s="10">
        <f>Д402[[#This Row],[Фикс 23.12.24]]+Д402[[#This Row],[Повышение 20.02.25]]</f>
        <v>123542.8478</v>
      </c>
      <c r="AC197" s="149">
        <v>17.5</v>
      </c>
      <c r="AD197" s="10">
        <f>Д402[[#This Row],[Фикс 20.02.25]]+Д402[[#This Row],[Повышение 24.02.2025]]</f>
        <v>123560.3478</v>
      </c>
      <c r="AE197" s="149">
        <f>Д402[[#This Row],[Фикс 24.02.25]]*0.5%</f>
        <v>617.801739</v>
      </c>
      <c r="AF197" s="10">
        <f>Д402[[#This Row],[Фикс 24.02.25]]+Д402[[#This Row],[Повышение 05.03.2025
1К: до 40м - 1,5%, 40+ 0,5%
2К - 0,5% ]]</f>
        <v>124178.14953900001</v>
      </c>
      <c r="AG197" s="10"/>
      <c r="AH197" s="10">
        <f>Д402[[#This Row],[Фикс 05.03.25]]+Д402[[#This Row],[повышение 14.03.25 1К-1%]]</f>
        <v>124178.14953900001</v>
      </c>
      <c r="AI197" s="10"/>
      <c r="AJ197" s="10">
        <f>Д402[[#This Row],[Фикс 14.03.25]]+Д402[[#This Row],[повышение 28.03.25 1К-1%]]</f>
        <v>124178.14953900001</v>
      </c>
      <c r="AK197" s="10"/>
      <c r="AL197" s="10">
        <f>Д402[[#This Row],[Фикс 28.03.25]]+Д402[[#This Row],[Повышение 23.07.25
1К 43-46м2 - 2%
2К 55-58 - 2%; 58-64 - 3%
3К 76-79 - 2%
]]</f>
        <v>124178.14953900001</v>
      </c>
      <c r="AM197" s="149">
        <f>ROUND(Д402[[#This Row],[Фикс 23.07.25]],2)</f>
        <v>124178.15</v>
      </c>
      <c r="AN197" s="149">
        <f>ROUNDUP(Д402[[#This Row],[утв цена м2]]*Д402[[#This Row],[Расчетная проектная площадь]],-2)</f>
        <v>6760300</v>
      </c>
      <c r="AO197" s="151"/>
      <c r="AP197" s="152"/>
      <c r="AQ197" s="151">
        <f>Д402[[#This Row],[Стоимость до скидки]]*Д402[[#This Row],[Скидка %]]+Д402[[#This Row],[Скидка фиксированная]]</f>
        <v>0</v>
      </c>
      <c r="AR197" s="3">
        <f>Д402[[#This Row],[Стоимость ОН без отделки со скидкой]]/Д402[[#This Row],[Расчетная проектная площадь]]</f>
        <v>124178.91256429096</v>
      </c>
      <c r="AS197" s="3">
        <f>Д402[[#This Row],[Стоимость до скидки]]-Д402[[#This Row],[Итоговая сумма скидки]]</f>
        <v>6760300</v>
      </c>
      <c r="AT19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7" s="153"/>
      <c r="AV197" s="153"/>
      <c r="AW197" s="3">
        <f>Д402[[#This Row],[Цена м2 без отделки со скидкой]]+Д402[[#This Row],[Стоимость отделки]]</f>
        <v>124178.91256429096</v>
      </c>
      <c r="AX197" s="3">
        <f>Д402[[#This Row],[Стоимость квартиры с отделкой]]-Д402[[#This Row],[Стоимость ОН без отделки со скидкой]]</f>
        <v>0</v>
      </c>
      <c r="AY197" s="3">
        <f>Д402[[#This Row],[Цена м2 с отделкой]]*Д402[[#This Row],[Расчетная проектная площадь]]</f>
        <v>6760300</v>
      </c>
      <c r="AZ197" s="161"/>
      <c r="BA197" s="269" t="s">
        <v>12</v>
      </c>
      <c r="BB197" s="269" t="str" cm="1">
        <f t="array" ref="BB19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7" s="161" t="s">
        <v>738</v>
      </c>
      <c r="BD197" s="161" t="s">
        <v>739</v>
      </c>
      <c r="BE197" s="161" t="s">
        <v>737</v>
      </c>
      <c r="BF197" s="161" t="s">
        <v>744</v>
      </c>
      <c r="BG197" s="161" t="b">
        <f>EXACT(Д402[[#This Row],[Статусы CRM]],Д402[[#This Row],[Статус]])</f>
        <v>1</v>
      </c>
      <c r="BH197" s="3">
        <f>IF(Д402[[#This Row],[ПС]]=0,IF(Д402[[#This Row],[ДС]]=0,Д402[[#This Row],[ТС]],Д402[[#This Row],[ДС]]),Д402[[#This Row],[ПС]])</f>
        <v>6760300</v>
      </c>
      <c r="BI197" s="3">
        <v>6760300</v>
      </c>
      <c r="BJ197" s="3">
        <v>0</v>
      </c>
      <c r="BK197" s="3">
        <v>0</v>
      </c>
      <c r="BL197" s="273">
        <f>Д402[[#This Row],[Стоимость CRM]]-Д402[[#This Row],[Стоимость до скидки]]</f>
        <v>0</v>
      </c>
      <c r="BM197" s="161" t="s">
        <v>9</v>
      </c>
      <c r="BN197" s="161" t="b">
        <f>Д402[[#This Row],[Отделка CRM]]=Д402[[#This Row],[Отделка]]</f>
        <v>1</v>
      </c>
      <c r="BO197" s="275" t="s">
        <v>329</v>
      </c>
      <c r="BP197" s="69"/>
    </row>
    <row r="198" spans="1:68" ht="12" customHeight="1" x14ac:dyDescent="0.25">
      <c r="A198" s="140">
        <v>196</v>
      </c>
      <c r="B198" s="175">
        <v>3</v>
      </c>
      <c r="C198" s="141">
        <f t="shared" si="7"/>
        <v>4</v>
      </c>
      <c r="D198" s="142">
        <v>4</v>
      </c>
      <c r="E198" s="141">
        <v>1</v>
      </c>
      <c r="F198" s="143">
        <v>14.28</v>
      </c>
      <c r="G198" s="143"/>
      <c r="H198" s="143"/>
      <c r="I198" s="144">
        <f>SUM(Д402[[#This Row],[Комната 1]:[Комната 3]])</f>
        <v>14.28</v>
      </c>
      <c r="J198" s="145">
        <v>13.99</v>
      </c>
      <c r="K198" s="145">
        <v>3.9</v>
      </c>
      <c r="L198" s="145"/>
      <c r="M198" s="145">
        <v>2.6</v>
      </c>
      <c r="N198" s="145"/>
      <c r="O198" s="145">
        <v>3.23</v>
      </c>
      <c r="P198" s="146"/>
      <c r="Q198" s="146"/>
      <c r="R198" s="146">
        <f>SUM(Д402[[#This Row],[Лоджия 1]:[Лоджия 3]])</f>
        <v>3.23</v>
      </c>
      <c r="S198" s="10">
        <f>ROUND(SUM(Д402[[#This Row],[Площадь по проекту жилая]:[Лоджия 3]]),2)</f>
        <v>38</v>
      </c>
      <c r="T198" s="10">
        <f>ROUND(Д402[[#This Row],[Площадь по проекту(общая)]]-Д402[[#This Row],[Летние]],2)</f>
        <v>34.770000000000003</v>
      </c>
      <c r="U198" s="10">
        <f>ROUND(Д402[[#This Row],[Площадь по проекту(общая)]]-(SUM(Д402[[#This Row],[Лоджия 1]:[Лоджия 3]])/2),2)</f>
        <v>36.39</v>
      </c>
      <c r="V198" s="10">
        <f>VLOOKUP(Д402[[#This Row],[№]],наценка7[],COLUMN(наценка7[[#This Row],[Цена м2 с учетом всех K]]),0)</f>
        <v>124030.39999999999</v>
      </c>
      <c r="W198" s="162"/>
      <c r="X198" s="10">
        <f>Д402[[#This Row],[м2 после К]]+Д402[[#This Row],[02.12.2024]]</f>
        <v>124030.39999999999</v>
      </c>
      <c r="Y198" s="149">
        <v>1000</v>
      </c>
      <c r="Z198" s="10">
        <f>Д402[[#This Row],[Фикс 20.12.24]]+Д402[[#This Row],[23.12.24 СП +1000]]</f>
        <v>125030.39999999999</v>
      </c>
      <c r="AA198" s="149">
        <v>215</v>
      </c>
      <c r="AB198" s="10">
        <f>Д402[[#This Row],[Фикс 23.12.24]]+Д402[[#This Row],[Повышение 20.02.25]]</f>
        <v>125245.4</v>
      </c>
      <c r="AC198" s="149">
        <v>17.5</v>
      </c>
      <c r="AD198" s="10">
        <f>Д402[[#This Row],[Фикс 20.02.25]]+Д402[[#This Row],[Повышение 24.02.2025]]</f>
        <v>125262.9</v>
      </c>
      <c r="AE198" s="149">
        <f>Д402[[#This Row],[Фикс 24.02.25]]*1.5%</f>
        <v>1878.9434999999999</v>
      </c>
      <c r="AF198" s="10">
        <f>Д402[[#This Row],[Фикс 24.02.25]]+Д402[[#This Row],[Повышение 05.03.2025
1К: до 40м - 1,5%, 40+ 0,5%
2К - 0,5% ]]</f>
        <v>127141.84349999999</v>
      </c>
      <c r="AG198" s="149">
        <f>Д402[[#This Row],[Фикс 05.03.25]]*1%</f>
        <v>1271.4184349999998</v>
      </c>
      <c r="AH198" s="10">
        <f>Д402[[#This Row],[Фикс 05.03.25]]+Д402[[#This Row],[повышение 14.03.25 1К-1%]]</f>
        <v>128413.26193499999</v>
      </c>
      <c r="AI198" s="149">
        <f>Д402[[#This Row],[Фикс 14.03.25]]*1%</f>
        <v>1284.1326193499999</v>
      </c>
      <c r="AJ198" s="10">
        <f>Д402[[#This Row],[Фикс 14.03.25]]+Д402[[#This Row],[повышение 28.03.25 1К-1%]]</f>
        <v>129697.39455434999</v>
      </c>
      <c r="AK198" s="10"/>
      <c r="AL198" s="10">
        <f>Д402[[#This Row],[Фикс 28.03.25]]+Д402[[#This Row],[Повышение 23.07.25
1К 43-46м2 - 2%
2К 55-58 - 2%; 58-64 - 3%
3К 76-79 - 2%
]]</f>
        <v>129697.39455434999</v>
      </c>
      <c r="AM198" s="149">
        <f>ROUND(Д402[[#This Row],[Фикс 23.07.25]],2)</f>
        <v>129697.39</v>
      </c>
      <c r="AN198" s="149">
        <f>ROUNDUP(Д402[[#This Row],[утв цена м2]]*Д402[[#This Row],[Расчетная проектная площадь]],-2)</f>
        <v>4719700</v>
      </c>
      <c r="AO198" s="151"/>
      <c r="AP198" s="152"/>
      <c r="AQ198" s="151">
        <f>Д402[[#This Row],[Стоимость до скидки]]*Д402[[#This Row],[Скидка %]]+Д402[[#This Row],[Скидка фиксированная]]</f>
        <v>0</v>
      </c>
      <c r="AR198" s="3">
        <f>Д402[[#This Row],[Стоимость ОН без отделки со скидкой]]/Д402[[#This Row],[Расчетная проектная площадь]]</f>
        <v>129697.71915361362</v>
      </c>
      <c r="AS198" s="3">
        <f>Д402[[#This Row],[Стоимость до скидки]]-Д402[[#This Row],[Итоговая сумма скидки]]</f>
        <v>4719700</v>
      </c>
      <c r="AT19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198" s="153">
        <v>30000</v>
      </c>
      <c r="AV198" s="153" t="s">
        <v>722</v>
      </c>
      <c r="AW198" s="3">
        <f>Д402[[#This Row],[Цена м2 без отделки со скидкой]]+Д402[[#This Row],[Стоимость отделки]]</f>
        <v>159697.71915361361</v>
      </c>
      <c r="AX198" s="3">
        <f>Д402[[#This Row],[Стоимость квартиры с отделкой]]-Д402[[#This Row],[Стоимость ОН без отделки со скидкой]]</f>
        <v>1091699.9999999991</v>
      </c>
      <c r="AY198" s="3">
        <f>Д402[[#This Row],[Цена м2 с отделкой]]*Д402[[#This Row],[Расчетная проектная площадь]]</f>
        <v>5811399.9999999991</v>
      </c>
      <c r="AZ198" s="161"/>
      <c r="BA198" s="155" t="s">
        <v>12</v>
      </c>
      <c r="BB198" s="156" t="str" cm="1">
        <f t="array" ref="BB19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8" s="161" t="s">
        <v>738</v>
      </c>
      <c r="BD198" s="161" t="s">
        <v>739</v>
      </c>
      <c r="BE198" s="161" t="s">
        <v>737</v>
      </c>
      <c r="BF198" s="161" t="s">
        <v>746</v>
      </c>
      <c r="BG198" s="161" t="b">
        <f>EXACT(Д402[[#This Row],[Статусы CRM]],Д402[[#This Row],[Статус]])</f>
        <v>1</v>
      </c>
      <c r="BH198" s="3">
        <f>IF(Д402[[#This Row],[ПС]]=0,IF(Д402[[#This Row],[ДС]]=0,Д402[[#This Row],[ТС]],Д402[[#This Row],[ДС]]),Д402[[#This Row],[ПС]])</f>
        <v>4719700</v>
      </c>
      <c r="BI198" s="3">
        <v>4719700</v>
      </c>
      <c r="BJ198" s="3">
        <v>0</v>
      </c>
      <c r="BK198" s="3">
        <v>0</v>
      </c>
      <c r="BL198" s="273">
        <f>Д402[[#This Row],[Стоимость CRM]]-Д402[[#This Row],[Стоимость до скидки]]</f>
        <v>0</v>
      </c>
      <c r="BM198" s="161" t="s">
        <v>11</v>
      </c>
      <c r="BN198" s="161" t="b">
        <f>Д402[[#This Row],[Отделка CRM]]=Д402[[#This Row],[Отделка]]</f>
        <v>1</v>
      </c>
      <c r="BO198" s="275" t="s">
        <v>330</v>
      </c>
      <c r="BP198" s="69"/>
    </row>
    <row r="199" spans="1:68" ht="12" customHeight="1" x14ac:dyDescent="0.25">
      <c r="A199" s="140">
        <v>197</v>
      </c>
      <c r="B199" s="15">
        <v>3</v>
      </c>
      <c r="C199" s="141">
        <f t="shared" si="7"/>
        <v>4</v>
      </c>
      <c r="D199" s="142">
        <v>5</v>
      </c>
      <c r="E199" s="141">
        <v>3</v>
      </c>
      <c r="F199" s="143">
        <v>18.350000000000001</v>
      </c>
      <c r="G199" s="143">
        <v>15.96</v>
      </c>
      <c r="H199" s="143">
        <v>11.55</v>
      </c>
      <c r="I199" s="144">
        <f>SUM(Д402[[#This Row],[Комната 1]:[Комната 3]])</f>
        <v>45.86</v>
      </c>
      <c r="J199" s="145">
        <v>11.42</v>
      </c>
      <c r="K199" s="145">
        <v>3.9</v>
      </c>
      <c r="L199" s="145">
        <v>4.37</v>
      </c>
      <c r="M199" s="145">
        <v>11.06</v>
      </c>
      <c r="N199" s="145"/>
      <c r="O199" s="145">
        <v>3.1</v>
      </c>
      <c r="P199" s="146"/>
      <c r="Q199" s="146"/>
      <c r="R199" s="146">
        <f>SUM(Д402[[#This Row],[Лоджия 1]:[Лоджия 3]])</f>
        <v>3.1</v>
      </c>
      <c r="S199" s="10">
        <f>ROUND(SUM(Д402[[#This Row],[Площадь по проекту жилая]:[Лоджия 3]]),2)</f>
        <v>79.709999999999994</v>
      </c>
      <c r="T199" s="10">
        <f>ROUND(Д402[[#This Row],[Площадь по проекту(общая)]]-Д402[[#This Row],[Летние]],2)</f>
        <v>76.61</v>
      </c>
      <c r="U199" s="10">
        <f>ROUND(Д402[[#This Row],[Площадь по проекту(общая)]]-(SUM(Д402[[#This Row],[Лоджия 1]:[Лоджия 3]])/2),2)</f>
        <v>78.16</v>
      </c>
      <c r="V199" s="10">
        <f>VLOOKUP(Д402[[#This Row],[№]],наценка7[],COLUMN(наценка7[[#This Row],[Цена м2 с учетом всех K]]),0)</f>
        <v>109434.4</v>
      </c>
      <c r="W199" s="162"/>
      <c r="X199" s="10">
        <f>Д402[[#This Row],[м2 после К]]+Д402[[#This Row],[02.12.2024]]</f>
        <v>109434.4</v>
      </c>
      <c r="Y199" s="149">
        <v>1000</v>
      </c>
      <c r="Z199" s="10">
        <f>Д402[[#This Row],[Фикс 20.12.24]]+Д402[[#This Row],[23.12.24 СП +1000]]</f>
        <v>110434.4</v>
      </c>
      <c r="AA199" s="149">
        <v>215</v>
      </c>
      <c r="AB199" s="10">
        <f>Д402[[#This Row],[Фикс 23.12.24]]+Д402[[#This Row],[Повышение 20.02.25]]</f>
        <v>110649.4</v>
      </c>
      <c r="AC199" s="149">
        <v>17.5</v>
      </c>
      <c r="AD199" s="10">
        <f>Д402[[#This Row],[Фикс 20.02.25]]+Д402[[#This Row],[Повышение 24.02.2025]]</f>
        <v>110666.9</v>
      </c>
      <c r="AE199" s="10"/>
      <c r="AF199" s="10">
        <f>Д402[[#This Row],[Фикс 24.02.25]]+Д402[[#This Row],[Повышение 05.03.2025
1К: до 40м - 1,5%, 40+ 0,5%
2К - 0,5% ]]</f>
        <v>110666.9</v>
      </c>
      <c r="AG199" s="10"/>
      <c r="AH199" s="10">
        <f>Д402[[#This Row],[Фикс 05.03.25]]+Д402[[#This Row],[повышение 14.03.25 1К-1%]]</f>
        <v>110666.9</v>
      </c>
      <c r="AI199" s="10"/>
      <c r="AJ199" s="10">
        <f>Д402[[#This Row],[Фикс 14.03.25]]+Д402[[#This Row],[повышение 28.03.25 1К-1%]]</f>
        <v>110666.9</v>
      </c>
      <c r="AK199" s="10">
        <f>Д402[[#This Row],[Фикс 28.03.25]]*2%</f>
        <v>2213.3379999999997</v>
      </c>
      <c r="AL199" s="10">
        <f>Д402[[#This Row],[Фикс 28.03.25]]+Д402[[#This Row],[Повышение 23.07.25
1К 43-46м2 - 2%
2К 55-58 - 2%; 58-64 - 3%
3К 76-79 - 2%
]]</f>
        <v>112880.238</v>
      </c>
      <c r="AM199" s="149">
        <f>ROUND(Д402[[#This Row],[Фикс 23.07.25]],2)</f>
        <v>112880.24</v>
      </c>
      <c r="AN199" s="149">
        <f>ROUNDUP(Д402[[#This Row],[утв цена м2]]*Д402[[#This Row],[Расчетная проектная площадь]],-2)</f>
        <v>8822800</v>
      </c>
      <c r="AO199" s="151"/>
      <c r="AP199" s="152"/>
      <c r="AQ199" s="151">
        <f>Д402[[#This Row],[Стоимость до скидки]]*Д402[[#This Row],[Скидка %]]+Д402[[#This Row],[Скидка фиксированная]]</f>
        <v>0</v>
      </c>
      <c r="AR199" s="3">
        <f>Д402[[#This Row],[Стоимость ОН без отделки со скидкой]]/Д402[[#This Row],[Расчетная проектная площадь]]</f>
        <v>112881.26919140226</v>
      </c>
      <c r="AS199" s="3">
        <f>Д402[[#This Row],[Стоимость до скидки]]-Д402[[#This Row],[Итоговая сумма скидки]]</f>
        <v>8822800</v>
      </c>
      <c r="AT19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199" s="153"/>
      <c r="AV199" s="153"/>
      <c r="AW199" s="3">
        <f>Д402[[#This Row],[Цена м2 без отделки со скидкой]]+Д402[[#This Row],[Стоимость отделки]]</f>
        <v>112881.26919140226</v>
      </c>
      <c r="AX199" s="3">
        <f>Д402[[#This Row],[Стоимость квартиры с отделкой]]-Д402[[#This Row],[Стоимость ОН без отделки со скидкой]]</f>
        <v>0</v>
      </c>
      <c r="AY199" s="3">
        <f>Д402[[#This Row],[Цена м2 с отделкой]]*Д402[[#This Row],[Расчетная проектная площадь]]</f>
        <v>8822800</v>
      </c>
      <c r="AZ199" s="161"/>
      <c r="BA199" s="155" t="s">
        <v>12</v>
      </c>
      <c r="BB199" s="156" t="str" cm="1">
        <f t="array" ref="BB19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199" s="161" t="s">
        <v>738</v>
      </c>
      <c r="BD199" s="161" t="s">
        <v>739</v>
      </c>
      <c r="BE199" s="161" t="s">
        <v>737</v>
      </c>
      <c r="BF199" s="161" t="s">
        <v>748</v>
      </c>
      <c r="BG199" s="161" t="b">
        <f>EXACT(Д402[[#This Row],[Статусы CRM]],Д402[[#This Row],[Статус]])</f>
        <v>1</v>
      </c>
      <c r="BH199" s="3">
        <f>IF(Д402[[#This Row],[ПС]]=0,IF(Д402[[#This Row],[ДС]]=0,Д402[[#This Row],[ТС]],Д402[[#This Row],[ДС]]),Д402[[#This Row],[ПС]])</f>
        <v>8822800</v>
      </c>
      <c r="BI199" s="3">
        <v>8822800</v>
      </c>
      <c r="BJ199" s="3">
        <v>0</v>
      </c>
      <c r="BK199" s="3">
        <v>0</v>
      </c>
      <c r="BL199" s="273">
        <f>Д402[[#This Row],[Стоимость CRM]]-Д402[[#This Row],[Стоимость до скидки]]</f>
        <v>0</v>
      </c>
      <c r="BM199" s="161" t="s">
        <v>9</v>
      </c>
      <c r="BN199" s="161" t="b">
        <f>Д402[[#This Row],[Отделка CRM]]=Д402[[#This Row],[Отделка]]</f>
        <v>1</v>
      </c>
      <c r="BO199" s="275" t="s">
        <v>331</v>
      </c>
      <c r="BP199" s="69"/>
    </row>
    <row r="200" spans="1:68" ht="12" customHeight="1" x14ac:dyDescent="0.25">
      <c r="A200" s="140">
        <v>198</v>
      </c>
      <c r="B200" s="15">
        <v>3</v>
      </c>
      <c r="C200" s="141">
        <f t="shared" si="7"/>
        <v>4</v>
      </c>
      <c r="D200" s="142">
        <v>6</v>
      </c>
      <c r="E200" s="141">
        <v>0</v>
      </c>
      <c r="F200" s="143">
        <v>16.25</v>
      </c>
      <c r="G200" s="143"/>
      <c r="H200" s="143"/>
      <c r="I200" s="144">
        <f>SUM(Д402[[#This Row],[Комната 1]:[Комната 3]])</f>
        <v>16.25</v>
      </c>
      <c r="J200" s="145">
        <v>5</v>
      </c>
      <c r="K200" s="145">
        <v>4.2699999999999996</v>
      </c>
      <c r="L200" s="145"/>
      <c r="M200" s="145">
        <v>4.21</v>
      </c>
      <c r="N200" s="145"/>
      <c r="O200" s="145"/>
      <c r="P200" s="146"/>
      <c r="Q200" s="146"/>
      <c r="R200" s="146">
        <f>SUM(Д402[[#This Row],[Лоджия 1]:[Лоджия 3]])</f>
        <v>0</v>
      </c>
      <c r="S200" s="10">
        <f>ROUND(SUM(Д402[[#This Row],[Площадь по проекту жилая]:[Лоджия 3]]),2)</f>
        <v>29.73</v>
      </c>
      <c r="T200" s="10">
        <f>ROUND(Д402[[#This Row],[Площадь по проекту(общая)]]-Д402[[#This Row],[Летние]],2)</f>
        <v>29.73</v>
      </c>
      <c r="U200" s="10">
        <f>ROUND(Д402[[#This Row],[Площадь по проекту(общая)]]-(SUM(Д402[[#This Row],[Лоджия 1]:[Лоджия 3]])/2),2)</f>
        <v>29.73</v>
      </c>
      <c r="V200" s="10">
        <f>VLOOKUP(Д402[[#This Row],[№]],наценка7[],COLUMN(наценка7[[#This Row],[Цена м2 с учетом всех K]]),0)</f>
        <v>139730</v>
      </c>
      <c r="W200" s="162"/>
      <c r="X200" s="10">
        <f>Д402[[#This Row],[м2 после К]]+Д402[[#This Row],[02.12.2024]]</f>
        <v>139730</v>
      </c>
      <c r="Y200" s="149">
        <v>1000</v>
      </c>
      <c r="Z200" s="10">
        <f>Д402[[#This Row],[Фикс 20.12.24]]+Д402[[#This Row],[23.12.24 СП +1000]]</f>
        <v>140730</v>
      </c>
      <c r="AA200" s="149">
        <v>215</v>
      </c>
      <c r="AB200" s="10">
        <f>Д402[[#This Row],[Фикс 23.12.24]]+Д402[[#This Row],[Повышение 20.02.25]]</f>
        <v>140945</v>
      </c>
      <c r="AC200" s="149">
        <v>17.5</v>
      </c>
      <c r="AD200" s="10">
        <f>Д402[[#This Row],[Фикс 20.02.25]]+Д402[[#This Row],[Повышение 24.02.2025]]</f>
        <v>140962.5</v>
      </c>
      <c r="AE200" s="10"/>
      <c r="AF200" s="10">
        <f>Д402[[#This Row],[Фикс 24.02.25]]+Д402[[#This Row],[Повышение 05.03.2025
1К: до 40м - 1,5%, 40+ 0,5%
2К - 0,5% ]]</f>
        <v>140962.5</v>
      </c>
      <c r="AG200" s="10"/>
      <c r="AH200" s="10">
        <f>Д402[[#This Row],[Фикс 05.03.25]]+Д402[[#This Row],[повышение 14.03.25 1К-1%]]</f>
        <v>140962.5</v>
      </c>
      <c r="AI200" s="10"/>
      <c r="AJ200" s="10">
        <f>Д402[[#This Row],[Фикс 14.03.25]]+Д402[[#This Row],[повышение 28.03.25 1К-1%]]</f>
        <v>140962.5</v>
      </c>
      <c r="AK200" s="10"/>
      <c r="AL200" s="10">
        <f>Д402[[#This Row],[Фикс 28.03.25]]+Д402[[#This Row],[Повышение 23.07.25
1К 43-46м2 - 2%
2К 55-58 - 2%; 58-64 - 3%
3К 76-79 - 2%
]]</f>
        <v>140962.5</v>
      </c>
      <c r="AM200" s="149">
        <f>ROUND(Д402[[#This Row],[Фикс 23.07.25]],2)</f>
        <v>140962.5</v>
      </c>
      <c r="AN200" s="149">
        <f>ROUNDUP(Д402[[#This Row],[утв цена м2]]*Д402[[#This Row],[Расчетная проектная площадь]],-2)</f>
        <v>4190900</v>
      </c>
      <c r="AO200" s="151"/>
      <c r="AP200" s="152"/>
      <c r="AQ200" s="151">
        <f>Д402[[#This Row],[Стоимость до скидки]]*Д402[[#This Row],[Скидка %]]+Д402[[#This Row],[Скидка фиксированная]]</f>
        <v>0</v>
      </c>
      <c r="AR200" s="3">
        <f>Д402[[#This Row],[Стоимость ОН без отделки со скидкой]]/Д402[[#This Row],[Расчетная проектная площадь]]</f>
        <v>140965.35486041036</v>
      </c>
      <c r="AS200" s="3">
        <f>Д402[[#This Row],[Стоимость до скидки]]-Д402[[#This Row],[Итоговая сумма скидки]]</f>
        <v>4190900</v>
      </c>
      <c r="AT20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0" s="153"/>
      <c r="AV200" s="153"/>
      <c r="AW200" s="3">
        <f>Д402[[#This Row],[Цена м2 без отделки со скидкой]]+Д402[[#This Row],[Стоимость отделки]]</f>
        <v>140965.35486041036</v>
      </c>
      <c r="AX200" s="3">
        <f>Д402[[#This Row],[Стоимость квартиры с отделкой]]-Д402[[#This Row],[Стоимость ОН без отделки со скидкой]]</f>
        <v>0</v>
      </c>
      <c r="AY200" s="3">
        <f>Д402[[#This Row],[Цена м2 с отделкой]]*Д402[[#This Row],[Расчетная проектная площадь]]</f>
        <v>4190900</v>
      </c>
      <c r="AZ200" s="161"/>
      <c r="BA200" s="155" t="s">
        <v>12</v>
      </c>
      <c r="BB200" s="156" t="str" cm="1">
        <f t="array" ref="BB20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0" s="161" t="s">
        <v>738</v>
      </c>
      <c r="BD200" s="161" t="s">
        <v>739</v>
      </c>
      <c r="BE200" s="161" t="s">
        <v>737</v>
      </c>
      <c r="BF200" s="161" t="s">
        <v>743</v>
      </c>
      <c r="BG200" s="161" t="b">
        <f>EXACT(Д402[[#This Row],[Статусы CRM]],Д402[[#This Row],[Статус]])</f>
        <v>1</v>
      </c>
      <c r="BH200" s="3">
        <f>IF(Д402[[#This Row],[ПС]]=0,IF(Д402[[#This Row],[ДС]]=0,Д402[[#This Row],[ТС]],Д402[[#This Row],[ДС]]),Д402[[#This Row],[ПС]])</f>
        <v>4190900</v>
      </c>
      <c r="BI200" s="3">
        <v>4190900</v>
      </c>
      <c r="BJ200" s="3">
        <v>0</v>
      </c>
      <c r="BK200" s="3">
        <v>0</v>
      </c>
      <c r="BL200" s="273">
        <f>Д402[[#This Row],[Стоимость CRM]]-Д402[[#This Row],[Стоимость до скидки]]</f>
        <v>0</v>
      </c>
      <c r="BM200" s="161" t="s">
        <v>9</v>
      </c>
      <c r="BN200" s="161" t="b">
        <f>Д402[[#This Row],[Отделка CRM]]=Д402[[#This Row],[Отделка]]</f>
        <v>1</v>
      </c>
      <c r="BO200" s="275" t="s">
        <v>332</v>
      </c>
      <c r="BP200" s="69"/>
    </row>
    <row r="201" spans="1:68" ht="12" customHeight="1" x14ac:dyDescent="0.25">
      <c r="A201" s="140">
        <v>199</v>
      </c>
      <c r="B201" s="15">
        <v>3</v>
      </c>
      <c r="C201" s="141">
        <f t="shared" si="7"/>
        <v>5</v>
      </c>
      <c r="D201" s="142">
        <v>1</v>
      </c>
      <c r="E201" s="141">
        <v>1</v>
      </c>
      <c r="F201" s="143">
        <v>14.42</v>
      </c>
      <c r="G201" s="143"/>
      <c r="H201" s="143"/>
      <c r="I201" s="144">
        <f>SUM(Д402[[#This Row],[Комната 1]:[Комната 3]])</f>
        <v>14.42</v>
      </c>
      <c r="J201" s="145">
        <v>16.2</v>
      </c>
      <c r="K201" s="145">
        <v>4.09</v>
      </c>
      <c r="L201" s="145"/>
      <c r="M201" s="145">
        <v>8.0299999999999994</v>
      </c>
      <c r="N201" s="145"/>
      <c r="O201" s="145">
        <v>3.01</v>
      </c>
      <c r="P201" s="146"/>
      <c r="Q201" s="146"/>
      <c r="R201" s="146">
        <f>SUM(Д402[[#This Row],[Лоджия 1]:[Лоджия 3]])</f>
        <v>3.01</v>
      </c>
      <c r="S201" s="10">
        <f>ROUND(SUM(Д402[[#This Row],[Площадь по проекту жилая]:[Лоджия 3]]),2)</f>
        <v>45.75</v>
      </c>
      <c r="T201" s="10">
        <f>ROUND(Д402[[#This Row],[Площадь по проекту(общая)]]-Д402[[#This Row],[Летние]],2)</f>
        <v>42.74</v>
      </c>
      <c r="U201" s="10">
        <f>ROUND(Д402[[#This Row],[Площадь по проекту(общая)]]-(SUM(Д402[[#This Row],[Лоджия 1]:[Лоджия 3]])/2),2)</f>
        <v>44.25</v>
      </c>
      <c r="V201" s="10">
        <f>VLOOKUP(Д402[[#This Row],[№]],наценка7[],COLUMN(наценка7[[#This Row],[Цена м2 с учетом всех K]]),0)</f>
        <v>122837.8</v>
      </c>
      <c r="W201" s="159">
        <f>2%*Д402[[#This Row],[м2 после К]]</f>
        <v>2456.7560000000003</v>
      </c>
      <c r="X201" s="10">
        <f>Д402[[#This Row],[м2 после К]]+Д402[[#This Row],[02.12.2024]]</f>
        <v>125294.556</v>
      </c>
      <c r="Y201" s="10">
        <v>1000</v>
      </c>
      <c r="Z201" s="10">
        <f>Д402[[#This Row],[Фикс 20.12.24]]+Д402[[#This Row],[23.12.24 СП +1000]]</f>
        <v>126294.556</v>
      </c>
      <c r="AA201" s="149">
        <v>215</v>
      </c>
      <c r="AB201" s="10">
        <f>Д402[[#This Row],[Фикс 23.12.24]]+Д402[[#This Row],[Повышение 20.02.25]]</f>
        <v>126509.556</v>
      </c>
      <c r="AC201" s="10"/>
      <c r="AD201" s="10">
        <f>Д402[[#This Row],[Фикс 20.02.25]]+Д402[[#This Row],[Повышение 24.02.2025]]</f>
        <v>126509.556</v>
      </c>
      <c r="AE201" s="10"/>
      <c r="AF201" s="10">
        <f>Д402[[#This Row],[Фикс 24.02.25]]+Д402[[#This Row],[Повышение 05.03.2025
1К: до 40м - 1,5%, 40+ 0,5%
2К - 0,5% ]]</f>
        <v>126509.556</v>
      </c>
      <c r="AG201" s="10"/>
      <c r="AH201" s="10">
        <f>Д402[[#This Row],[Фикс 05.03.25]]+Д402[[#This Row],[повышение 14.03.25 1К-1%]]</f>
        <v>126509.556</v>
      </c>
      <c r="AI201" s="10"/>
      <c r="AJ201" s="10">
        <f>Д402[[#This Row],[Фикс 14.03.25]]+Д402[[#This Row],[повышение 28.03.25 1К-1%]]</f>
        <v>126509.556</v>
      </c>
      <c r="AK201" s="10"/>
      <c r="AL201" s="10">
        <f>Д402[[#This Row],[Фикс 28.03.25]]+Д402[[#This Row],[Повышение 23.07.25
1К 43-46м2 - 2%
2К 55-58 - 2%; 58-64 - 3%
3К 76-79 - 2%
]]</f>
        <v>126509.556</v>
      </c>
      <c r="AM201" s="149">
        <f>ROUND(Д402[[#This Row],[Фикс 23.07.25]],2)</f>
        <v>126509.56</v>
      </c>
      <c r="AN201" s="149">
        <f>ROUNDUP(Д402[[#This Row],[утв цена м2]]*Д402[[#This Row],[Расчетная проектная площадь]],-2)</f>
        <v>5598100</v>
      </c>
      <c r="AO201" s="151"/>
      <c r="AP201" s="152">
        <v>0.02</v>
      </c>
      <c r="AQ201" s="151">
        <f>Д402[[#This Row],[Стоимость до скидки]]*Д402[[#This Row],[Скидка %]]+Д402[[#This Row],[Скидка фиксированная]]</f>
        <v>111962</v>
      </c>
      <c r="AR201" s="3">
        <f>Д402[[#This Row],[Стоимость ОН без отделки со скидкой]]/Д402[[#This Row],[Расчетная проектная площадь]]</f>
        <v>123980.51977401129</v>
      </c>
      <c r="AS201" s="3">
        <f>Д402[[#This Row],[Стоимость до скидки]]-Д402[[#This Row],[Итоговая сумма скидки]]</f>
        <v>5486138</v>
      </c>
      <c r="AT20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01" s="153">
        <v>10000</v>
      </c>
      <c r="AV201" s="153"/>
      <c r="AW201" s="3">
        <f>Д402[[#This Row],[Цена м2 без отделки со скидкой]]+Д402[[#This Row],[Стоимость отделки]]</f>
        <v>133980.51977401128</v>
      </c>
      <c r="AX201" s="3">
        <f>Д402[[#This Row],[Стоимость квартиры с отделкой]]-Д402[[#This Row],[Стоимость ОН без отделки со скидкой]]</f>
        <v>442499.99999999907</v>
      </c>
      <c r="AY201" s="3">
        <f>Д402[[#This Row],[Цена м2 с отделкой]]*Д402[[#This Row],[Расчетная проектная площадь]]</f>
        <v>5928637.9999999991</v>
      </c>
      <c r="AZ201" s="161" t="s">
        <v>442</v>
      </c>
      <c r="BA201" s="277" t="s">
        <v>426</v>
      </c>
      <c r="BB201" s="269" t="str" cm="1">
        <f t="array" ref="BB20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01" s="161" t="s">
        <v>741</v>
      </c>
      <c r="BD201" s="161" t="s">
        <v>506</v>
      </c>
      <c r="BE201" s="161" t="s">
        <v>737</v>
      </c>
      <c r="BF201" s="161" t="s">
        <v>745</v>
      </c>
      <c r="BG201" s="161" t="b">
        <f>EXACT(Д402[[#This Row],[Статусы CRM]],Д402[[#This Row],[Статус]])</f>
        <v>1</v>
      </c>
      <c r="BH201" s="3">
        <f>IF(Д402[[#This Row],[ПС]]=0,IF(Д402[[#This Row],[ДС]]=0,Д402[[#This Row],[ТС]],Д402[[#This Row],[ДС]]),Д402[[#This Row],[ПС]])</f>
        <v>5598100</v>
      </c>
      <c r="BI201" s="3" t="s">
        <v>749</v>
      </c>
      <c r="BJ201" s="3">
        <v>5598100</v>
      </c>
      <c r="BK201" s="3">
        <v>5598100</v>
      </c>
      <c r="BL201" s="273">
        <f>Д402[[#This Row],[Стоимость CRM]]-Д402[[#This Row],[Стоимость до скидки]]</f>
        <v>0</v>
      </c>
      <c r="BM201" s="161" t="s">
        <v>718</v>
      </c>
      <c r="BN201" s="161" t="b">
        <f>Д402[[#This Row],[Отделка CRM]]=Д402[[#This Row],[Отделка]]</f>
        <v>1</v>
      </c>
      <c r="BO201" s="275" t="s">
        <v>333</v>
      </c>
      <c r="BP201" s="69"/>
    </row>
    <row r="202" spans="1:68" ht="12" customHeight="1" x14ac:dyDescent="0.25">
      <c r="A202" s="140">
        <v>200</v>
      </c>
      <c r="B202" s="15">
        <v>3</v>
      </c>
      <c r="C202" s="141">
        <f t="shared" si="7"/>
        <v>5</v>
      </c>
      <c r="D202" s="142">
        <v>2</v>
      </c>
      <c r="E202" s="141">
        <v>1</v>
      </c>
      <c r="F202" s="143">
        <v>12.76</v>
      </c>
      <c r="G202" s="143"/>
      <c r="H202" s="143"/>
      <c r="I202" s="144">
        <f>SUM(Д402[[#This Row],[Комната 1]:[Комната 3]])</f>
        <v>12.76</v>
      </c>
      <c r="J202" s="145">
        <v>15.1</v>
      </c>
      <c r="K202" s="145">
        <v>4.22</v>
      </c>
      <c r="L202" s="145"/>
      <c r="M202" s="145">
        <v>3.09</v>
      </c>
      <c r="N202" s="145"/>
      <c r="O202" s="145">
        <v>2.93</v>
      </c>
      <c r="P202" s="146"/>
      <c r="Q202" s="146"/>
      <c r="R202" s="146">
        <f>SUM(Д402[[#This Row],[Лоджия 1]:[Лоджия 3]])</f>
        <v>2.93</v>
      </c>
      <c r="S202" s="10">
        <f>ROUND(SUM(Д402[[#This Row],[Площадь по проекту жилая]:[Лоджия 3]]),2)</f>
        <v>38.1</v>
      </c>
      <c r="T202" s="10">
        <f>ROUND(Д402[[#This Row],[Площадь по проекту(общая)]]-Д402[[#This Row],[Летние]],2)</f>
        <v>35.17</v>
      </c>
      <c r="U202" s="10">
        <f>ROUND(Д402[[#This Row],[Площадь по проекту(общая)]]-(SUM(Д402[[#This Row],[Лоджия 1]:[Лоджия 3]])/2),2)</f>
        <v>36.64</v>
      </c>
      <c r="V202" s="10">
        <f>VLOOKUP(Д402[[#This Row],[№]],наценка7[],COLUMN(наценка7[[#This Row],[Цена м2 с учетом всех K]]),0)</f>
        <v>126415.6</v>
      </c>
      <c r="W202" s="159">
        <f>2%*Д402[[#This Row],[м2 после К]]</f>
        <v>2528.3120000000004</v>
      </c>
      <c r="X202" s="10">
        <f>Д402[[#This Row],[м2 после К]]+Д402[[#This Row],[02.12.2024]]</f>
        <v>128943.91200000001</v>
      </c>
      <c r="Y202" s="149">
        <v>1000</v>
      </c>
      <c r="Z202" s="10">
        <f>Д402[[#This Row],[Фикс 20.12.24]]+Д402[[#This Row],[23.12.24 СП +1000]]</f>
        <v>129943.91200000001</v>
      </c>
      <c r="AA202" s="149">
        <v>215</v>
      </c>
      <c r="AB202" s="10">
        <f>Д402[[#This Row],[Фикс 23.12.24]]+Д402[[#This Row],[Повышение 20.02.25]]</f>
        <v>130158.91200000001</v>
      </c>
      <c r="AC202" s="149">
        <v>17.5</v>
      </c>
      <c r="AD202" s="10">
        <f>Д402[[#This Row],[Фикс 20.02.25]]+Д402[[#This Row],[Повышение 24.02.2025]]</f>
        <v>130176.41200000001</v>
      </c>
      <c r="AE202" s="149">
        <f>Д402[[#This Row],[Фикс 24.02.25]]*1.5%</f>
        <v>1952.6461800000002</v>
      </c>
      <c r="AF202" s="10">
        <f>Д402[[#This Row],[Фикс 24.02.25]]+Д402[[#This Row],[Повышение 05.03.2025
1К: до 40м - 1,5%, 40+ 0,5%
2К - 0,5% ]]</f>
        <v>132129.05818000002</v>
      </c>
      <c r="AG202" s="149">
        <f>Д402[[#This Row],[Фикс 05.03.25]]*1%</f>
        <v>1321.2905818000002</v>
      </c>
      <c r="AH202" s="10">
        <f>Д402[[#This Row],[Фикс 05.03.25]]+Д402[[#This Row],[повышение 14.03.25 1К-1%]]</f>
        <v>133450.34876180004</v>
      </c>
      <c r="AI202" s="149">
        <f>Д402[[#This Row],[Фикс 14.03.25]]*1%</f>
        <v>1334.5034876180005</v>
      </c>
      <c r="AJ202" s="10">
        <f>Д402[[#This Row],[Фикс 14.03.25]]+Д402[[#This Row],[повышение 28.03.25 1К-1%]]</f>
        <v>134784.85224941804</v>
      </c>
      <c r="AK202" s="10"/>
      <c r="AL202" s="10">
        <f>Д402[[#This Row],[Фикс 28.03.25]]+Д402[[#This Row],[Повышение 23.07.25
1К 43-46м2 - 2%
2К 55-58 - 2%; 58-64 - 3%
3К 76-79 - 2%
]]</f>
        <v>134784.85224941804</v>
      </c>
      <c r="AM202" s="149">
        <f>ROUND(Д402[[#This Row],[Фикс 23.07.25]],2)</f>
        <v>134784.85</v>
      </c>
      <c r="AN202" s="149">
        <f>ROUNDUP(Д402[[#This Row],[утв цена м2]]*Д402[[#This Row],[Расчетная проектная площадь]],-2)</f>
        <v>4938600</v>
      </c>
      <c r="AO202" s="151"/>
      <c r="AP202" s="152"/>
      <c r="AQ202" s="151">
        <f>Д402[[#This Row],[Стоимость до скидки]]*Д402[[#This Row],[Скидка %]]+Д402[[#This Row],[Скидка фиксированная]]</f>
        <v>0</v>
      </c>
      <c r="AR202" s="3">
        <f>Д402[[#This Row],[Стоимость ОН без отделки со скидкой]]/Д402[[#This Row],[Расчетная проектная площадь]]</f>
        <v>134787.11790393014</v>
      </c>
      <c r="AS202" s="3">
        <f>Д402[[#This Row],[Стоимость до скидки]]-Д402[[#This Row],[Итоговая сумма скидки]]</f>
        <v>4938600</v>
      </c>
      <c r="AT20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2" s="153"/>
      <c r="AV202" s="153"/>
      <c r="AW202" s="3">
        <f>Д402[[#This Row],[Цена м2 без отделки со скидкой]]+Д402[[#This Row],[Стоимость отделки]]</f>
        <v>134787.11790393014</v>
      </c>
      <c r="AX202" s="3">
        <f>Д402[[#This Row],[Стоимость квартиры с отделкой]]-Д402[[#This Row],[Стоимость ОН без отделки со скидкой]]</f>
        <v>0</v>
      </c>
      <c r="AY202" s="3">
        <f>Д402[[#This Row],[Цена м2 с отделкой]]*Д402[[#This Row],[Расчетная проектная площадь]]</f>
        <v>4938600</v>
      </c>
      <c r="AZ202" s="161"/>
      <c r="BA202" s="269" t="s">
        <v>12</v>
      </c>
      <c r="BB202" s="269" t="str" cm="1">
        <f t="array" ref="BB20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2" s="161" t="s">
        <v>738</v>
      </c>
      <c r="BD202" s="161" t="s">
        <v>739</v>
      </c>
      <c r="BE202" s="161" t="s">
        <v>737</v>
      </c>
      <c r="BF202" s="161" t="s">
        <v>745</v>
      </c>
      <c r="BG202" s="161" t="b">
        <f>EXACT(Д402[[#This Row],[Статусы CRM]],Д402[[#This Row],[Статус]])</f>
        <v>1</v>
      </c>
      <c r="BH202" s="3">
        <f>IF(Д402[[#This Row],[ПС]]=0,IF(Д402[[#This Row],[ДС]]=0,Д402[[#This Row],[ТС]],Д402[[#This Row],[ДС]]),Д402[[#This Row],[ПС]])</f>
        <v>4938600</v>
      </c>
      <c r="BI202" s="3">
        <v>4938600</v>
      </c>
      <c r="BJ202" s="3">
        <v>0</v>
      </c>
      <c r="BK202" s="3">
        <v>0</v>
      </c>
      <c r="BL202" s="273">
        <f>Д402[[#This Row],[Стоимость CRM]]-Д402[[#This Row],[Стоимость до скидки]]</f>
        <v>0</v>
      </c>
      <c r="BM202" s="161" t="s">
        <v>9</v>
      </c>
      <c r="BN202" s="161" t="b">
        <f>Д402[[#This Row],[Отделка CRM]]=Д402[[#This Row],[Отделка]]</f>
        <v>1</v>
      </c>
      <c r="BO202" s="275" t="s">
        <v>334</v>
      </c>
      <c r="BP202" s="69"/>
    </row>
    <row r="203" spans="1:68" ht="12" customHeight="1" x14ac:dyDescent="0.25">
      <c r="A203" s="140">
        <v>201</v>
      </c>
      <c r="B203" s="15">
        <v>3</v>
      </c>
      <c r="C203" s="141">
        <f t="shared" si="7"/>
        <v>5</v>
      </c>
      <c r="D203" s="142">
        <v>3</v>
      </c>
      <c r="E203" s="141">
        <v>2</v>
      </c>
      <c r="F203" s="143">
        <v>15.36</v>
      </c>
      <c r="G203" s="143">
        <v>11.95</v>
      </c>
      <c r="H203" s="143"/>
      <c r="I203" s="144">
        <f>SUM(Д402[[#This Row],[Комната 1]:[Комната 3]])</f>
        <v>27.31</v>
      </c>
      <c r="J203" s="145">
        <v>14.7</v>
      </c>
      <c r="K203" s="145">
        <v>4.21</v>
      </c>
      <c r="L203" s="145"/>
      <c r="M203" s="145">
        <v>6.6</v>
      </c>
      <c r="N203" s="145"/>
      <c r="O203" s="145">
        <v>3.23</v>
      </c>
      <c r="P203" s="146"/>
      <c r="Q203" s="146"/>
      <c r="R203" s="146">
        <f>SUM(Д402[[#This Row],[Лоджия 1]:[Лоджия 3]])</f>
        <v>3.23</v>
      </c>
      <c r="S203" s="10">
        <f>ROUND(SUM(Д402[[#This Row],[Площадь по проекту жилая]:[Лоджия 3]]),2)</f>
        <v>56.05</v>
      </c>
      <c r="T203" s="10">
        <f>ROUND(Д402[[#This Row],[Площадь по проекту(общая)]]-Д402[[#This Row],[Летние]],2)</f>
        <v>52.82</v>
      </c>
      <c r="U203" s="10">
        <f>ROUND(Д402[[#This Row],[Площадь по проекту(общая)]]-(SUM(Д402[[#This Row],[Лоджия 1]:[Лоджия 3]])/2),2)</f>
        <v>54.44</v>
      </c>
      <c r="V203" s="10">
        <f>VLOOKUP(Д402[[#This Row],[№]],наценка7[],COLUMN(наценка7[[#This Row],[Цена м2 с учетом всех K]]),0)</f>
        <v>119811.8</v>
      </c>
      <c r="W203" s="162">
        <f>0.021*Д402[[#This Row],[м2 после К]]</f>
        <v>2516.0478000000003</v>
      </c>
      <c r="X203" s="10">
        <f>Д402[[#This Row],[м2 после К]]+Д402[[#This Row],[02.12.2024]]</f>
        <v>122327.8478</v>
      </c>
      <c r="Y203" s="149">
        <v>1000</v>
      </c>
      <c r="Z203" s="10">
        <f>Д402[[#This Row],[Фикс 20.12.24]]+Д402[[#This Row],[23.12.24 СП +1000]]</f>
        <v>123327.8478</v>
      </c>
      <c r="AA203" s="149">
        <v>215</v>
      </c>
      <c r="AB203" s="10">
        <f>Д402[[#This Row],[Фикс 23.12.24]]+Д402[[#This Row],[Повышение 20.02.25]]</f>
        <v>123542.8478</v>
      </c>
      <c r="AC203" s="149">
        <v>17.5</v>
      </c>
      <c r="AD203" s="10">
        <f>Д402[[#This Row],[Фикс 20.02.25]]+Д402[[#This Row],[Повышение 24.02.2025]]</f>
        <v>123560.3478</v>
      </c>
      <c r="AE203" s="149">
        <f>Д402[[#This Row],[Фикс 24.02.25]]*0.5%</f>
        <v>617.801739</v>
      </c>
      <c r="AF203" s="10">
        <f>Д402[[#This Row],[Фикс 24.02.25]]+Д402[[#This Row],[Повышение 05.03.2025
1К: до 40м - 1,5%, 40+ 0,5%
2К - 0,5% ]]</f>
        <v>124178.14953900001</v>
      </c>
      <c r="AG203" s="10"/>
      <c r="AH203" s="10">
        <f>Д402[[#This Row],[Фикс 05.03.25]]+Д402[[#This Row],[повышение 14.03.25 1К-1%]]</f>
        <v>124178.14953900001</v>
      </c>
      <c r="AI203" s="10"/>
      <c r="AJ203" s="10">
        <f>Д402[[#This Row],[Фикс 14.03.25]]+Д402[[#This Row],[повышение 28.03.25 1К-1%]]</f>
        <v>124178.14953900001</v>
      </c>
      <c r="AK203" s="10"/>
      <c r="AL203" s="10">
        <f>Д402[[#This Row],[Фикс 28.03.25]]+Д402[[#This Row],[Повышение 23.07.25
1К 43-46м2 - 2%
2К 55-58 - 2%; 58-64 - 3%
3К 76-79 - 2%
]]</f>
        <v>124178.14953900001</v>
      </c>
      <c r="AM203" s="149">
        <f>ROUND(Д402[[#This Row],[Фикс 23.07.25]],2)</f>
        <v>124178.15</v>
      </c>
      <c r="AN203" s="149">
        <f>ROUNDUP(Д402[[#This Row],[утв цена м2]]*Д402[[#This Row],[Расчетная проектная площадь]],-2)</f>
        <v>6760300</v>
      </c>
      <c r="AO203" s="151"/>
      <c r="AP203" s="152"/>
      <c r="AQ203" s="151">
        <f>Д402[[#This Row],[Стоимость до скидки]]*Д402[[#This Row],[Скидка %]]+Д402[[#This Row],[Скидка фиксированная]]</f>
        <v>0</v>
      </c>
      <c r="AR203" s="3">
        <f>Д402[[#This Row],[Стоимость ОН без отделки со скидкой]]/Д402[[#This Row],[Расчетная проектная площадь]]</f>
        <v>124178.91256429096</v>
      </c>
      <c r="AS203" s="3">
        <f>Д402[[#This Row],[Стоимость до скидки]]-Д402[[#This Row],[Итоговая сумма скидки]]</f>
        <v>6760300</v>
      </c>
      <c r="AT20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3" s="153"/>
      <c r="AV203" s="153"/>
      <c r="AW203" s="3">
        <f>Д402[[#This Row],[Цена м2 без отделки со скидкой]]+Д402[[#This Row],[Стоимость отделки]]</f>
        <v>124178.91256429096</v>
      </c>
      <c r="AX203" s="3">
        <f>Д402[[#This Row],[Стоимость квартиры с отделкой]]-Д402[[#This Row],[Стоимость ОН без отделки со скидкой]]</f>
        <v>0</v>
      </c>
      <c r="AY203" s="3">
        <f>Д402[[#This Row],[Цена м2 с отделкой]]*Д402[[#This Row],[Расчетная проектная площадь]]</f>
        <v>6760300</v>
      </c>
      <c r="AZ203" s="161"/>
      <c r="BA203" s="269" t="s">
        <v>12</v>
      </c>
      <c r="BB203" s="269" t="str" cm="1">
        <f t="array" ref="BB20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3" s="161" t="s">
        <v>738</v>
      </c>
      <c r="BD203" s="161" t="s">
        <v>739</v>
      </c>
      <c r="BE203" s="161" t="s">
        <v>737</v>
      </c>
      <c r="BF203" s="161" t="s">
        <v>744</v>
      </c>
      <c r="BG203" s="161" t="b">
        <f>EXACT(Д402[[#This Row],[Статусы CRM]],Д402[[#This Row],[Статус]])</f>
        <v>1</v>
      </c>
      <c r="BH203" s="3">
        <f>IF(Д402[[#This Row],[ПС]]=0,IF(Д402[[#This Row],[ДС]]=0,Д402[[#This Row],[ТС]],Д402[[#This Row],[ДС]]),Д402[[#This Row],[ПС]])</f>
        <v>6760300</v>
      </c>
      <c r="BI203" s="3">
        <v>6760300</v>
      </c>
      <c r="BJ203" s="3">
        <v>0</v>
      </c>
      <c r="BK203" s="3">
        <v>0</v>
      </c>
      <c r="BL203" s="273">
        <f>Д402[[#This Row],[Стоимость CRM]]-Д402[[#This Row],[Стоимость до скидки]]</f>
        <v>0</v>
      </c>
      <c r="BM203" s="161" t="s">
        <v>9</v>
      </c>
      <c r="BN203" s="161" t="b">
        <f>Д402[[#This Row],[Отделка CRM]]=Д402[[#This Row],[Отделка]]</f>
        <v>1</v>
      </c>
      <c r="BO203" s="275" t="s">
        <v>335</v>
      </c>
      <c r="BP203" s="69"/>
    </row>
    <row r="204" spans="1:68" ht="12" customHeight="1" x14ac:dyDescent="0.25">
      <c r="A204" s="140">
        <v>202</v>
      </c>
      <c r="B204" s="15">
        <v>3</v>
      </c>
      <c r="C204" s="141">
        <f t="shared" si="7"/>
        <v>5</v>
      </c>
      <c r="D204" s="142">
        <v>4</v>
      </c>
      <c r="E204" s="141">
        <v>1</v>
      </c>
      <c r="F204" s="143">
        <v>14.28</v>
      </c>
      <c r="G204" s="143"/>
      <c r="H204" s="143"/>
      <c r="I204" s="144">
        <f>SUM(Д402[[#This Row],[Комната 1]:[Комната 3]])</f>
        <v>14.28</v>
      </c>
      <c r="J204" s="145">
        <v>13.99</v>
      </c>
      <c r="K204" s="145">
        <v>3.9</v>
      </c>
      <c r="L204" s="145"/>
      <c r="M204" s="145">
        <v>2.6</v>
      </c>
      <c r="N204" s="145"/>
      <c r="O204" s="145">
        <v>3.23</v>
      </c>
      <c r="P204" s="146"/>
      <c r="Q204" s="146"/>
      <c r="R204" s="146">
        <f>SUM(Д402[[#This Row],[Лоджия 1]:[Лоджия 3]])</f>
        <v>3.23</v>
      </c>
      <c r="S204" s="10">
        <f>ROUND(SUM(Д402[[#This Row],[Площадь по проекту жилая]:[Лоджия 3]]),2)</f>
        <v>38</v>
      </c>
      <c r="T204" s="10">
        <f>ROUND(Д402[[#This Row],[Площадь по проекту(общая)]]-Д402[[#This Row],[Летние]],2)</f>
        <v>34.770000000000003</v>
      </c>
      <c r="U204" s="10">
        <f>ROUND(Д402[[#This Row],[Площадь по проекту(общая)]]-(SUM(Д402[[#This Row],[Лоджия 1]:[Лоджия 3]])/2),2)</f>
        <v>36.39</v>
      </c>
      <c r="V204" s="10">
        <f>VLOOKUP(Д402[[#This Row],[№]],наценка7[],COLUMN(наценка7[[#This Row],[Цена м2 с учетом всех K]]),0)</f>
        <v>125223</v>
      </c>
      <c r="W204" s="162"/>
      <c r="X204" s="10">
        <f>Д402[[#This Row],[м2 после К]]+Д402[[#This Row],[02.12.2024]]</f>
        <v>125223</v>
      </c>
      <c r="Y204" s="149">
        <v>1000</v>
      </c>
      <c r="Z204" s="10">
        <f>Д402[[#This Row],[Фикс 20.12.24]]+Д402[[#This Row],[23.12.24 СП +1000]]</f>
        <v>126223</v>
      </c>
      <c r="AA204" s="149">
        <v>215</v>
      </c>
      <c r="AB204" s="10">
        <f>Д402[[#This Row],[Фикс 23.12.24]]+Д402[[#This Row],[Повышение 20.02.25]]</f>
        <v>126438</v>
      </c>
      <c r="AC204" s="149">
        <v>17.5</v>
      </c>
      <c r="AD204" s="10">
        <f>Д402[[#This Row],[Фикс 20.02.25]]+Д402[[#This Row],[Повышение 24.02.2025]]</f>
        <v>126455.5</v>
      </c>
      <c r="AE204" s="149">
        <f>Д402[[#This Row],[Фикс 24.02.25]]*1.5%</f>
        <v>1896.8325</v>
      </c>
      <c r="AF204" s="10">
        <f>Д402[[#This Row],[Фикс 24.02.25]]+Д402[[#This Row],[Повышение 05.03.2025
1К: до 40м - 1,5%, 40+ 0,5%
2К - 0,5% ]]</f>
        <v>128352.3325</v>
      </c>
      <c r="AG204" s="149">
        <f>Д402[[#This Row],[Фикс 05.03.25]]*1%</f>
        <v>1283.5233250000001</v>
      </c>
      <c r="AH204" s="10">
        <f>Д402[[#This Row],[Фикс 05.03.25]]+Д402[[#This Row],[повышение 14.03.25 1К-1%]]</f>
        <v>129635.85582500001</v>
      </c>
      <c r="AI204" s="149">
        <f>Д402[[#This Row],[Фикс 14.03.25]]*1%</f>
        <v>1296.35855825</v>
      </c>
      <c r="AJ204" s="10">
        <f>Д402[[#This Row],[Фикс 14.03.25]]+Д402[[#This Row],[повышение 28.03.25 1К-1%]]</f>
        <v>130932.21438325</v>
      </c>
      <c r="AK204" s="10"/>
      <c r="AL204" s="10">
        <f>Д402[[#This Row],[Фикс 28.03.25]]+Д402[[#This Row],[Повышение 23.07.25
1К 43-46м2 - 2%
2К 55-58 - 2%; 58-64 - 3%
3К 76-79 - 2%
]]</f>
        <v>130932.21438325</v>
      </c>
      <c r="AM204" s="149">
        <f>ROUND(Д402[[#This Row],[Фикс 23.07.25]],2)</f>
        <v>130932.21</v>
      </c>
      <c r="AN204" s="149">
        <f>ROUNDUP(Д402[[#This Row],[утв цена м2]]*Д402[[#This Row],[Расчетная проектная площадь]],-2)</f>
        <v>4764700</v>
      </c>
      <c r="AO204" s="151"/>
      <c r="AP204" s="152"/>
      <c r="AQ204" s="151">
        <f>Д402[[#This Row],[Стоимость до скидки]]*Д402[[#This Row],[Скидка %]]+Д402[[#This Row],[Скидка фиксированная]]</f>
        <v>0</v>
      </c>
      <c r="AR204" s="3">
        <f>Д402[[#This Row],[Стоимость ОН без отделки со скидкой]]/Д402[[#This Row],[Расчетная проектная площадь]]</f>
        <v>130934.32261610332</v>
      </c>
      <c r="AS204" s="3">
        <f>Д402[[#This Row],[Стоимость до скидки]]-Д402[[#This Row],[Итоговая сумма скидки]]</f>
        <v>4764700</v>
      </c>
      <c r="AT20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4" s="153"/>
      <c r="AV204" s="153"/>
      <c r="AW204" s="3">
        <f>Д402[[#This Row],[Цена м2 без отделки со скидкой]]+Д402[[#This Row],[Стоимость отделки]]</f>
        <v>130934.32261610332</v>
      </c>
      <c r="AX204" s="3">
        <f>Д402[[#This Row],[Стоимость квартиры с отделкой]]-Д402[[#This Row],[Стоимость ОН без отделки со скидкой]]</f>
        <v>0</v>
      </c>
      <c r="AY204" s="3">
        <f>Д402[[#This Row],[Цена м2 с отделкой]]*Д402[[#This Row],[Расчетная проектная площадь]]</f>
        <v>4764700</v>
      </c>
      <c r="AZ204" s="161"/>
      <c r="BA204" s="155" t="s">
        <v>12</v>
      </c>
      <c r="BB204" s="156" t="str" cm="1">
        <f t="array" ref="BB20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4" s="161" t="s">
        <v>738</v>
      </c>
      <c r="BD204" s="161" t="s">
        <v>739</v>
      </c>
      <c r="BE204" s="161" t="s">
        <v>737</v>
      </c>
      <c r="BF204" s="161" t="s">
        <v>746</v>
      </c>
      <c r="BG204" s="161" t="b">
        <f>EXACT(Д402[[#This Row],[Статусы CRM]],Д402[[#This Row],[Статус]])</f>
        <v>1</v>
      </c>
      <c r="BH204" s="3">
        <f>IF(Д402[[#This Row],[ПС]]=0,IF(Д402[[#This Row],[ДС]]=0,Д402[[#This Row],[ТС]],Д402[[#This Row],[ДС]]),Д402[[#This Row],[ПС]])</f>
        <v>4764700</v>
      </c>
      <c r="BI204" s="3">
        <v>4764700</v>
      </c>
      <c r="BJ204" s="3">
        <v>0</v>
      </c>
      <c r="BK204" s="3">
        <v>0</v>
      </c>
      <c r="BL204" s="273">
        <f>Д402[[#This Row],[Стоимость CRM]]-Д402[[#This Row],[Стоимость до скидки]]</f>
        <v>0</v>
      </c>
      <c r="BM204" s="161" t="s">
        <v>9</v>
      </c>
      <c r="BN204" s="161" t="b">
        <f>Д402[[#This Row],[Отделка CRM]]=Д402[[#This Row],[Отделка]]</f>
        <v>1</v>
      </c>
      <c r="BO204" s="275" t="s">
        <v>336</v>
      </c>
      <c r="BP204" s="69"/>
    </row>
    <row r="205" spans="1:68" ht="12" customHeight="1" x14ac:dyDescent="0.25">
      <c r="A205" s="140">
        <v>203</v>
      </c>
      <c r="B205" s="15">
        <v>3</v>
      </c>
      <c r="C205" s="141">
        <f t="shared" si="7"/>
        <v>5</v>
      </c>
      <c r="D205" s="142">
        <v>5</v>
      </c>
      <c r="E205" s="141">
        <v>3</v>
      </c>
      <c r="F205" s="143">
        <v>18.350000000000001</v>
      </c>
      <c r="G205" s="143">
        <v>15.96</v>
      </c>
      <c r="H205" s="143">
        <v>11.55</v>
      </c>
      <c r="I205" s="144">
        <f>SUM(Д402[[#This Row],[Комната 1]:[Комната 3]])</f>
        <v>45.86</v>
      </c>
      <c r="J205" s="145">
        <v>11.42</v>
      </c>
      <c r="K205" s="145">
        <v>3.9</v>
      </c>
      <c r="L205" s="145">
        <v>4.37</v>
      </c>
      <c r="M205" s="145">
        <v>11.06</v>
      </c>
      <c r="N205" s="145"/>
      <c r="O205" s="145">
        <v>3.1</v>
      </c>
      <c r="P205" s="146"/>
      <c r="Q205" s="146"/>
      <c r="R205" s="146">
        <f>SUM(Д402[[#This Row],[Лоджия 1]:[Лоджия 3]])</f>
        <v>3.1</v>
      </c>
      <c r="S205" s="10">
        <f>ROUND(SUM(Д402[[#This Row],[Площадь по проекту жилая]:[Лоджия 3]]),2)</f>
        <v>79.709999999999994</v>
      </c>
      <c r="T205" s="10">
        <f>ROUND(Д402[[#This Row],[Площадь по проекту(общая)]]-Д402[[#This Row],[Летние]],2)</f>
        <v>76.61</v>
      </c>
      <c r="U205" s="10">
        <f>ROUND(Д402[[#This Row],[Площадь по проекту(общая)]]-(SUM(Д402[[#This Row],[Лоджия 1]:[Лоджия 3]])/2),2)</f>
        <v>78.16</v>
      </c>
      <c r="V205" s="10">
        <f>VLOOKUP(Д402[[#This Row],[№]],наценка7[],COLUMN(наценка7[[#This Row],[Цена м2 с учетом всех K]]),0)</f>
        <v>108402</v>
      </c>
      <c r="W205" s="162"/>
      <c r="X205" s="10">
        <f>Д402[[#This Row],[м2 после К]]+Д402[[#This Row],[02.12.2024]]</f>
        <v>108402</v>
      </c>
      <c r="Y205" s="149">
        <v>1000</v>
      </c>
      <c r="Z205" s="10">
        <f>Д402[[#This Row],[Фикс 20.12.24]]+Д402[[#This Row],[23.12.24 СП +1000]]</f>
        <v>109402</v>
      </c>
      <c r="AA205" s="149">
        <v>215</v>
      </c>
      <c r="AB205" s="10">
        <f>Д402[[#This Row],[Фикс 23.12.24]]+Д402[[#This Row],[Повышение 20.02.25]]</f>
        <v>109617</v>
      </c>
      <c r="AC205" s="149">
        <v>17.5</v>
      </c>
      <c r="AD205" s="10">
        <f>Д402[[#This Row],[Фикс 20.02.25]]+Д402[[#This Row],[Повышение 24.02.2025]]</f>
        <v>109634.5</v>
      </c>
      <c r="AE205" s="10"/>
      <c r="AF205" s="10">
        <f>Д402[[#This Row],[Фикс 24.02.25]]+Д402[[#This Row],[Повышение 05.03.2025
1К: до 40м - 1,5%, 40+ 0,5%
2К - 0,5% ]]</f>
        <v>109634.5</v>
      </c>
      <c r="AG205" s="10"/>
      <c r="AH205" s="10">
        <f>Д402[[#This Row],[Фикс 05.03.25]]+Д402[[#This Row],[повышение 14.03.25 1К-1%]]</f>
        <v>109634.5</v>
      </c>
      <c r="AI205" s="10"/>
      <c r="AJ205" s="10">
        <f>Д402[[#This Row],[Фикс 14.03.25]]+Д402[[#This Row],[повышение 28.03.25 1К-1%]]</f>
        <v>109634.5</v>
      </c>
      <c r="AK205" s="10">
        <f>Д402[[#This Row],[Фикс 28.03.25]]*2%</f>
        <v>2192.69</v>
      </c>
      <c r="AL205" s="10">
        <f>Д402[[#This Row],[Фикс 28.03.25]]+Д402[[#This Row],[Повышение 23.07.25
1К 43-46м2 - 2%
2К 55-58 - 2%; 58-64 - 3%
3К 76-79 - 2%
]]</f>
        <v>111827.19</v>
      </c>
      <c r="AM205" s="149">
        <f>ROUND(Д402[[#This Row],[Фикс 23.07.25]],2)</f>
        <v>111827.19</v>
      </c>
      <c r="AN205" s="149">
        <f>ROUNDUP(Д402[[#This Row],[утв цена м2]]*Д402[[#This Row],[Расчетная проектная площадь]],-2)</f>
        <v>8740500</v>
      </c>
      <c r="AO205" s="151"/>
      <c r="AP205" s="152"/>
      <c r="AQ205" s="151">
        <f>Д402[[#This Row],[Стоимость до скидки]]*Д402[[#This Row],[Скидка %]]+Д402[[#This Row],[Скидка фиксированная]]</f>
        <v>0</v>
      </c>
      <c r="AR205" s="3">
        <f>Д402[[#This Row],[Стоимость ОН без отделки со скидкой]]/Д402[[#This Row],[Расчетная проектная площадь]]</f>
        <v>111828.30092118731</v>
      </c>
      <c r="AS205" s="3">
        <f>Д402[[#This Row],[Стоимость до скидки]]-Д402[[#This Row],[Итоговая сумма скидки]]</f>
        <v>8740500</v>
      </c>
      <c r="AT20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5" s="153"/>
      <c r="AV205" s="153"/>
      <c r="AW205" s="3">
        <f>Д402[[#This Row],[Цена м2 без отделки со скидкой]]+Д402[[#This Row],[Стоимость отделки]]</f>
        <v>111828.30092118731</v>
      </c>
      <c r="AX205" s="3">
        <f>Д402[[#This Row],[Стоимость квартиры с отделкой]]-Д402[[#This Row],[Стоимость ОН без отделки со скидкой]]</f>
        <v>0</v>
      </c>
      <c r="AY205" s="3">
        <f>Д402[[#This Row],[Цена м2 с отделкой]]*Д402[[#This Row],[Расчетная проектная площадь]]</f>
        <v>8740500</v>
      </c>
      <c r="AZ205" s="161"/>
      <c r="BA205" s="155" t="s">
        <v>12</v>
      </c>
      <c r="BB205" s="156" t="str" cm="1">
        <f t="array" ref="BB20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5" s="161" t="s">
        <v>738</v>
      </c>
      <c r="BD205" s="161" t="s">
        <v>739</v>
      </c>
      <c r="BE205" s="161" t="s">
        <v>737</v>
      </c>
      <c r="BF205" s="161" t="s">
        <v>748</v>
      </c>
      <c r="BG205" s="161" t="b">
        <f>EXACT(Д402[[#This Row],[Статусы CRM]],Д402[[#This Row],[Статус]])</f>
        <v>1</v>
      </c>
      <c r="BH205" s="3">
        <f>IF(Д402[[#This Row],[ПС]]=0,IF(Д402[[#This Row],[ДС]]=0,Д402[[#This Row],[ТС]],Д402[[#This Row],[ДС]]),Д402[[#This Row],[ПС]])</f>
        <v>8740500</v>
      </c>
      <c r="BI205" s="3">
        <v>8740500</v>
      </c>
      <c r="BJ205" s="3">
        <v>0</v>
      </c>
      <c r="BK205" s="3">
        <v>0</v>
      </c>
      <c r="BL205" s="273">
        <f>Д402[[#This Row],[Стоимость CRM]]-Д402[[#This Row],[Стоимость до скидки]]</f>
        <v>0</v>
      </c>
      <c r="BM205" s="161" t="s">
        <v>9</v>
      </c>
      <c r="BN205" s="161" t="b">
        <f>Д402[[#This Row],[Отделка CRM]]=Д402[[#This Row],[Отделка]]</f>
        <v>1</v>
      </c>
      <c r="BO205" s="275" t="s">
        <v>337</v>
      </c>
      <c r="BP205" s="69"/>
    </row>
    <row r="206" spans="1:68" ht="12" customHeight="1" x14ac:dyDescent="0.25">
      <c r="A206" s="140">
        <v>204</v>
      </c>
      <c r="B206" s="15">
        <v>3</v>
      </c>
      <c r="C206" s="141">
        <f t="shared" si="7"/>
        <v>5</v>
      </c>
      <c r="D206" s="142">
        <v>6</v>
      </c>
      <c r="E206" s="141">
        <v>0</v>
      </c>
      <c r="F206" s="143">
        <v>16.25</v>
      </c>
      <c r="G206" s="143"/>
      <c r="H206" s="143"/>
      <c r="I206" s="144">
        <f>SUM(Д402[[#This Row],[Комната 1]:[Комната 3]])</f>
        <v>16.25</v>
      </c>
      <c r="J206" s="145">
        <v>5</v>
      </c>
      <c r="K206" s="145">
        <v>4.2699999999999996</v>
      </c>
      <c r="L206" s="145"/>
      <c r="M206" s="145">
        <v>4.21</v>
      </c>
      <c r="N206" s="145"/>
      <c r="O206" s="145"/>
      <c r="P206" s="146"/>
      <c r="Q206" s="146"/>
      <c r="R206" s="146">
        <f>SUM(Д402[[#This Row],[Лоджия 1]:[Лоджия 3]])</f>
        <v>0</v>
      </c>
      <c r="S206" s="10">
        <f>ROUND(SUM(Д402[[#This Row],[Площадь по проекту жилая]:[Лоджия 3]]),2)</f>
        <v>29.73</v>
      </c>
      <c r="T206" s="10">
        <f>ROUND(Д402[[#This Row],[Площадь по проекту(общая)]]-Д402[[#This Row],[Летние]],2)</f>
        <v>29.73</v>
      </c>
      <c r="U206" s="10">
        <f>ROUND(Д402[[#This Row],[Площадь по проекту(общая)]]-(SUM(Д402[[#This Row],[Лоджия 1]:[Лоджия 3]])/2),2)</f>
        <v>29.73</v>
      </c>
      <c r="V206" s="10">
        <f>VLOOKUP(Д402[[#This Row],[№]],наценка7[],COLUMN(наценка7[[#This Row],[Цена м2 с учетом всех K]]),0)</f>
        <v>138332.70000000001</v>
      </c>
      <c r="W206" s="162"/>
      <c r="X206" s="10">
        <f>Д402[[#This Row],[м2 после К]]+Д402[[#This Row],[02.12.2024]]</f>
        <v>138332.70000000001</v>
      </c>
      <c r="Y206" s="149">
        <v>1000</v>
      </c>
      <c r="Z206" s="10">
        <f>Д402[[#This Row],[Фикс 20.12.24]]+Д402[[#This Row],[23.12.24 СП +1000]]</f>
        <v>139332.70000000001</v>
      </c>
      <c r="AA206" s="149">
        <v>215</v>
      </c>
      <c r="AB206" s="10">
        <f>Д402[[#This Row],[Фикс 23.12.24]]+Д402[[#This Row],[Повышение 20.02.25]]</f>
        <v>139547.70000000001</v>
      </c>
      <c r="AC206" s="149">
        <v>17.5</v>
      </c>
      <c r="AD206" s="10">
        <f>Д402[[#This Row],[Фикс 20.02.25]]+Д402[[#This Row],[Повышение 24.02.2025]]</f>
        <v>139565.20000000001</v>
      </c>
      <c r="AE206" s="10"/>
      <c r="AF206" s="10">
        <f>Д402[[#This Row],[Фикс 24.02.25]]+Д402[[#This Row],[Повышение 05.03.2025
1К: до 40м - 1,5%, 40+ 0,5%
2К - 0,5% ]]</f>
        <v>139565.20000000001</v>
      </c>
      <c r="AG206" s="10"/>
      <c r="AH206" s="10">
        <f>Д402[[#This Row],[Фикс 05.03.25]]+Д402[[#This Row],[повышение 14.03.25 1К-1%]]</f>
        <v>139565.20000000001</v>
      </c>
      <c r="AI206" s="10"/>
      <c r="AJ206" s="10">
        <f>Д402[[#This Row],[Фикс 14.03.25]]+Д402[[#This Row],[повышение 28.03.25 1К-1%]]</f>
        <v>139565.20000000001</v>
      </c>
      <c r="AK206" s="10"/>
      <c r="AL206" s="10">
        <f>Д402[[#This Row],[Фикс 28.03.25]]+Д402[[#This Row],[Повышение 23.07.25
1К 43-46м2 - 2%
2К 55-58 - 2%; 58-64 - 3%
3К 76-79 - 2%
]]</f>
        <v>139565.20000000001</v>
      </c>
      <c r="AM206" s="149">
        <f>ROUND(Д402[[#This Row],[Фикс 23.07.25]],2)</f>
        <v>139565.20000000001</v>
      </c>
      <c r="AN206" s="149">
        <f>ROUNDUP(Д402[[#This Row],[утв цена м2]]*Д402[[#This Row],[Расчетная проектная площадь]],-2)</f>
        <v>4149300</v>
      </c>
      <c r="AO206" s="151"/>
      <c r="AP206" s="152"/>
      <c r="AQ206" s="151">
        <f>Д402[[#This Row],[Стоимость до скидки]]*Д402[[#This Row],[Скидка %]]+Д402[[#This Row],[Скидка фиксированная]]</f>
        <v>0</v>
      </c>
      <c r="AR206" s="3">
        <f>Д402[[#This Row],[Стоимость ОН без отделки со скидкой]]/Д402[[#This Row],[Расчетная проектная площадь]]</f>
        <v>139566.09485368314</v>
      </c>
      <c r="AS206" s="3">
        <f>Д402[[#This Row],[Стоимость до скидки]]-Д402[[#This Row],[Итоговая сумма скидки]]</f>
        <v>4149300</v>
      </c>
      <c r="AT20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6" s="153"/>
      <c r="AV206" s="153"/>
      <c r="AW206" s="3">
        <f>Д402[[#This Row],[Цена м2 без отделки со скидкой]]+Д402[[#This Row],[Стоимость отделки]]</f>
        <v>139566.09485368314</v>
      </c>
      <c r="AX206" s="3">
        <f>Д402[[#This Row],[Стоимость квартиры с отделкой]]-Д402[[#This Row],[Стоимость ОН без отделки со скидкой]]</f>
        <v>0</v>
      </c>
      <c r="AY206" s="3">
        <f>Д402[[#This Row],[Цена м2 с отделкой]]*Д402[[#This Row],[Расчетная проектная площадь]]</f>
        <v>4149300</v>
      </c>
      <c r="AZ206" s="161"/>
      <c r="BA206" s="155" t="s">
        <v>12</v>
      </c>
      <c r="BB206" s="156" t="str" cm="1">
        <f t="array" ref="BB20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06" s="161" t="s">
        <v>738</v>
      </c>
      <c r="BD206" s="161" t="s">
        <v>739</v>
      </c>
      <c r="BE206" s="161" t="s">
        <v>737</v>
      </c>
      <c r="BF206" s="161" t="s">
        <v>743</v>
      </c>
      <c r="BG206" s="161" t="b">
        <f>EXACT(Д402[[#This Row],[Статусы CRM]],Д402[[#This Row],[Статус]])</f>
        <v>1</v>
      </c>
      <c r="BH206" s="3">
        <f>IF(Д402[[#This Row],[ПС]]=0,IF(Д402[[#This Row],[ДС]]=0,Д402[[#This Row],[ТС]],Д402[[#This Row],[ДС]]),Д402[[#This Row],[ПС]])</f>
        <v>4149300</v>
      </c>
      <c r="BI206" s="3">
        <v>4149300</v>
      </c>
      <c r="BJ206" s="3">
        <v>0</v>
      </c>
      <c r="BK206" s="3">
        <v>0</v>
      </c>
      <c r="BL206" s="273">
        <f>Д402[[#This Row],[Стоимость CRM]]-Д402[[#This Row],[Стоимость до скидки]]</f>
        <v>0</v>
      </c>
      <c r="BM206" s="161" t="s">
        <v>9</v>
      </c>
      <c r="BN206" s="161" t="b">
        <f>Д402[[#This Row],[Отделка CRM]]=Д402[[#This Row],[Отделка]]</f>
        <v>1</v>
      </c>
      <c r="BO206" s="275" t="s">
        <v>338</v>
      </c>
      <c r="BP206" s="69"/>
    </row>
    <row r="207" spans="1:68" ht="12" customHeight="1" x14ac:dyDescent="0.25">
      <c r="A207" s="140">
        <v>205</v>
      </c>
      <c r="B207" s="15">
        <v>3</v>
      </c>
      <c r="C207" s="141">
        <f t="shared" si="7"/>
        <v>6</v>
      </c>
      <c r="D207" s="142">
        <v>1</v>
      </c>
      <c r="E207" s="141">
        <v>1</v>
      </c>
      <c r="F207" s="143">
        <v>14.42</v>
      </c>
      <c r="G207" s="143"/>
      <c r="H207" s="143"/>
      <c r="I207" s="144">
        <f>SUM(Д402[[#This Row],[Комната 1]:[Комната 3]])</f>
        <v>14.42</v>
      </c>
      <c r="J207" s="145">
        <v>16.2</v>
      </c>
      <c r="K207" s="145">
        <v>4.09</v>
      </c>
      <c r="L207" s="145"/>
      <c r="M207" s="145">
        <v>8.0299999999999994</v>
      </c>
      <c r="N207" s="145"/>
      <c r="O207" s="145">
        <v>3.01</v>
      </c>
      <c r="P207" s="146"/>
      <c r="Q207" s="146"/>
      <c r="R207" s="146">
        <f>SUM(Д402[[#This Row],[Лоджия 1]:[Лоджия 3]])</f>
        <v>3.01</v>
      </c>
      <c r="S207" s="10">
        <f>ROUND(SUM(Д402[[#This Row],[Площадь по проекту жилая]:[Лоджия 3]]),2)</f>
        <v>45.75</v>
      </c>
      <c r="T207" s="10">
        <f>ROUND(Д402[[#This Row],[Площадь по проекту(общая)]]-Д402[[#This Row],[Летние]],2)</f>
        <v>42.74</v>
      </c>
      <c r="U207" s="10">
        <f>ROUND(Д402[[#This Row],[Площадь по проекту(общая)]]-(SUM(Д402[[#This Row],[Лоджия 1]:[Лоджия 3]])/2),2)</f>
        <v>44.25</v>
      </c>
      <c r="V207" s="10">
        <f>VLOOKUP(Д402[[#This Row],[№]],наценка7[],COLUMN(наценка7[[#This Row],[Цена м2 с учетом всех K]]),0)</f>
        <v>122837.8</v>
      </c>
      <c r="W207" s="159">
        <f>2%*Д402[[#This Row],[м2 после К]]</f>
        <v>2456.7560000000003</v>
      </c>
      <c r="X207" s="10">
        <f>Д402[[#This Row],[м2 после К]]+Д402[[#This Row],[02.12.2024]]</f>
        <v>125294.556</v>
      </c>
      <c r="Y207" s="149">
        <v>1000</v>
      </c>
      <c r="Z207" s="10">
        <f>Д402[[#This Row],[Фикс 20.12.24]]+Д402[[#This Row],[23.12.24 СП +1000]]</f>
        <v>126294.556</v>
      </c>
      <c r="AA207" s="149">
        <v>215</v>
      </c>
      <c r="AB207" s="10">
        <f>Д402[[#This Row],[Фикс 23.12.24]]+Д402[[#This Row],[Повышение 20.02.25]]</f>
        <v>126509.556</v>
      </c>
      <c r="AC207" s="149">
        <v>17.5</v>
      </c>
      <c r="AD207" s="10">
        <f>Д402[[#This Row],[Фикс 20.02.25]]+Д402[[#This Row],[Повышение 24.02.2025]]</f>
        <v>126527.056</v>
      </c>
      <c r="AE207" s="149">
        <f>Д402[[#This Row],[Фикс 24.02.25]]*0.5%</f>
        <v>632.63527999999997</v>
      </c>
      <c r="AF207" s="10">
        <f>Д402[[#This Row],[Фикс 24.02.25]]+Д402[[#This Row],[Повышение 05.03.2025
1К: до 40м - 1,5%, 40+ 0,5%
2К - 0,5% ]]</f>
        <v>127159.69128</v>
      </c>
      <c r="AG207" s="149">
        <f>Д402[[#This Row],[Фикс 05.03.25]]*1%</f>
        <v>1271.5969127999999</v>
      </c>
      <c r="AH207" s="10">
        <f>Д402[[#This Row],[Фикс 05.03.25]]+Д402[[#This Row],[повышение 14.03.25 1К-1%]]</f>
        <v>128431.2881928</v>
      </c>
      <c r="AI207" s="149">
        <f>Д402[[#This Row],[Фикс 14.03.25]]*1%</f>
        <v>1284.312881928</v>
      </c>
      <c r="AJ207" s="10">
        <f>Д402[[#This Row],[Фикс 14.03.25]]+Д402[[#This Row],[повышение 28.03.25 1К-1%]]</f>
        <v>129715.60107472799</v>
      </c>
      <c r="AK207" s="10"/>
      <c r="AL207" s="10">
        <f>Д402[[#This Row],[Фикс 28.03.25]]+Д402[[#This Row],[Повышение 23.07.25
1К 43-46м2 - 2%
2К 55-58 - 2%; 58-64 - 3%
3К 76-79 - 2%
]]</f>
        <v>129715.60107472799</v>
      </c>
      <c r="AM207" s="149">
        <f>ROUND(Д402[[#This Row],[Фикс 23.07.25]],2)</f>
        <v>129715.6</v>
      </c>
      <c r="AN207" s="149">
        <f>ROUNDUP(Д402[[#This Row],[утв цена м2]]*Д402[[#This Row],[Расчетная проектная площадь]],-2)</f>
        <v>5740000</v>
      </c>
      <c r="AO207" s="151"/>
      <c r="AP207" s="152">
        <v>0.02</v>
      </c>
      <c r="AQ207" s="151">
        <f>Д402[[#This Row],[Стоимость до скидки]]*Д402[[#This Row],[Скидка %]]+Д402[[#This Row],[Скидка фиксированная]]</f>
        <v>114800</v>
      </c>
      <c r="AR207" s="3">
        <f>Д402[[#This Row],[Стоимость ОН без отделки со скидкой]]/Д402[[#This Row],[Расчетная проектная площадь]]</f>
        <v>127123.16384180791</v>
      </c>
      <c r="AS207" s="3">
        <f>Д402[[#This Row],[Стоимость до скидки]]-Д402[[#This Row],[Итоговая сумма скидки]]</f>
        <v>5625200</v>
      </c>
      <c r="AT20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7" s="153"/>
      <c r="AV207" s="153"/>
      <c r="AW207" s="3">
        <f>Д402[[#This Row],[Цена м2 без отделки со скидкой]]+Д402[[#This Row],[Стоимость отделки]]</f>
        <v>127123.16384180791</v>
      </c>
      <c r="AX207" s="3">
        <f>Д402[[#This Row],[Стоимость квартиры с отделкой]]-Д402[[#This Row],[Стоимость ОН без отделки со скидкой]]</f>
        <v>0</v>
      </c>
      <c r="AY207" s="3">
        <f>Д402[[#This Row],[Цена м2 с отделкой]]*Д402[[#This Row],[Расчетная проектная площадь]]</f>
        <v>5625200</v>
      </c>
      <c r="AZ207" s="161" t="s">
        <v>719</v>
      </c>
      <c r="BA207" s="269" t="s">
        <v>426</v>
      </c>
      <c r="BB207" s="269" t="str" cm="1">
        <f t="array" ref="BB20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07" s="161" t="s">
        <v>741</v>
      </c>
      <c r="BD207" s="161" t="s">
        <v>506</v>
      </c>
      <c r="BE207" s="161" t="s">
        <v>737</v>
      </c>
      <c r="BF207" s="161" t="s">
        <v>745</v>
      </c>
      <c r="BG207" s="161" t="b">
        <f>EXACT(Д402[[#This Row],[Статусы CRM]],Д402[[#This Row],[Статус]])</f>
        <v>1</v>
      </c>
      <c r="BH207" s="3">
        <f>IF(Д402[[#This Row],[ПС]]=0,IF(Д402[[#This Row],[ДС]]=0,Д402[[#This Row],[ТС]],Д402[[#This Row],[ДС]]),Д402[[#This Row],[ПС]])</f>
        <v>5740000</v>
      </c>
      <c r="BI207" s="3" t="s">
        <v>749</v>
      </c>
      <c r="BJ207" s="3">
        <v>0</v>
      </c>
      <c r="BK207" s="3">
        <v>5740000</v>
      </c>
      <c r="BL207" s="273">
        <f>Д402[[#This Row],[Стоимость CRM]]-Д402[[#This Row],[Стоимость до скидки]]</f>
        <v>0</v>
      </c>
      <c r="BM207" s="161" t="s">
        <v>9</v>
      </c>
      <c r="BN207" s="161" t="b">
        <f>Д402[[#This Row],[Отделка CRM]]=Д402[[#This Row],[Отделка]]</f>
        <v>1</v>
      </c>
      <c r="BO207" s="275" t="s">
        <v>339</v>
      </c>
      <c r="BP207" s="69"/>
    </row>
    <row r="208" spans="1:68" ht="12" customHeight="1" x14ac:dyDescent="0.25">
      <c r="A208" s="140">
        <v>206</v>
      </c>
      <c r="B208" s="15">
        <v>3</v>
      </c>
      <c r="C208" s="141">
        <f t="shared" si="7"/>
        <v>6</v>
      </c>
      <c r="D208" s="142">
        <v>2</v>
      </c>
      <c r="E208" s="141">
        <v>1</v>
      </c>
      <c r="F208" s="143">
        <v>12.76</v>
      </c>
      <c r="G208" s="143"/>
      <c r="H208" s="143"/>
      <c r="I208" s="144">
        <f>SUM(Д402[[#This Row],[Комната 1]:[Комната 3]])</f>
        <v>12.76</v>
      </c>
      <c r="J208" s="145">
        <v>15.1</v>
      </c>
      <c r="K208" s="145">
        <v>4.22</v>
      </c>
      <c r="L208" s="145"/>
      <c r="M208" s="145">
        <v>3.09</v>
      </c>
      <c r="N208" s="145"/>
      <c r="O208" s="145">
        <v>2.93</v>
      </c>
      <c r="P208" s="146"/>
      <c r="Q208" s="146"/>
      <c r="R208" s="146">
        <f>SUM(Д402[[#This Row],[Лоджия 1]:[Лоджия 3]])</f>
        <v>2.93</v>
      </c>
      <c r="S208" s="10">
        <f>ROUND(SUM(Д402[[#This Row],[Площадь по проекту жилая]:[Лоджия 3]]),2)</f>
        <v>38.1</v>
      </c>
      <c r="T208" s="10">
        <f>ROUND(Д402[[#This Row],[Площадь по проекту(общая)]]-Д402[[#This Row],[Летние]],2)</f>
        <v>35.17</v>
      </c>
      <c r="U208" s="10">
        <f>ROUND(Д402[[#This Row],[Площадь по проекту(общая)]]-(SUM(Д402[[#This Row],[Лоджия 1]:[Лоджия 3]])/2),2)</f>
        <v>36.64</v>
      </c>
      <c r="V208" s="10">
        <f>VLOOKUP(Д402[[#This Row],[№]],наценка7[],COLUMN(наценка7[[#This Row],[Цена м2 с учетом всех K]]),0)</f>
        <v>126415.6</v>
      </c>
      <c r="W208" s="159">
        <f>2%*Д402[[#This Row],[м2 после К]]</f>
        <v>2528.3120000000004</v>
      </c>
      <c r="X208" s="10">
        <f>Д402[[#This Row],[м2 после К]]+Д402[[#This Row],[02.12.2024]]</f>
        <v>128943.91200000001</v>
      </c>
      <c r="Y208" s="149">
        <v>1000</v>
      </c>
      <c r="Z208" s="10">
        <f>Д402[[#This Row],[Фикс 20.12.24]]+Д402[[#This Row],[23.12.24 СП +1000]]</f>
        <v>129943.91200000001</v>
      </c>
      <c r="AA208" s="10"/>
      <c r="AB208" s="10">
        <f>Д402[[#This Row],[Фикс 23.12.24]]+Д402[[#This Row],[Повышение 20.02.25]]</f>
        <v>129943.91200000001</v>
      </c>
      <c r="AC208" s="10"/>
      <c r="AD208" s="10">
        <f>Д402[[#This Row],[Фикс 20.02.25]]+Д402[[#This Row],[Повышение 24.02.2025]]</f>
        <v>129943.91200000001</v>
      </c>
      <c r="AE208" s="10"/>
      <c r="AF208" s="10">
        <f>Д402[[#This Row],[Фикс 24.02.25]]+Д402[[#This Row],[Повышение 05.03.2025
1К: до 40м - 1,5%, 40+ 0,5%
2К - 0,5% ]]</f>
        <v>129943.91200000001</v>
      </c>
      <c r="AG208" s="10"/>
      <c r="AH208" s="10">
        <f>Д402[[#This Row],[Фикс 05.03.25]]+Д402[[#This Row],[повышение 14.03.25 1К-1%]]</f>
        <v>129943.91200000001</v>
      </c>
      <c r="AI208" s="10"/>
      <c r="AJ208" s="10">
        <f>Д402[[#This Row],[Фикс 14.03.25]]+Д402[[#This Row],[повышение 28.03.25 1К-1%]]</f>
        <v>129943.91200000001</v>
      </c>
      <c r="AK208" s="10"/>
      <c r="AL208" s="10">
        <f>Д402[[#This Row],[Фикс 28.03.25]]+Д402[[#This Row],[Повышение 23.07.25
1К 43-46м2 - 2%
2К 55-58 - 2%; 58-64 - 3%
3К 76-79 - 2%
]]</f>
        <v>129943.91200000001</v>
      </c>
      <c r="AM208" s="149">
        <f>ROUND(Д402[[#This Row],[Фикс 23.07.25]],2)</f>
        <v>129943.91</v>
      </c>
      <c r="AN208" s="149">
        <f>ROUNDUP(Д402[[#This Row],[утв цена м2]]*Д402[[#This Row],[Расчетная проектная площадь]],-2)</f>
        <v>4761200</v>
      </c>
      <c r="AO208" s="151"/>
      <c r="AP208" s="152">
        <v>0.02</v>
      </c>
      <c r="AQ208" s="151">
        <f>Д402[[#This Row],[Стоимость до скидки]]*Д402[[#This Row],[Скидка %]]+Д402[[#This Row],[Скидка фиксированная]]</f>
        <v>95224</v>
      </c>
      <c r="AR208" s="3">
        <f>Д402[[#This Row],[Стоимость ОН без отделки со скидкой]]/Д402[[#This Row],[Расчетная проектная площадь]]</f>
        <v>127346.50655021834</v>
      </c>
      <c r="AS208" s="3">
        <f>Д402[[#This Row],[Стоимость до скидки]]-Д402[[#This Row],[Итоговая сумма скидки]]</f>
        <v>4665976</v>
      </c>
      <c r="AT20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08" s="153"/>
      <c r="AV208" s="153"/>
      <c r="AW208" s="3">
        <f>Д402[[#This Row],[Цена м2 без отделки со скидкой]]+Д402[[#This Row],[Стоимость отделки]]</f>
        <v>127346.50655021834</v>
      </c>
      <c r="AX208" s="3">
        <f>Д402[[#This Row],[Стоимость квартиры с отделкой]]-Д402[[#This Row],[Стоимость ОН без отделки со скидкой]]</f>
        <v>0</v>
      </c>
      <c r="AY208" s="3">
        <f>Д402[[#This Row],[Цена м2 с отделкой]]*Д402[[#This Row],[Расчетная проектная площадь]]</f>
        <v>4665976</v>
      </c>
      <c r="AZ208" s="161" t="s">
        <v>424</v>
      </c>
      <c r="BA208" s="269" t="s">
        <v>426</v>
      </c>
      <c r="BB208" s="269" t="str" cm="1">
        <f t="array" ref="BB20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08" s="161" t="s">
        <v>741</v>
      </c>
      <c r="BD208" s="161" t="s">
        <v>506</v>
      </c>
      <c r="BE208" s="161" t="s">
        <v>737</v>
      </c>
      <c r="BF208" s="161" t="s">
        <v>745</v>
      </c>
      <c r="BG208" s="161" t="b">
        <f>EXACT(Д402[[#This Row],[Статусы CRM]],Д402[[#This Row],[Статус]])</f>
        <v>1</v>
      </c>
      <c r="BH208" s="3">
        <f>IF(Д402[[#This Row],[ПС]]=0,IF(Д402[[#This Row],[ДС]]=0,Д402[[#This Row],[ТС]],Д402[[#This Row],[ДС]]),Д402[[#This Row],[ПС]])</f>
        <v>4761200</v>
      </c>
      <c r="BI208" s="3" t="s">
        <v>749</v>
      </c>
      <c r="BJ208" s="3">
        <v>0</v>
      </c>
      <c r="BK208" s="3">
        <v>4761200</v>
      </c>
      <c r="BL208" s="273">
        <f>Д402[[#This Row],[Стоимость CRM]]-Д402[[#This Row],[Стоимость до скидки]]</f>
        <v>0</v>
      </c>
      <c r="BM208" s="161" t="s">
        <v>9</v>
      </c>
      <c r="BN208" s="161" t="b">
        <f>Д402[[#This Row],[Отделка CRM]]=Д402[[#This Row],[Отделка]]</f>
        <v>1</v>
      </c>
      <c r="BO208" s="275" t="s">
        <v>340</v>
      </c>
      <c r="BP208" s="69"/>
    </row>
    <row r="209" spans="1:68" ht="12" customHeight="1" x14ac:dyDescent="0.25">
      <c r="A209" s="140">
        <v>207</v>
      </c>
      <c r="B209" s="15">
        <v>3</v>
      </c>
      <c r="C209" s="141">
        <f t="shared" si="7"/>
        <v>6</v>
      </c>
      <c r="D209" s="142">
        <v>3</v>
      </c>
      <c r="E209" s="141">
        <v>2</v>
      </c>
      <c r="F209" s="143">
        <v>15.36</v>
      </c>
      <c r="G209" s="143">
        <v>11.95</v>
      </c>
      <c r="H209" s="143"/>
      <c r="I209" s="144">
        <f>SUM(Д402[[#This Row],[Комната 1]:[Комната 3]])</f>
        <v>27.31</v>
      </c>
      <c r="J209" s="145">
        <v>14.7</v>
      </c>
      <c r="K209" s="145">
        <v>4.21</v>
      </c>
      <c r="L209" s="145"/>
      <c r="M209" s="145">
        <v>6.6</v>
      </c>
      <c r="N209" s="145"/>
      <c r="O209" s="145">
        <v>3.23</v>
      </c>
      <c r="P209" s="146"/>
      <c r="Q209" s="146"/>
      <c r="R209" s="146">
        <f>SUM(Д402[[#This Row],[Лоджия 1]:[Лоджия 3]])</f>
        <v>3.23</v>
      </c>
      <c r="S209" s="10">
        <f>ROUND(SUM(Д402[[#This Row],[Площадь по проекту жилая]:[Лоджия 3]]),2)</f>
        <v>56.05</v>
      </c>
      <c r="T209" s="10">
        <f>ROUND(Д402[[#This Row],[Площадь по проекту(общая)]]-Д402[[#This Row],[Летние]],2)</f>
        <v>52.82</v>
      </c>
      <c r="U209" s="10">
        <f>ROUND(Д402[[#This Row],[Площадь по проекту(общая)]]-(SUM(Д402[[#This Row],[Лоджия 1]:[Лоджия 3]])/2),2)</f>
        <v>54.44</v>
      </c>
      <c r="V209" s="10">
        <f>VLOOKUP(Д402[[#This Row],[№]],наценка7[],COLUMN(наценка7[[#This Row],[Цена м2 с учетом всех K]]),0)</f>
        <v>119811.8</v>
      </c>
      <c r="W209" s="162">
        <f>0.021*Д402[[#This Row],[м2 после К]]</f>
        <v>2516.0478000000003</v>
      </c>
      <c r="X209" s="10">
        <f>Д402[[#This Row],[м2 после К]]+Д402[[#This Row],[02.12.2024]]</f>
        <v>122327.8478</v>
      </c>
      <c r="Y209" s="149">
        <v>1000</v>
      </c>
      <c r="Z209" s="10">
        <f>Д402[[#This Row],[Фикс 20.12.24]]+Д402[[#This Row],[23.12.24 СП +1000]]</f>
        <v>123327.8478</v>
      </c>
      <c r="AA209" s="149">
        <v>215</v>
      </c>
      <c r="AB209" s="10">
        <f>Д402[[#This Row],[Фикс 23.12.24]]+Д402[[#This Row],[Повышение 20.02.25]]</f>
        <v>123542.8478</v>
      </c>
      <c r="AC209" s="149">
        <v>17.5</v>
      </c>
      <c r="AD209" s="10">
        <f>Д402[[#This Row],[Фикс 20.02.25]]+Д402[[#This Row],[Повышение 24.02.2025]]</f>
        <v>123560.3478</v>
      </c>
      <c r="AE209" s="10">
        <f>Д402[[#This Row],[Фикс 24.02.25]]*0.5%</f>
        <v>617.801739</v>
      </c>
      <c r="AF209" s="10">
        <f>Д402[[#This Row],[Фикс 24.02.25]]+Д402[[#This Row],[Повышение 05.03.2025
1К: до 40м - 1,5%, 40+ 0,5%
2К - 0,5% ]]</f>
        <v>124178.14953900001</v>
      </c>
      <c r="AG209" s="10"/>
      <c r="AH209" s="10">
        <f>Д402[[#This Row],[Фикс 05.03.25]]+Д402[[#This Row],[повышение 14.03.25 1К-1%]]</f>
        <v>124178.14953900001</v>
      </c>
      <c r="AI209" s="10"/>
      <c r="AJ209" s="10">
        <f>Д402[[#This Row],[Фикс 14.03.25]]+Д402[[#This Row],[повышение 28.03.25 1К-1%]]</f>
        <v>124178.14953900001</v>
      </c>
      <c r="AK209" s="10"/>
      <c r="AL209" s="10">
        <f>Д402[[#This Row],[Фикс 28.03.25]]+Д402[[#This Row],[Повышение 23.07.25
1К 43-46м2 - 2%
2К 55-58 - 2%; 58-64 - 3%
3К 76-79 - 2%
]]</f>
        <v>124178.14953900001</v>
      </c>
      <c r="AM209" s="149">
        <f>ROUND(Д402[[#This Row],[Фикс 23.07.25]],2)</f>
        <v>124178.15</v>
      </c>
      <c r="AN209" s="149">
        <f>ROUNDUP(Д402[[#This Row],[утв цена м2]]*Д402[[#This Row],[Расчетная проектная площадь]],-2)</f>
        <v>6760300</v>
      </c>
      <c r="AO209" s="151"/>
      <c r="AP209" s="152">
        <v>0.02</v>
      </c>
      <c r="AQ209" s="151">
        <f>Д402[[#This Row],[Стоимость до скидки]]*Д402[[#This Row],[Скидка %]]+Д402[[#This Row],[Скидка фиксированная]]</f>
        <v>135206</v>
      </c>
      <c r="AR209" s="3">
        <f>Д402[[#This Row],[Стоимость ОН без отделки со скидкой]]/Д402[[#This Row],[Расчетная проектная площадь]]</f>
        <v>121695.33431300515</v>
      </c>
      <c r="AS209" s="3">
        <f>Д402[[#This Row],[Стоимость до скидки]]-Д402[[#This Row],[Итоговая сумма скидки]]</f>
        <v>6625094</v>
      </c>
      <c r="AT20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09" s="153">
        <v>10000</v>
      </c>
      <c r="AV209" s="153"/>
      <c r="AW209" s="3">
        <f>Д402[[#This Row],[Цена м2 без отделки со скидкой]]+Д402[[#This Row],[Стоимость отделки]]</f>
        <v>131695.33431300515</v>
      </c>
      <c r="AX209" s="3">
        <f>Д402[[#This Row],[Стоимость квартиры с отделкой]]-Д402[[#This Row],[Стоимость ОН без отделки со скидкой]]</f>
        <v>544400</v>
      </c>
      <c r="AY209" s="3">
        <f>Д402[[#This Row],[Цена м2 с отделкой]]*Д402[[#This Row],[Расчетная проектная площадь]]</f>
        <v>7169494</v>
      </c>
      <c r="AZ209" s="161"/>
      <c r="BA209" s="269" t="s">
        <v>426</v>
      </c>
      <c r="BB209" s="269" t="str" cm="1">
        <f t="array" ref="BB20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09" s="161" t="s">
        <v>741</v>
      </c>
      <c r="BD209" s="161" t="s">
        <v>506</v>
      </c>
      <c r="BE209" s="161" t="s">
        <v>737</v>
      </c>
      <c r="BF209" s="161" t="s">
        <v>744</v>
      </c>
      <c r="BG209" s="161" t="b">
        <f>EXACT(Д402[[#This Row],[Статусы CRM]],Д402[[#This Row],[Статус]])</f>
        <v>1</v>
      </c>
      <c r="BH209" s="3">
        <f>IF(Д402[[#This Row],[ПС]]=0,IF(Д402[[#This Row],[ДС]]=0,Д402[[#This Row],[ТС]],Д402[[#This Row],[ДС]]),Д402[[#This Row],[ПС]])</f>
        <v>6760300</v>
      </c>
      <c r="BI209" s="3" t="s">
        <v>749</v>
      </c>
      <c r="BJ209" s="3">
        <v>0</v>
      </c>
      <c r="BK209" s="3">
        <v>6760300</v>
      </c>
      <c r="BL209" s="273">
        <f>Д402[[#This Row],[Стоимость CRM]]-Д402[[#This Row],[Стоимость до скидки]]</f>
        <v>0</v>
      </c>
      <c r="BM209" s="161" t="s">
        <v>718</v>
      </c>
      <c r="BN209" s="161" t="b">
        <f>Д402[[#This Row],[Отделка CRM]]=Д402[[#This Row],[Отделка]]</f>
        <v>1</v>
      </c>
      <c r="BO209" s="275" t="s">
        <v>341</v>
      </c>
      <c r="BP209" s="69"/>
    </row>
    <row r="210" spans="1:68" ht="12" customHeight="1" x14ac:dyDescent="0.25">
      <c r="A210" s="140">
        <v>208</v>
      </c>
      <c r="B210" s="15">
        <v>3</v>
      </c>
      <c r="C210" s="141">
        <f t="shared" si="7"/>
        <v>6</v>
      </c>
      <c r="D210" s="142">
        <v>4</v>
      </c>
      <c r="E210" s="141">
        <v>1</v>
      </c>
      <c r="F210" s="143">
        <v>14.28</v>
      </c>
      <c r="G210" s="143"/>
      <c r="H210" s="143"/>
      <c r="I210" s="144">
        <f>SUM(Д402[[#This Row],[Комната 1]:[Комната 3]])</f>
        <v>14.28</v>
      </c>
      <c r="J210" s="145">
        <v>13.99</v>
      </c>
      <c r="K210" s="145">
        <v>3.9</v>
      </c>
      <c r="L210" s="145"/>
      <c r="M210" s="145">
        <v>2.6</v>
      </c>
      <c r="N210" s="145"/>
      <c r="O210" s="145">
        <v>3.23</v>
      </c>
      <c r="P210" s="146"/>
      <c r="Q210" s="146"/>
      <c r="R210" s="146">
        <f>SUM(Д402[[#This Row],[Лоджия 1]:[Лоджия 3]])</f>
        <v>3.23</v>
      </c>
      <c r="S210" s="10">
        <f>ROUND(SUM(Д402[[#This Row],[Площадь по проекту жилая]:[Лоджия 3]]),2)</f>
        <v>38</v>
      </c>
      <c r="T210" s="10">
        <f>ROUND(Д402[[#This Row],[Площадь по проекту(общая)]]-Д402[[#This Row],[Летние]],2)</f>
        <v>34.770000000000003</v>
      </c>
      <c r="U210" s="10">
        <f>ROUND(Д402[[#This Row],[Площадь по проекту(общая)]]-(SUM(Д402[[#This Row],[Лоджия 1]:[Лоджия 3]])/2),2)</f>
        <v>36.39</v>
      </c>
      <c r="V210" s="10">
        <f>VLOOKUP(Д402[[#This Row],[№]],наценка7[],COLUMN(наценка7[[#This Row],[Цена м2 с учетом всех K]]),0)</f>
        <v>125223</v>
      </c>
      <c r="W210" s="162"/>
      <c r="X210" s="10">
        <f>Д402[[#This Row],[м2 после К]]+Д402[[#This Row],[02.12.2024]]</f>
        <v>125223</v>
      </c>
      <c r="Y210" s="149">
        <v>1000</v>
      </c>
      <c r="Z210" s="10">
        <f>Д402[[#This Row],[Фикс 20.12.24]]+Д402[[#This Row],[23.12.24 СП +1000]]</f>
        <v>126223</v>
      </c>
      <c r="AA210" s="149">
        <v>215</v>
      </c>
      <c r="AB210" s="10">
        <f>Д402[[#This Row],[Фикс 23.12.24]]+Д402[[#This Row],[Повышение 20.02.25]]</f>
        <v>126438</v>
      </c>
      <c r="AC210" s="149">
        <v>17.5</v>
      </c>
      <c r="AD210" s="10">
        <f>Д402[[#This Row],[Фикс 20.02.25]]+Д402[[#This Row],[Повышение 24.02.2025]]</f>
        <v>126455.5</v>
      </c>
      <c r="AE210" s="149">
        <f>Д402[[#This Row],[Фикс 24.02.25]]*1.5%</f>
        <v>1896.8325</v>
      </c>
      <c r="AF210" s="10">
        <f>Д402[[#This Row],[Фикс 24.02.25]]+Д402[[#This Row],[Повышение 05.03.2025
1К: до 40м - 1,5%, 40+ 0,5%
2К - 0,5% ]]</f>
        <v>128352.3325</v>
      </c>
      <c r="AG210" s="149">
        <f>Д402[[#This Row],[Фикс 05.03.25]]*1%</f>
        <v>1283.5233250000001</v>
      </c>
      <c r="AH210" s="10">
        <f>Д402[[#This Row],[Фикс 05.03.25]]+Д402[[#This Row],[повышение 14.03.25 1К-1%]]</f>
        <v>129635.85582500001</v>
      </c>
      <c r="AI210" s="149">
        <f>Д402[[#This Row],[Фикс 14.03.25]]*1%</f>
        <v>1296.35855825</v>
      </c>
      <c r="AJ210" s="10">
        <f>Д402[[#This Row],[Фикс 14.03.25]]+Д402[[#This Row],[повышение 28.03.25 1К-1%]]</f>
        <v>130932.21438325</v>
      </c>
      <c r="AK210" s="10"/>
      <c r="AL210" s="10">
        <f>Д402[[#This Row],[Фикс 28.03.25]]+Д402[[#This Row],[Повышение 23.07.25
1К 43-46м2 - 2%
2К 55-58 - 2%; 58-64 - 3%
3К 76-79 - 2%
]]</f>
        <v>130932.21438325</v>
      </c>
      <c r="AM210" s="149">
        <f>ROUND(Д402[[#This Row],[Фикс 23.07.25]],2)</f>
        <v>130932.21</v>
      </c>
      <c r="AN210" s="149">
        <f>ROUNDUP(Д402[[#This Row],[утв цена м2]]*Д402[[#This Row],[Расчетная проектная площадь]],-2)</f>
        <v>4764700</v>
      </c>
      <c r="AO210" s="151"/>
      <c r="AP210" s="152"/>
      <c r="AQ210" s="151">
        <f>Д402[[#This Row],[Стоимость до скидки]]*Д402[[#This Row],[Скидка %]]+Д402[[#This Row],[Скидка фиксированная]]</f>
        <v>0</v>
      </c>
      <c r="AR210" s="3">
        <f>Д402[[#This Row],[Стоимость ОН без отделки со скидкой]]/Д402[[#This Row],[Расчетная проектная площадь]]</f>
        <v>130934.32261610332</v>
      </c>
      <c r="AS210" s="3">
        <f>Д402[[#This Row],[Стоимость до скидки]]-Д402[[#This Row],[Итоговая сумма скидки]]</f>
        <v>4764700</v>
      </c>
      <c r="AT21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10" s="153">
        <v>30000</v>
      </c>
      <c r="AV210" s="153" t="s">
        <v>722</v>
      </c>
      <c r="AW210" s="3">
        <f>Д402[[#This Row],[Цена м2 без отделки со скидкой]]+Д402[[#This Row],[Стоимость отделки]]</f>
        <v>160934.32261610334</v>
      </c>
      <c r="AX210" s="3">
        <f>Д402[[#This Row],[Стоимость квартиры с отделкой]]-Д402[[#This Row],[Стоимость ОН без отделки со скидкой]]</f>
        <v>1091700.0000000009</v>
      </c>
      <c r="AY210" s="3">
        <f>Д402[[#This Row],[Цена м2 с отделкой]]*Д402[[#This Row],[Расчетная проектная площадь]]</f>
        <v>5856400.0000000009</v>
      </c>
      <c r="AZ210" s="161"/>
      <c r="BA210" s="155" t="s">
        <v>12</v>
      </c>
      <c r="BB210" s="156" t="str" cm="1">
        <f t="array" ref="BB21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10" s="161" t="s">
        <v>738</v>
      </c>
      <c r="BD210" s="161" t="s">
        <v>739</v>
      </c>
      <c r="BE210" s="161" t="s">
        <v>737</v>
      </c>
      <c r="BF210" s="161" t="s">
        <v>746</v>
      </c>
      <c r="BG210" s="161" t="b">
        <f>EXACT(Д402[[#This Row],[Статусы CRM]],Д402[[#This Row],[Статус]])</f>
        <v>1</v>
      </c>
      <c r="BH210" s="3">
        <f>IF(Д402[[#This Row],[ПС]]=0,IF(Д402[[#This Row],[ДС]]=0,Д402[[#This Row],[ТС]],Д402[[#This Row],[ДС]]),Д402[[#This Row],[ПС]])</f>
        <v>4764700</v>
      </c>
      <c r="BI210" s="3">
        <v>4764700</v>
      </c>
      <c r="BJ210" s="3">
        <v>0</v>
      </c>
      <c r="BK210" s="3">
        <v>0</v>
      </c>
      <c r="BL210" s="273">
        <f>Д402[[#This Row],[Стоимость CRM]]-Д402[[#This Row],[Стоимость до скидки]]</f>
        <v>0</v>
      </c>
      <c r="BM210" s="161" t="s">
        <v>11</v>
      </c>
      <c r="BN210" s="161" t="b">
        <f>Д402[[#This Row],[Отделка CRM]]=Д402[[#This Row],[Отделка]]</f>
        <v>1</v>
      </c>
      <c r="BO210" s="275" t="s">
        <v>342</v>
      </c>
      <c r="BP210" s="69"/>
    </row>
    <row r="211" spans="1:68" ht="12" customHeight="1" x14ac:dyDescent="0.25">
      <c r="A211" s="140">
        <v>209</v>
      </c>
      <c r="B211" s="15">
        <v>3</v>
      </c>
      <c r="C211" s="141">
        <f t="shared" si="7"/>
        <v>6</v>
      </c>
      <c r="D211" s="142">
        <v>5</v>
      </c>
      <c r="E211" s="141">
        <v>3</v>
      </c>
      <c r="F211" s="143">
        <v>18.350000000000001</v>
      </c>
      <c r="G211" s="143">
        <v>15.96</v>
      </c>
      <c r="H211" s="143">
        <v>11.55</v>
      </c>
      <c r="I211" s="144">
        <f>SUM(Д402[[#This Row],[Комната 1]:[Комната 3]])</f>
        <v>45.86</v>
      </c>
      <c r="J211" s="145">
        <v>11.42</v>
      </c>
      <c r="K211" s="145">
        <v>3.9</v>
      </c>
      <c r="L211" s="145">
        <v>4.37</v>
      </c>
      <c r="M211" s="145">
        <v>11.06</v>
      </c>
      <c r="N211" s="145"/>
      <c r="O211" s="145">
        <v>3.1</v>
      </c>
      <c r="P211" s="146"/>
      <c r="Q211" s="146"/>
      <c r="R211" s="146">
        <f>SUM(Д402[[#This Row],[Лоджия 1]:[Лоджия 3]])</f>
        <v>3.1</v>
      </c>
      <c r="S211" s="10">
        <f>ROUND(SUM(Д402[[#This Row],[Площадь по проекту жилая]:[Лоджия 3]]),2)</f>
        <v>79.709999999999994</v>
      </c>
      <c r="T211" s="10">
        <f>ROUND(Д402[[#This Row],[Площадь по проекту(общая)]]-Д402[[#This Row],[Летние]],2)</f>
        <v>76.61</v>
      </c>
      <c r="U211" s="10">
        <f>ROUND(Д402[[#This Row],[Площадь по проекту(общая)]]-(SUM(Д402[[#This Row],[Лоджия 1]:[Лоджия 3]])/2),2)</f>
        <v>78.16</v>
      </c>
      <c r="V211" s="10">
        <f>VLOOKUP(Д402[[#This Row],[№]],наценка7[],COLUMN(наценка7[[#This Row],[Цена м2 с учетом всех K]]),0)</f>
        <v>108402</v>
      </c>
      <c r="W211" s="162"/>
      <c r="X211" s="10">
        <f>Д402[[#This Row],[м2 после К]]+Д402[[#This Row],[02.12.2024]]</f>
        <v>108402</v>
      </c>
      <c r="Y211" s="149">
        <v>1000</v>
      </c>
      <c r="Z211" s="10">
        <f>Д402[[#This Row],[Фикс 20.12.24]]+Д402[[#This Row],[23.12.24 СП +1000]]</f>
        <v>109402</v>
      </c>
      <c r="AA211" s="149">
        <v>215</v>
      </c>
      <c r="AB211" s="10">
        <f>Д402[[#This Row],[Фикс 23.12.24]]+Д402[[#This Row],[Повышение 20.02.25]]</f>
        <v>109617</v>
      </c>
      <c r="AC211" s="149">
        <v>17.5</v>
      </c>
      <c r="AD211" s="10">
        <f>Д402[[#This Row],[Фикс 20.02.25]]+Д402[[#This Row],[Повышение 24.02.2025]]</f>
        <v>109634.5</v>
      </c>
      <c r="AE211" s="10"/>
      <c r="AF211" s="10">
        <f>Д402[[#This Row],[Фикс 24.02.25]]+Д402[[#This Row],[Повышение 05.03.2025
1К: до 40м - 1,5%, 40+ 0,5%
2К - 0,5% ]]</f>
        <v>109634.5</v>
      </c>
      <c r="AG211" s="10"/>
      <c r="AH211" s="10">
        <f>Д402[[#This Row],[Фикс 05.03.25]]+Д402[[#This Row],[повышение 14.03.25 1К-1%]]</f>
        <v>109634.5</v>
      </c>
      <c r="AI211" s="10"/>
      <c r="AJ211" s="10">
        <f>Д402[[#This Row],[Фикс 14.03.25]]+Д402[[#This Row],[повышение 28.03.25 1К-1%]]</f>
        <v>109634.5</v>
      </c>
      <c r="AK211" s="10">
        <f>Д402[[#This Row],[Фикс 28.03.25]]*2%</f>
        <v>2192.69</v>
      </c>
      <c r="AL211" s="10">
        <f>Д402[[#This Row],[Фикс 28.03.25]]+Д402[[#This Row],[Повышение 23.07.25
1К 43-46м2 - 2%
2К 55-58 - 2%; 58-64 - 3%
3К 76-79 - 2%
]]</f>
        <v>111827.19</v>
      </c>
      <c r="AM211" s="149">
        <f>ROUND(Д402[[#This Row],[Фикс 23.07.25]],2)</f>
        <v>111827.19</v>
      </c>
      <c r="AN211" s="149">
        <f>ROUNDUP(Д402[[#This Row],[утв цена м2]]*Д402[[#This Row],[Расчетная проектная площадь]],-2)</f>
        <v>8740500</v>
      </c>
      <c r="AO211" s="151"/>
      <c r="AP211" s="152"/>
      <c r="AQ211" s="151">
        <f>Д402[[#This Row],[Стоимость до скидки]]*Д402[[#This Row],[Скидка %]]+Д402[[#This Row],[Скидка фиксированная]]</f>
        <v>0</v>
      </c>
      <c r="AR211" s="3">
        <f>Д402[[#This Row],[Стоимость ОН без отделки со скидкой]]/Д402[[#This Row],[Расчетная проектная площадь]]</f>
        <v>111828.30092118731</v>
      </c>
      <c r="AS211" s="3">
        <f>Д402[[#This Row],[Стоимость до скидки]]-Д402[[#This Row],[Итоговая сумма скидки]]</f>
        <v>8740500</v>
      </c>
      <c r="AT21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1" s="153"/>
      <c r="AV211" s="153"/>
      <c r="AW211" s="3">
        <f>Д402[[#This Row],[Цена м2 без отделки со скидкой]]+Д402[[#This Row],[Стоимость отделки]]</f>
        <v>111828.30092118731</v>
      </c>
      <c r="AX211" s="3">
        <f>Д402[[#This Row],[Стоимость квартиры с отделкой]]-Д402[[#This Row],[Стоимость ОН без отделки со скидкой]]</f>
        <v>0</v>
      </c>
      <c r="AY211" s="3">
        <f>Д402[[#This Row],[Цена м2 с отделкой]]*Д402[[#This Row],[Расчетная проектная площадь]]</f>
        <v>8740500</v>
      </c>
      <c r="AZ211" s="161"/>
      <c r="BA211" s="269" t="s">
        <v>128</v>
      </c>
      <c r="BB211" s="156" t="str" cm="1">
        <f t="array" ref="BB21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11" s="161" t="s">
        <v>740</v>
      </c>
      <c r="BD211" s="161" t="s">
        <v>506</v>
      </c>
      <c r="BE211" s="161" t="s">
        <v>737</v>
      </c>
      <c r="BF211" s="161" t="s">
        <v>748</v>
      </c>
      <c r="BG211" s="161" t="b">
        <f>EXACT(Д402[[#This Row],[Статусы CRM]],Д402[[#This Row],[Статус]])</f>
        <v>1</v>
      </c>
      <c r="BH211" s="3">
        <f>IF(Д402[[#This Row],[ПС]]=0,IF(Д402[[#This Row],[ДС]]=0,Д402[[#This Row],[ТС]],Д402[[#This Row],[ДС]]),Д402[[#This Row],[ПС]])</f>
        <v>8740500</v>
      </c>
      <c r="BI211" s="3">
        <v>8740500</v>
      </c>
      <c r="BJ211" s="3">
        <v>0</v>
      </c>
      <c r="BK211" s="3">
        <v>0</v>
      </c>
      <c r="BL211" s="273">
        <f>Д402[[#This Row],[Стоимость CRM]]-Д402[[#This Row],[Стоимость до скидки]]</f>
        <v>0</v>
      </c>
      <c r="BM211" s="161" t="s">
        <v>9</v>
      </c>
      <c r="BN211" s="161" t="b">
        <f>Д402[[#This Row],[Отделка CRM]]=Д402[[#This Row],[Отделка]]</f>
        <v>1</v>
      </c>
      <c r="BO211" s="275" t="s">
        <v>343</v>
      </c>
      <c r="BP211" s="69"/>
    </row>
    <row r="212" spans="1:68" ht="12" customHeight="1" x14ac:dyDescent="0.25">
      <c r="A212" s="140">
        <v>210</v>
      </c>
      <c r="B212" s="15">
        <v>3</v>
      </c>
      <c r="C212" s="141">
        <f t="shared" si="7"/>
        <v>6</v>
      </c>
      <c r="D212" s="142">
        <v>6</v>
      </c>
      <c r="E212" s="141">
        <v>0</v>
      </c>
      <c r="F212" s="143">
        <v>16.25</v>
      </c>
      <c r="G212" s="143"/>
      <c r="H212" s="143"/>
      <c r="I212" s="144">
        <f>SUM(Д402[[#This Row],[Комната 1]:[Комната 3]])</f>
        <v>16.25</v>
      </c>
      <c r="J212" s="145">
        <v>5</v>
      </c>
      <c r="K212" s="145">
        <v>4.2699999999999996</v>
      </c>
      <c r="L212" s="145"/>
      <c r="M212" s="145">
        <v>4.21</v>
      </c>
      <c r="N212" s="145"/>
      <c r="O212" s="145"/>
      <c r="P212" s="146"/>
      <c r="Q212" s="146"/>
      <c r="R212" s="146">
        <f>SUM(Д402[[#This Row],[Лоджия 1]:[Лоджия 3]])</f>
        <v>0</v>
      </c>
      <c r="S212" s="10">
        <f>ROUND(SUM(Д402[[#This Row],[Площадь по проекту жилая]:[Лоджия 3]]),2)</f>
        <v>29.73</v>
      </c>
      <c r="T212" s="10">
        <f>ROUND(Д402[[#This Row],[Площадь по проекту(общая)]]-Д402[[#This Row],[Летние]],2)</f>
        <v>29.73</v>
      </c>
      <c r="U212" s="10">
        <f>ROUND(Д402[[#This Row],[Площадь по проекту(общая)]]-(SUM(Д402[[#This Row],[Лоджия 1]:[Лоджия 3]])/2),2)</f>
        <v>29.73</v>
      </c>
      <c r="V212" s="10">
        <f>VLOOKUP(Д402[[#This Row],[№]],наценка7[],COLUMN(наценка7[[#This Row],[Цена м2 с учетом всех K]]),0)</f>
        <v>138332.70000000001</v>
      </c>
      <c r="W212" s="162"/>
      <c r="X212" s="10">
        <f>Д402[[#This Row],[м2 после К]]+Д402[[#This Row],[02.12.2024]]</f>
        <v>138332.70000000001</v>
      </c>
      <c r="Y212" s="149">
        <v>1000</v>
      </c>
      <c r="Z212" s="10">
        <f>Д402[[#This Row],[Фикс 20.12.24]]+Д402[[#This Row],[23.12.24 СП +1000]]</f>
        <v>139332.70000000001</v>
      </c>
      <c r="AA212" s="149">
        <v>215</v>
      </c>
      <c r="AB212" s="10">
        <f>Д402[[#This Row],[Фикс 23.12.24]]+Д402[[#This Row],[Повышение 20.02.25]]</f>
        <v>139547.70000000001</v>
      </c>
      <c r="AC212" s="149">
        <v>17.5</v>
      </c>
      <c r="AD212" s="10">
        <f>Д402[[#This Row],[Фикс 20.02.25]]+Д402[[#This Row],[Повышение 24.02.2025]]</f>
        <v>139565.20000000001</v>
      </c>
      <c r="AE212" s="10"/>
      <c r="AF212" s="10">
        <f>Д402[[#This Row],[Фикс 24.02.25]]+Д402[[#This Row],[Повышение 05.03.2025
1К: до 40м - 1,5%, 40+ 0,5%
2К - 0,5% ]]</f>
        <v>139565.20000000001</v>
      </c>
      <c r="AG212" s="10"/>
      <c r="AH212" s="10">
        <f>Д402[[#This Row],[Фикс 05.03.25]]+Д402[[#This Row],[повышение 14.03.25 1К-1%]]</f>
        <v>139565.20000000001</v>
      </c>
      <c r="AI212" s="10"/>
      <c r="AJ212" s="10">
        <f>Д402[[#This Row],[Фикс 14.03.25]]+Д402[[#This Row],[повышение 28.03.25 1К-1%]]</f>
        <v>139565.20000000001</v>
      </c>
      <c r="AK212" s="10"/>
      <c r="AL212" s="10">
        <f>Д402[[#This Row],[Фикс 28.03.25]]+Д402[[#This Row],[Повышение 23.07.25
1К 43-46м2 - 2%
2К 55-58 - 2%; 58-64 - 3%
3К 76-79 - 2%
]]</f>
        <v>139565.20000000001</v>
      </c>
      <c r="AM212" s="149">
        <f>ROUND(Д402[[#This Row],[Фикс 23.07.25]],2)</f>
        <v>139565.20000000001</v>
      </c>
      <c r="AN212" s="149">
        <f>ROUNDUP(Д402[[#This Row],[утв цена м2]]*Д402[[#This Row],[Расчетная проектная площадь]],-2)</f>
        <v>4149300</v>
      </c>
      <c r="AO212" s="151"/>
      <c r="AP212" s="152"/>
      <c r="AQ212" s="151">
        <f>Д402[[#This Row],[Стоимость до скидки]]*Д402[[#This Row],[Скидка %]]+Д402[[#This Row],[Скидка фиксированная]]</f>
        <v>0</v>
      </c>
      <c r="AR212" s="3">
        <f>Д402[[#This Row],[Стоимость ОН без отделки со скидкой]]/Д402[[#This Row],[Расчетная проектная площадь]]</f>
        <v>139566.09485368314</v>
      </c>
      <c r="AS212" s="3">
        <f>Д402[[#This Row],[Стоимость до скидки]]-Д402[[#This Row],[Итоговая сумма скидки]]</f>
        <v>4149300</v>
      </c>
      <c r="AT21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2" s="153"/>
      <c r="AV212" s="153"/>
      <c r="AW212" s="3">
        <f>Д402[[#This Row],[Цена м2 без отделки со скидкой]]+Д402[[#This Row],[Стоимость отделки]]</f>
        <v>139566.09485368314</v>
      </c>
      <c r="AX212" s="3">
        <f>Д402[[#This Row],[Стоимость квартиры с отделкой]]-Д402[[#This Row],[Стоимость ОН без отделки со скидкой]]</f>
        <v>0</v>
      </c>
      <c r="AY212" s="3">
        <f>Д402[[#This Row],[Цена м2 с отделкой]]*Д402[[#This Row],[Расчетная проектная площадь]]</f>
        <v>4149300</v>
      </c>
      <c r="AZ212" s="161"/>
      <c r="BA212" s="155" t="s">
        <v>12</v>
      </c>
      <c r="BB212" s="156" t="str" cm="1">
        <f t="array" ref="BB21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12" s="161" t="s">
        <v>738</v>
      </c>
      <c r="BD212" s="161" t="s">
        <v>739</v>
      </c>
      <c r="BE212" s="161" t="s">
        <v>737</v>
      </c>
      <c r="BF212" s="161" t="s">
        <v>743</v>
      </c>
      <c r="BG212" s="161" t="b">
        <f>EXACT(Д402[[#This Row],[Статусы CRM]],Д402[[#This Row],[Статус]])</f>
        <v>1</v>
      </c>
      <c r="BH212" s="3">
        <f>IF(Д402[[#This Row],[ПС]]=0,IF(Д402[[#This Row],[ДС]]=0,Д402[[#This Row],[ТС]],Д402[[#This Row],[ДС]]),Д402[[#This Row],[ПС]])</f>
        <v>4149300</v>
      </c>
      <c r="BI212" s="3">
        <v>4149300</v>
      </c>
      <c r="BJ212" s="3">
        <v>0</v>
      </c>
      <c r="BK212" s="3">
        <v>0</v>
      </c>
      <c r="BL212" s="273">
        <f>Д402[[#This Row],[Стоимость CRM]]-Д402[[#This Row],[Стоимость до скидки]]</f>
        <v>0</v>
      </c>
      <c r="BM212" s="161" t="s">
        <v>9</v>
      </c>
      <c r="BN212" s="161" t="b">
        <f>Д402[[#This Row],[Отделка CRM]]=Д402[[#This Row],[Отделка]]</f>
        <v>1</v>
      </c>
      <c r="BO212" s="275" t="s">
        <v>344</v>
      </c>
      <c r="BP212" s="69"/>
    </row>
    <row r="213" spans="1:68" ht="12" customHeight="1" x14ac:dyDescent="0.25">
      <c r="A213" s="140">
        <v>211</v>
      </c>
      <c r="B213" s="15">
        <v>3</v>
      </c>
      <c r="C213" s="141">
        <f t="shared" si="7"/>
        <v>7</v>
      </c>
      <c r="D213" s="142">
        <v>1</v>
      </c>
      <c r="E213" s="141">
        <v>1</v>
      </c>
      <c r="F213" s="143">
        <v>14.42</v>
      </c>
      <c r="G213" s="143"/>
      <c r="H213" s="143"/>
      <c r="I213" s="144">
        <f>SUM(Д402[[#This Row],[Комната 1]:[Комната 3]])</f>
        <v>14.42</v>
      </c>
      <c r="J213" s="145">
        <v>16.2</v>
      </c>
      <c r="K213" s="145">
        <v>4.09</v>
      </c>
      <c r="L213" s="145"/>
      <c r="M213" s="145">
        <v>8.0299999999999994</v>
      </c>
      <c r="N213" s="145"/>
      <c r="O213" s="145">
        <v>3.01</v>
      </c>
      <c r="P213" s="146"/>
      <c r="Q213" s="146"/>
      <c r="R213" s="146">
        <f>SUM(Д402[[#This Row],[Лоджия 1]:[Лоджия 3]])</f>
        <v>3.01</v>
      </c>
      <c r="S213" s="10">
        <f>ROUND(SUM(Д402[[#This Row],[Площадь по проекту жилая]:[Лоджия 3]]),2)</f>
        <v>45.75</v>
      </c>
      <c r="T213" s="10">
        <f>ROUND(Д402[[#This Row],[Площадь по проекту(общая)]]-Д402[[#This Row],[Летние]],2)</f>
        <v>42.74</v>
      </c>
      <c r="U213" s="10">
        <f>ROUND(Д402[[#This Row],[Площадь по проекту(общая)]]-(SUM(Д402[[#This Row],[Лоджия 1]:[Лоджия 3]])/2),2)</f>
        <v>44.25</v>
      </c>
      <c r="V213" s="10">
        <f>VLOOKUP(Д402[[#This Row],[№]],наценка7[],COLUMN(наценка7[[#This Row],[Цена м2 с учетом всех K]]),0)</f>
        <v>120452.6</v>
      </c>
      <c r="W213" s="159">
        <f>2%*Д402[[#This Row],[м2 после К]]</f>
        <v>2409.0520000000001</v>
      </c>
      <c r="X213" s="10">
        <f>Д402[[#This Row],[м2 после К]]+Д402[[#This Row],[02.12.2024]]</f>
        <v>122861.652</v>
      </c>
      <c r="Y213" s="149">
        <v>1000</v>
      </c>
      <c r="Z213" s="10">
        <f>Д402[[#This Row],[Фикс 20.12.24]]+Д402[[#This Row],[23.12.24 СП +1000]]</f>
        <v>123861.652</v>
      </c>
      <c r="AA213" s="10"/>
      <c r="AB213" s="10">
        <f>Д402[[#This Row],[Фикс 23.12.24]]+Д402[[#This Row],[Повышение 20.02.25]]</f>
        <v>123861.652</v>
      </c>
      <c r="AC213" s="10"/>
      <c r="AD213" s="10">
        <f>Д402[[#This Row],[Фикс 20.02.25]]+Д402[[#This Row],[Повышение 24.02.2025]]</f>
        <v>123861.652</v>
      </c>
      <c r="AE213" s="10"/>
      <c r="AF213" s="10">
        <f>Д402[[#This Row],[Фикс 24.02.25]]+Д402[[#This Row],[Повышение 05.03.2025
1К: до 40м - 1,5%, 40+ 0,5%
2К - 0,5% ]]</f>
        <v>123861.652</v>
      </c>
      <c r="AG213" s="10"/>
      <c r="AH213" s="10">
        <f>Д402[[#This Row],[Фикс 05.03.25]]+Д402[[#This Row],[повышение 14.03.25 1К-1%]]</f>
        <v>123861.652</v>
      </c>
      <c r="AI213" s="10"/>
      <c r="AJ213" s="10">
        <f>Д402[[#This Row],[Фикс 14.03.25]]+Д402[[#This Row],[повышение 28.03.25 1К-1%]]</f>
        <v>123861.652</v>
      </c>
      <c r="AK213" s="10"/>
      <c r="AL213" s="10">
        <f>Д402[[#This Row],[Фикс 28.03.25]]+Д402[[#This Row],[Повышение 23.07.25
1К 43-46м2 - 2%
2К 55-58 - 2%; 58-64 - 3%
3К 76-79 - 2%
]]</f>
        <v>123861.652</v>
      </c>
      <c r="AM213" s="149">
        <f>ROUND(Д402[[#This Row],[Фикс 23.07.25]],2)</f>
        <v>123861.65</v>
      </c>
      <c r="AN213" s="149">
        <f>ROUNDUP(Д402[[#This Row],[утв цена м2]]*Д402[[#This Row],[Расчетная проектная площадь]],-2)</f>
        <v>5480900</v>
      </c>
      <c r="AO213" s="151"/>
      <c r="AP213" s="152"/>
      <c r="AQ213" s="151">
        <f>Д402[[#This Row],[Стоимость до скидки]]*Д402[[#This Row],[Скидка %]]+Д402[[#This Row],[Скидка фиксированная]]</f>
        <v>0</v>
      </c>
      <c r="AR213" s="3">
        <f>Д402[[#This Row],[Стоимость ОН без отделки со скидкой]]/Д402[[#This Row],[Расчетная проектная площадь]]</f>
        <v>123862.14689265536</v>
      </c>
      <c r="AS213" s="3">
        <f>Д402[[#This Row],[Стоимость до скидки]]-Д402[[#This Row],[Итоговая сумма скидки]]</f>
        <v>5480900</v>
      </c>
      <c r="AT21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3" s="153"/>
      <c r="AV213" s="153"/>
      <c r="AW213" s="3">
        <f>Д402[[#This Row],[Цена м2 без отделки со скидкой]]+Д402[[#This Row],[Стоимость отделки]]</f>
        <v>123862.14689265536</v>
      </c>
      <c r="AX213" s="3">
        <f>Д402[[#This Row],[Стоимость квартиры с отделкой]]-Д402[[#This Row],[Стоимость ОН без отделки со скидкой]]</f>
        <v>0</v>
      </c>
      <c r="AY213" s="3">
        <f>Д402[[#This Row],[Цена м2 с отделкой]]*Д402[[#This Row],[Расчетная проектная площадь]]</f>
        <v>5480900</v>
      </c>
      <c r="AZ213" s="161"/>
      <c r="BA213" s="277" t="s">
        <v>426</v>
      </c>
      <c r="BB213" s="269" t="str" cm="1">
        <f t="array" ref="BB21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13" s="161" t="s">
        <v>741</v>
      </c>
      <c r="BD213" s="161" t="s">
        <v>506</v>
      </c>
      <c r="BE213" s="161" t="s">
        <v>737</v>
      </c>
      <c r="BF213" s="161" t="s">
        <v>745</v>
      </c>
      <c r="BG213" s="161" t="b">
        <f>EXACT(Д402[[#This Row],[Статусы CRM]],Д402[[#This Row],[Статус]])</f>
        <v>1</v>
      </c>
      <c r="BH213" s="3">
        <f>IF(Д402[[#This Row],[ПС]]=0,IF(Д402[[#This Row],[ДС]]=0,Д402[[#This Row],[ТС]],Д402[[#This Row],[ДС]]),Д402[[#This Row],[ПС]])</f>
        <v>5480900</v>
      </c>
      <c r="BI213" s="3" t="s">
        <v>749</v>
      </c>
      <c r="BJ213" s="3">
        <v>0</v>
      </c>
      <c r="BK213" s="3">
        <v>5480900</v>
      </c>
      <c r="BL213" s="273">
        <f>Д402[[#This Row],[Стоимость CRM]]-Д402[[#This Row],[Стоимость до скидки]]</f>
        <v>0</v>
      </c>
      <c r="BM213" s="161" t="s">
        <v>9</v>
      </c>
      <c r="BN213" s="161" t="b">
        <f>Д402[[#This Row],[Отделка CRM]]=Д402[[#This Row],[Отделка]]</f>
        <v>1</v>
      </c>
      <c r="BO213" s="275" t="s">
        <v>345</v>
      </c>
      <c r="BP213" s="69"/>
    </row>
    <row r="214" spans="1:68" ht="12" customHeight="1" x14ac:dyDescent="0.25">
      <c r="A214" s="140">
        <v>212</v>
      </c>
      <c r="B214" s="15">
        <v>3</v>
      </c>
      <c r="C214" s="141">
        <f t="shared" si="7"/>
        <v>7</v>
      </c>
      <c r="D214" s="142">
        <v>2</v>
      </c>
      <c r="E214" s="141">
        <v>1</v>
      </c>
      <c r="F214" s="143">
        <v>12.76</v>
      </c>
      <c r="G214" s="143"/>
      <c r="H214" s="143"/>
      <c r="I214" s="144">
        <f>SUM(Д402[[#This Row],[Комната 1]:[Комната 3]])</f>
        <v>12.76</v>
      </c>
      <c r="J214" s="145">
        <v>15.1</v>
      </c>
      <c r="K214" s="145">
        <v>4.22</v>
      </c>
      <c r="L214" s="145"/>
      <c r="M214" s="145">
        <v>3.09</v>
      </c>
      <c r="N214" s="145"/>
      <c r="O214" s="145">
        <v>2.93</v>
      </c>
      <c r="P214" s="146"/>
      <c r="Q214" s="146"/>
      <c r="R214" s="146">
        <f>SUM(Д402[[#This Row],[Лоджия 1]:[Лоджия 3]])</f>
        <v>2.93</v>
      </c>
      <c r="S214" s="10">
        <f>ROUND(SUM(Д402[[#This Row],[Площадь по проекту жилая]:[Лоджия 3]]),2)</f>
        <v>38.1</v>
      </c>
      <c r="T214" s="10">
        <f>ROUND(Д402[[#This Row],[Площадь по проекту(общая)]]-Д402[[#This Row],[Летние]],2)</f>
        <v>35.17</v>
      </c>
      <c r="U214" s="10">
        <f>ROUND(Д402[[#This Row],[Площадь по проекту(общая)]]-(SUM(Д402[[#This Row],[Лоджия 1]:[Лоджия 3]])/2),2)</f>
        <v>36.64</v>
      </c>
      <c r="V214" s="10">
        <f>VLOOKUP(Д402[[#This Row],[№]],наценка7[],COLUMN(наценка7[[#This Row],[Цена м2 с учетом всех K]]),0)</f>
        <v>126415.6</v>
      </c>
      <c r="W214" s="159">
        <f>2%*Д402[[#This Row],[м2 после К]]</f>
        <v>2528.3120000000004</v>
      </c>
      <c r="X214" s="10">
        <f>Д402[[#This Row],[м2 после К]]+Д402[[#This Row],[02.12.2024]]</f>
        <v>128943.91200000001</v>
      </c>
      <c r="Y214" s="149">
        <v>1000</v>
      </c>
      <c r="Z214" s="10">
        <f>Д402[[#This Row],[Фикс 20.12.24]]+Д402[[#This Row],[23.12.24 СП +1000]]</f>
        <v>129943.91200000001</v>
      </c>
      <c r="AA214" s="149">
        <v>215</v>
      </c>
      <c r="AB214" s="10">
        <f>Д402[[#This Row],[Фикс 23.12.24]]+Д402[[#This Row],[Повышение 20.02.25]]</f>
        <v>130158.91200000001</v>
      </c>
      <c r="AC214" s="149">
        <v>17.5</v>
      </c>
      <c r="AD214" s="10">
        <f>Д402[[#This Row],[Фикс 20.02.25]]+Д402[[#This Row],[Повышение 24.02.2025]]</f>
        <v>130176.41200000001</v>
      </c>
      <c r="AE214" s="149">
        <f>Д402[[#This Row],[Фикс 24.02.25]]*1.5%</f>
        <v>1952.6461800000002</v>
      </c>
      <c r="AF214" s="10">
        <f>Д402[[#This Row],[Фикс 24.02.25]]+Д402[[#This Row],[Повышение 05.03.2025
1К: до 40м - 1,5%, 40+ 0,5%
2К - 0,5% ]]</f>
        <v>132129.05818000002</v>
      </c>
      <c r="AG214" s="149">
        <f>Д402[[#This Row],[Фикс 05.03.25]]*1%</f>
        <v>1321.2905818000002</v>
      </c>
      <c r="AH214" s="10">
        <f>Д402[[#This Row],[Фикс 05.03.25]]+Д402[[#This Row],[повышение 14.03.25 1К-1%]]</f>
        <v>133450.34876180004</v>
      </c>
      <c r="AI214" s="10"/>
      <c r="AJ214" s="10">
        <f>Д402[[#This Row],[Фикс 14.03.25]]+Д402[[#This Row],[повышение 28.03.25 1К-1%]]</f>
        <v>133450.34876180004</v>
      </c>
      <c r="AK214" s="10"/>
      <c r="AL214" s="10">
        <f>Д402[[#This Row],[Фикс 28.03.25]]+Д402[[#This Row],[Повышение 23.07.25
1К 43-46м2 - 2%
2К 55-58 - 2%; 58-64 - 3%
3К 76-79 - 2%
]]</f>
        <v>133450.34876180004</v>
      </c>
      <c r="AM214" s="149">
        <f>ROUND(Д402[[#This Row],[Фикс 23.07.25]],2)</f>
        <v>133450.35</v>
      </c>
      <c r="AN214" s="149">
        <f>ROUNDUP(Д402[[#This Row],[утв цена м2]]*Д402[[#This Row],[Расчетная проектная площадь]],-2)</f>
        <v>4889700</v>
      </c>
      <c r="AO214" s="151"/>
      <c r="AP214" s="152"/>
      <c r="AQ214" s="151">
        <f>Д402[[#This Row],[Стоимость до скидки]]*Д402[[#This Row],[Скидка %]]+Д402[[#This Row],[Скидка фиксированная]]</f>
        <v>0</v>
      </c>
      <c r="AR214" s="3">
        <f>Д402[[#This Row],[Стоимость ОН без отделки со скидкой]]/Д402[[#This Row],[Расчетная проектная площадь]]</f>
        <v>133452.51091703057</v>
      </c>
      <c r="AS214" s="3">
        <f>Д402[[#This Row],[Стоимость до скидки]]-Д402[[#This Row],[Итоговая сумма скидки]]</f>
        <v>4889700</v>
      </c>
      <c r="AT21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4" s="153"/>
      <c r="AV214" s="153"/>
      <c r="AW214" s="3">
        <f>Д402[[#This Row],[Цена м2 без отделки со скидкой]]+Д402[[#This Row],[Стоимость отделки]]</f>
        <v>133452.51091703057</v>
      </c>
      <c r="AX214" s="3">
        <f>Д402[[#This Row],[Стоимость квартиры с отделкой]]-Д402[[#This Row],[Стоимость ОН без отделки со скидкой]]</f>
        <v>0</v>
      </c>
      <c r="AY214" s="3">
        <f>Д402[[#This Row],[Цена м2 с отделкой]]*Д402[[#This Row],[Расчетная проектная площадь]]</f>
        <v>4889700</v>
      </c>
      <c r="AZ214" s="161"/>
      <c r="BA214" s="277" t="s">
        <v>426</v>
      </c>
      <c r="BB214" s="269" t="str" cm="1">
        <f t="array" ref="BB21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14" s="161" t="s">
        <v>741</v>
      </c>
      <c r="BD214" s="161" t="s">
        <v>506</v>
      </c>
      <c r="BE214" s="161" t="s">
        <v>737</v>
      </c>
      <c r="BF214" s="161" t="s">
        <v>745</v>
      </c>
      <c r="BG214" s="161" t="b">
        <f>EXACT(Д402[[#This Row],[Статусы CRM]],Д402[[#This Row],[Статус]])</f>
        <v>1</v>
      </c>
      <c r="BH214" s="3">
        <f>IF(Д402[[#This Row],[ПС]]=0,IF(Д402[[#This Row],[ДС]]=0,Д402[[#This Row],[ТС]],Д402[[#This Row],[ДС]]),Д402[[#This Row],[ПС]])</f>
        <v>4889700</v>
      </c>
      <c r="BI214" s="3" t="s">
        <v>749</v>
      </c>
      <c r="BJ214" s="3">
        <v>4889700</v>
      </c>
      <c r="BK214" s="3">
        <v>4889700</v>
      </c>
      <c r="BL214" s="273">
        <f>Д402[[#This Row],[Стоимость CRM]]-Д402[[#This Row],[Стоимость до скидки]]</f>
        <v>0</v>
      </c>
      <c r="BM214" s="161" t="s">
        <v>9</v>
      </c>
      <c r="BN214" s="161" t="b">
        <f>Д402[[#This Row],[Отделка CRM]]=Д402[[#This Row],[Отделка]]</f>
        <v>1</v>
      </c>
      <c r="BO214" s="275" t="s">
        <v>346</v>
      </c>
      <c r="BP214" s="69"/>
    </row>
    <row r="215" spans="1:68" ht="12" customHeight="1" x14ac:dyDescent="0.25">
      <c r="A215" s="140">
        <v>213</v>
      </c>
      <c r="B215" s="15">
        <v>3</v>
      </c>
      <c r="C215" s="141">
        <f t="shared" si="7"/>
        <v>7</v>
      </c>
      <c r="D215" s="142">
        <v>3</v>
      </c>
      <c r="E215" s="141">
        <v>2</v>
      </c>
      <c r="F215" s="143">
        <v>15.36</v>
      </c>
      <c r="G215" s="143">
        <v>11.95</v>
      </c>
      <c r="H215" s="143"/>
      <c r="I215" s="144">
        <f>SUM(Д402[[#This Row],[Комната 1]:[Комната 3]])</f>
        <v>27.31</v>
      </c>
      <c r="J215" s="145">
        <v>14.7</v>
      </c>
      <c r="K215" s="145">
        <v>4.21</v>
      </c>
      <c r="L215" s="145"/>
      <c r="M215" s="145">
        <v>6.6</v>
      </c>
      <c r="N215" s="145"/>
      <c r="O215" s="145">
        <v>3.23</v>
      </c>
      <c r="P215" s="146"/>
      <c r="Q215" s="146"/>
      <c r="R215" s="146">
        <f>SUM(Д402[[#This Row],[Лоджия 1]:[Лоджия 3]])</f>
        <v>3.23</v>
      </c>
      <c r="S215" s="10">
        <f>ROUND(SUM(Д402[[#This Row],[Площадь по проекту жилая]:[Лоджия 3]]),2)</f>
        <v>56.05</v>
      </c>
      <c r="T215" s="10">
        <f>ROUND(Д402[[#This Row],[Площадь по проекту(общая)]]-Д402[[#This Row],[Летние]],2)</f>
        <v>52.82</v>
      </c>
      <c r="U215" s="10">
        <f>ROUND(Д402[[#This Row],[Площадь по проекту(общая)]]-(SUM(Д402[[#This Row],[Лоджия 1]:[Лоджия 3]])/2),2)</f>
        <v>54.44</v>
      </c>
      <c r="V215" s="10">
        <f>VLOOKUP(Д402[[#This Row],[№]],наценка7[],COLUMN(наценка7[[#This Row],[Цена м2 с учетом всех K]]),0)</f>
        <v>117551.2</v>
      </c>
      <c r="W215" s="162">
        <f>0.021*Д402[[#This Row],[м2 после К]]</f>
        <v>2468.5752000000002</v>
      </c>
      <c r="X215" s="10">
        <f>Д402[[#This Row],[м2 после К]]+Д402[[#This Row],[02.12.2024]]</f>
        <v>120019.7752</v>
      </c>
      <c r="Y215" s="149">
        <v>1000</v>
      </c>
      <c r="Z215" s="10">
        <f>Д402[[#This Row],[Фикс 20.12.24]]+Д402[[#This Row],[23.12.24 СП +1000]]</f>
        <v>121019.7752</v>
      </c>
      <c r="AA215" s="10"/>
      <c r="AB215" s="10">
        <f>Д402[[#This Row],[Фикс 23.12.24]]+Д402[[#This Row],[Повышение 20.02.25]]</f>
        <v>121019.7752</v>
      </c>
      <c r="AC215" s="10"/>
      <c r="AD215" s="10">
        <f>Д402[[#This Row],[Фикс 20.02.25]]+Д402[[#This Row],[Повышение 24.02.2025]]</f>
        <v>121019.7752</v>
      </c>
      <c r="AE215" s="10"/>
      <c r="AF215" s="10">
        <f>Д402[[#This Row],[Фикс 24.02.25]]+Д402[[#This Row],[Повышение 05.03.2025
1К: до 40м - 1,5%, 40+ 0,5%
2К - 0,5% ]]</f>
        <v>121019.7752</v>
      </c>
      <c r="AG215" s="10"/>
      <c r="AH215" s="10">
        <f>Д402[[#This Row],[Фикс 05.03.25]]+Д402[[#This Row],[повышение 14.03.25 1К-1%]]</f>
        <v>121019.7752</v>
      </c>
      <c r="AI215" s="10"/>
      <c r="AJ215" s="10">
        <f>Д402[[#This Row],[Фикс 14.03.25]]+Д402[[#This Row],[повышение 28.03.25 1К-1%]]</f>
        <v>121019.7752</v>
      </c>
      <c r="AK215" s="10"/>
      <c r="AL215" s="10">
        <f>Д402[[#This Row],[Фикс 28.03.25]]+Д402[[#This Row],[Повышение 23.07.25
1К 43-46м2 - 2%
2К 55-58 - 2%; 58-64 - 3%
3К 76-79 - 2%
]]</f>
        <v>121019.7752</v>
      </c>
      <c r="AM215" s="149">
        <f>ROUND(Д402[[#This Row],[Фикс 23.07.25]],2)</f>
        <v>121019.78</v>
      </c>
      <c r="AN215" s="149">
        <f>ROUNDUP(Д402[[#This Row],[утв цена м2]]*Д402[[#This Row],[Расчетная проектная площадь]],-2)</f>
        <v>6588400</v>
      </c>
      <c r="AO215" s="151"/>
      <c r="AP215" s="152">
        <v>0.03</v>
      </c>
      <c r="AQ215" s="151">
        <f>Д402[[#This Row],[Стоимость до скидки]]*Д402[[#This Row],[Скидка %]]+Д402[[#This Row],[Скидка фиксированная]]</f>
        <v>197652</v>
      </c>
      <c r="AR215" s="3">
        <f>Д402[[#This Row],[Стоимость ОН без отделки со скидкой]]/Д402[[#This Row],[Расчетная проектная площадь]]</f>
        <v>117390.66862601029</v>
      </c>
      <c r="AS215" s="3">
        <f>Д402[[#This Row],[Стоимость до скидки]]-Д402[[#This Row],[Итоговая сумма скидки]]</f>
        <v>6390748</v>
      </c>
      <c r="AT21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5" s="153"/>
      <c r="AV215" s="153"/>
      <c r="AW215" s="3">
        <f>Д402[[#This Row],[Цена м2 без отделки со скидкой]]+Д402[[#This Row],[Стоимость отделки]]</f>
        <v>117390.66862601029</v>
      </c>
      <c r="AX215" s="3">
        <f>Д402[[#This Row],[Стоимость квартиры с отделкой]]-Д402[[#This Row],[Стоимость ОН без отделки со скидкой]]</f>
        <v>0</v>
      </c>
      <c r="AY215" s="3">
        <f>Д402[[#This Row],[Цена м2 с отделкой]]*Д402[[#This Row],[Расчетная проектная площадь]]</f>
        <v>6390748</v>
      </c>
      <c r="AZ215" s="161" t="s">
        <v>435</v>
      </c>
      <c r="BA215" s="269" t="s">
        <v>426</v>
      </c>
      <c r="BB215" s="269" t="str" cm="1">
        <f t="array" ref="BB21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15" s="161" t="s">
        <v>741</v>
      </c>
      <c r="BD215" s="161" t="s">
        <v>506</v>
      </c>
      <c r="BE215" s="161" t="s">
        <v>737</v>
      </c>
      <c r="BF215" s="161" t="s">
        <v>744</v>
      </c>
      <c r="BG215" s="161" t="b">
        <f>EXACT(Д402[[#This Row],[Статусы CRM]],Д402[[#This Row],[Статус]])</f>
        <v>1</v>
      </c>
      <c r="BH215" s="3">
        <f>IF(Д402[[#This Row],[ПС]]=0,IF(Д402[[#This Row],[ДС]]=0,Д402[[#This Row],[ТС]],Д402[[#This Row],[ДС]]),Д402[[#This Row],[ПС]])</f>
        <v>6588400</v>
      </c>
      <c r="BI215" s="3" t="s">
        <v>749</v>
      </c>
      <c r="BJ215" s="3">
        <v>0</v>
      </c>
      <c r="BK215" s="3">
        <v>6588400</v>
      </c>
      <c r="BL215" s="273">
        <f>Д402[[#This Row],[Стоимость CRM]]-Д402[[#This Row],[Стоимость до скидки]]</f>
        <v>0</v>
      </c>
      <c r="BM215" s="161" t="s">
        <v>9</v>
      </c>
      <c r="BN215" s="161" t="b">
        <f>Д402[[#This Row],[Отделка CRM]]=Д402[[#This Row],[Отделка]]</f>
        <v>1</v>
      </c>
      <c r="BO215" s="275" t="s">
        <v>347</v>
      </c>
      <c r="BP215" s="69"/>
    </row>
    <row r="216" spans="1:68" ht="12" customHeight="1" x14ac:dyDescent="0.25">
      <c r="A216" s="140">
        <v>214</v>
      </c>
      <c r="B216" s="175">
        <v>3</v>
      </c>
      <c r="C216" s="141">
        <f t="shared" si="7"/>
        <v>7</v>
      </c>
      <c r="D216" s="142">
        <v>4</v>
      </c>
      <c r="E216" s="141">
        <v>1</v>
      </c>
      <c r="F216" s="143">
        <v>14.28</v>
      </c>
      <c r="G216" s="143"/>
      <c r="H216" s="143"/>
      <c r="I216" s="144">
        <f>SUM(Д402[[#This Row],[Комната 1]:[Комната 3]])</f>
        <v>14.28</v>
      </c>
      <c r="J216" s="145">
        <v>13.99</v>
      </c>
      <c r="K216" s="145">
        <v>3.9</v>
      </c>
      <c r="L216" s="145"/>
      <c r="M216" s="145">
        <v>2.6</v>
      </c>
      <c r="N216" s="145"/>
      <c r="O216" s="145">
        <v>3.23</v>
      </c>
      <c r="P216" s="146"/>
      <c r="Q216" s="146"/>
      <c r="R216" s="146">
        <f>SUM(Д402[[#This Row],[Лоджия 1]:[Лоджия 3]])</f>
        <v>3.23</v>
      </c>
      <c r="S216" s="10">
        <f>ROUND(SUM(Д402[[#This Row],[Площадь по проекту жилая]:[Лоджия 3]]),2)</f>
        <v>38</v>
      </c>
      <c r="T216" s="10">
        <f>ROUND(Д402[[#This Row],[Площадь по проекту(общая)]]-Д402[[#This Row],[Летние]],2)</f>
        <v>34.770000000000003</v>
      </c>
      <c r="U216" s="10">
        <f>ROUND(Д402[[#This Row],[Площадь по проекту(общая)]]-(SUM(Д402[[#This Row],[Лоджия 1]:[Лоджия 3]])/2),2)</f>
        <v>36.39</v>
      </c>
      <c r="V216" s="10">
        <f>VLOOKUP(Д402[[#This Row],[№]],наценка7[],COLUMN(наценка7[[#This Row],[Цена м2 с учетом всех K]]),0)</f>
        <v>122837.8</v>
      </c>
      <c r="W216" s="162"/>
      <c r="X216" s="10">
        <f>Д402[[#This Row],[м2 после К]]+Д402[[#This Row],[02.12.2024]]</f>
        <v>122837.8</v>
      </c>
      <c r="Y216" s="149">
        <v>1000</v>
      </c>
      <c r="Z216" s="10">
        <f>Д402[[#This Row],[Фикс 20.12.24]]+Д402[[#This Row],[23.12.24 СП +1000]]</f>
        <v>123837.8</v>
      </c>
      <c r="AA216" s="149">
        <v>215</v>
      </c>
      <c r="AB216" s="10">
        <f>Д402[[#This Row],[Фикс 23.12.24]]+Д402[[#This Row],[Повышение 20.02.25]]</f>
        <v>124052.8</v>
      </c>
      <c r="AC216" s="149">
        <v>17.5</v>
      </c>
      <c r="AD216" s="10">
        <f>Д402[[#This Row],[Фикс 20.02.25]]+Д402[[#This Row],[Повышение 24.02.2025]]</f>
        <v>124070.3</v>
      </c>
      <c r="AE216" s="149">
        <f>Д402[[#This Row],[Фикс 24.02.25]]*1.5%</f>
        <v>1861.0545</v>
      </c>
      <c r="AF216" s="10">
        <f>Д402[[#This Row],[Фикс 24.02.25]]+Д402[[#This Row],[Повышение 05.03.2025
1К: до 40м - 1,5%, 40+ 0,5%
2К - 0,5% ]]</f>
        <v>125931.3545</v>
      </c>
      <c r="AG216" s="149">
        <f>Д402[[#This Row],[Фикс 05.03.25]]*1%</f>
        <v>1259.313545</v>
      </c>
      <c r="AH216" s="10">
        <f>Д402[[#This Row],[Фикс 05.03.25]]+Д402[[#This Row],[повышение 14.03.25 1К-1%]]</f>
        <v>127190.668045</v>
      </c>
      <c r="AI216" s="149">
        <f>Д402[[#This Row],[Фикс 14.03.25]]*1%</f>
        <v>1271.9066804500001</v>
      </c>
      <c r="AJ216" s="10">
        <f>Д402[[#This Row],[Фикс 14.03.25]]+Д402[[#This Row],[повышение 28.03.25 1К-1%]]</f>
        <v>128462.57472545</v>
      </c>
      <c r="AK216" s="10"/>
      <c r="AL216" s="10">
        <f>Д402[[#This Row],[Фикс 28.03.25]]+Д402[[#This Row],[Повышение 23.07.25
1К 43-46м2 - 2%
2К 55-58 - 2%; 58-64 - 3%
3К 76-79 - 2%
]]</f>
        <v>128462.57472545</v>
      </c>
      <c r="AM216" s="149">
        <f>ROUND(Д402[[#This Row],[Фикс 23.07.25]],2)</f>
        <v>128462.57</v>
      </c>
      <c r="AN216" s="149">
        <f>ROUNDUP(Д402[[#This Row],[утв цена м2]]*Д402[[#This Row],[Расчетная проектная площадь]],-2)</f>
        <v>4674800</v>
      </c>
      <c r="AO216" s="151"/>
      <c r="AP216" s="152">
        <v>0.03</v>
      </c>
      <c r="AQ216" s="151">
        <f>Д402[[#This Row],[Стоимость до скидки]]*Д402[[#This Row],[Скидка %]]+Д402[[#This Row],[Скидка фиксированная]]</f>
        <v>140244</v>
      </c>
      <c r="AR216" s="3">
        <f>Д402[[#This Row],[Стоимость ОН без отделки со скидкой]]/Д402[[#This Row],[Расчетная проектная площадь]]</f>
        <v>124609.9477878538</v>
      </c>
      <c r="AS216" s="3">
        <f>Д402[[#This Row],[Стоимость до скидки]]-Д402[[#This Row],[Итоговая сумма скидки]]</f>
        <v>4534556</v>
      </c>
      <c r="AT21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6" s="153"/>
      <c r="AV216" s="153"/>
      <c r="AW216" s="3">
        <f>Д402[[#This Row],[Цена м2 без отделки со скидкой]]+Д402[[#This Row],[Стоимость отделки]]</f>
        <v>124609.9477878538</v>
      </c>
      <c r="AX216" s="3">
        <f>Д402[[#This Row],[Стоимость квартиры с отделкой]]-Д402[[#This Row],[Стоимость ОН без отделки со скидкой]]</f>
        <v>0</v>
      </c>
      <c r="AY216" s="3">
        <f>Д402[[#This Row],[Цена м2 с отделкой]]*Д402[[#This Row],[Расчетная проектная площадь]]</f>
        <v>4534556</v>
      </c>
      <c r="AZ216" s="161" t="s">
        <v>133</v>
      </c>
      <c r="BA216" s="269" t="s">
        <v>426</v>
      </c>
      <c r="BB216" s="298" t="str" cm="1">
        <f t="array" ref="BB21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16" s="161" t="s">
        <v>741</v>
      </c>
      <c r="BD216" s="161" t="s">
        <v>506</v>
      </c>
      <c r="BE216" s="161" t="s">
        <v>737</v>
      </c>
      <c r="BF216" s="161" t="s">
        <v>746</v>
      </c>
      <c r="BG216" s="161" t="b">
        <f>EXACT(Д402[[#This Row],[Статусы CRM]],Д402[[#This Row],[Статус]])</f>
        <v>1</v>
      </c>
      <c r="BH216" s="3">
        <f>IF(Д402[[#This Row],[ПС]]=0,IF(Д402[[#This Row],[ДС]]=0,Д402[[#This Row],[ТС]],Д402[[#This Row],[ДС]]),Д402[[#This Row],[ПС]])</f>
        <v>4674800</v>
      </c>
      <c r="BI216" s="3" t="s">
        <v>749</v>
      </c>
      <c r="BJ216" s="3">
        <v>0</v>
      </c>
      <c r="BK216" s="3">
        <v>4674800</v>
      </c>
      <c r="BL216" s="273">
        <f>Д402[[#This Row],[Стоимость CRM]]-Д402[[#This Row],[Стоимость до скидки]]</f>
        <v>0</v>
      </c>
      <c r="BM216" s="161" t="s">
        <v>9</v>
      </c>
      <c r="BN216" s="161" t="b">
        <f>Д402[[#This Row],[Отделка CRM]]=Д402[[#This Row],[Отделка]]</f>
        <v>1</v>
      </c>
      <c r="BO216" s="275" t="s">
        <v>348</v>
      </c>
      <c r="BP216" s="69"/>
    </row>
    <row r="217" spans="1:68" ht="12" customHeight="1" x14ac:dyDescent="0.25">
      <c r="A217" s="140">
        <v>215</v>
      </c>
      <c r="B217" s="15">
        <v>3</v>
      </c>
      <c r="C217" s="141">
        <f t="shared" si="7"/>
        <v>7</v>
      </c>
      <c r="D217" s="142">
        <v>5</v>
      </c>
      <c r="E217" s="141">
        <v>3</v>
      </c>
      <c r="F217" s="143">
        <v>18.350000000000001</v>
      </c>
      <c r="G217" s="143">
        <v>15.96</v>
      </c>
      <c r="H217" s="143">
        <v>11.55</v>
      </c>
      <c r="I217" s="144">
        <f>SUM(Д402[[#This Row],[Комната 1]:[Комната 3]])</f>
        <v>45.86</v>
      </c>
      <c r="J217" s="145">
        <v>11.42</v>
      </c>
      <c r="K217" s="145">
        <v>3.9</v>
      </c>
      <c r="L217" s="145">
        <v>4.37</v>
      </c>
      <c r="M217" s="145">
        <v>11.06</v>
      </c>
      <c r="N217" s="145"/>
      <c r="O217" s="145">
        <v>3.1</v>
      </c>
      <c r="P217" s="146"/>
      <c r="Q217" s="146"/>
      <c r="R217" s="146">
        <f>SUM(Д402[[#This Row],[Лоджия 1]:[Лоджия 3]])</f>
        <v>3.1</v>
      </c>
      <c r="S217" s="10">
        <f>ROUND(SUM(Д402[[#This Row],[Площадь по проекту жилая]:[Лоджия 3]]),2)</f>
        <v>79.709999999999994</v>
      </c>
      <c r="T217" s="10">
        <f>ROUND(Д402[[#This Row],[Площадь по проекту(общая)]]-Д402[[#This Row],[Летние]],2)</f>
        <v>76.61</v>
      </c>
      <c r="U217" s="10">
        <f>ROUND(Д402[[#This Row],[Площадь по проекту(общая)]]-(SUM(Д402[[#This Row],[Лоджия 1]:[Лоджия 3]])/2),2)</f>
        <v>78.16</v>
      </c>
      <c r="V217" s="10">
        <f>VLOOKUP(Д402[[#This Row],[№]],наценка7[],COLUMN(наценка7[[#This Row],[Цена м2 с учетом всех K]]),0)</f>
        <v>108402</v>
      </c>
      <c r="W217" s="162"/>
      <c r="X217" s="10">
        <f>Д402[[#This Row],[м2 после К]]+Д402[[#This Row],[02.12.2024]]</f>
        <v>108402</v>
      </c>
      <c r="Y217" s="149">
        <v>1000</v>
      </c>
      <c r="Z217" s="10">
        <f>Д402[[#This Row],[Фикс 20.12.24]]+Д402[[#This Row],[23.12.24 СП +1000]]</f>
        <v>109402</v>
      </c>
      <c r="AA217" s="149">
        <v>215</v>
      </c>
      <c r="AB217" s="10">
        <f>Д402[[#This Row],[Фикс 23.12.24]]+Д402[[#This Row],[Повышение 20.02.25]]</f>
        <v>109617</v>
      </c>
      <c r="AC217" s="149">
        <v>17.5</v>
      </c>
      <c r="AD217" s="10">
        <f>Д402[[#This Row],[Фикс 20.02.25]]+Д402[[#This Row],[Повышение 24.02.2025]]</f>
        <v>109634.5</v>
      </c>
      <c r="AE217" s="10"/>
      <c r="AF217" s="10">
        <f>Д402[[#This Row],[Фикс 24.02.25]]+Д402[[#This Row],[Повышение 05.03.2025
1К: до 40м - 1,5%, 40+ 0,5%
2К - 0,5% ]]</f>
        <v>109634.5</v>
      </c>
      <c r="AG217" s="10"/>
      <c r="AH217" s="10">
        <f>Д402[[#This Row],[Фикс 05.03.25]]+Д402[[#This Row],[повышение 14.03.25 1К-1%]]</f>
        <v>109634.5</v>
      </c>
      <c r="AI217" s="10"/>
      <c r="AJ217" s="10">
        <f>Д402[[#This Row],[Фикс 14.03.25]]+Д402[[#This Row],[повышение 28.03.25 1К-1%]]</f>
        <v>109634.5</v>
      </c>
      <c r="AK217" s="10">
        <f>Д402[[#This Row],[Фикс 28.03.25]]*2%</f>
        <v>2192.69</v>
      </c>
      <c r="AL217" s="10">
        <f>Д402[[#This Row],[Фикс 28.03.25]]+Д402[[#This Row],[Повышение 23.07.25
1К 43-46м2 - 2%
2К 55-58 - 2%; 58-64 - 3%
3К 76-79 - 2%
]]</f>
        <v>111827.19</v>
      </c>
      <c r="AM217" s="149">
        <f>ROUND(Д402[[#This Row],[Фикс 23.07.25]],2)</f>
        <v>111827.19</v>
      </c>
      <c r="AN217" s="149">
        <f>ROUNDUP(Д402[[#This Row],[утв цена м2]]*Д402[[#This Row],[Расчетная проектная площадь]],-2)</f>
        <v>8740500</v>
      </c>
      <c r="AO217" s="151"/>
      <c r="AP217" s="152"/>
      <c r="AQ217" s="151">
        <f>Д402[[#This Row],[Стоимость до скидки]]*Д402[[#This Row],[Скидка %]]+Д402[[#This Row],[Скидка фиксированная]]</f>
        <v>0</v>
      </c>
      <c r="AR217" s="3">
        <f>Д402[[#This Row],[Стоимость ОН без отделки со скидкой]]/Д402[[#This Row],[Расчетная проектная площадь]]</f>
        <v>111828.30092118731</v>
      </c>
      <c r="AS217" s="3">
        <f>Д402[[#This Row],[Стоимость до скидки]]-Д402[[#This Row],[Итоговая сумма скидки]]</f>
        <v>8740500</v>
      </c>
      <c r="AT21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7" s="153"/>
      <c r="AV217" s="153"/>
      <c r="AW217" s="3">
        <f>Д402[[#This Row],[Цена м2 без отделки со скидкой]]+Д402[[#This Row],[Стоимость отделки]]</f>
        <v>111828.30092118731</v>
      </c>
      <c r="AX217" s="3">
        <f>Д402[[#This Row],[Стоимость квартиры с отделкой]]-Д402[[#This Row],[Стоимость ОН без отделки со скидкой]]</f>
        <v>0</v>
      </c>
      <c r="AY217" s="3">
        <f>Д402[[#This Row],[Цена м2 с отделкой]]*Д402[[#This Row],[Расчетная проектная площадь]]</f>
        <v>8740500</v>
      </c>
      <c r="AZ217" s="161"/>
      <c r="BA217" s="269" t="s">
        <v>128</v>
      </c>
      <c r="BB217" s="156" t="str" cm="1">
        <f t="array" ref="BB21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17" s="161" t="s">
        <v>740</v>
      </c>
      <c r="BD217" s="161" t="s">
        <v>506</v>
      </c>
      <c r="BE217" s="161" t="s">
        <v>737</v>
      </c>
      <c r="BF217" s="161" t="s">
        <v>748</v>
      </c>
      <c r="BG217" s="161" t="b">
        <f>EXACT(Д402[[#This Row],[Статусы CRM]],Д402[[#This Row],[Статус]])</f>
        <v>1</v>
      </c>
      <c r="BH217" s="3">
        <f>IF(Д402[[#This Row],[ПС]]=0,IF(Д402[[#This Row],[ДС]]=0,Д402[[#This Row],[ТС]],Д402[[#This Row],[ДС]]),Д402[[#This Row],[ПС]])</f>
        <v>8740500</v>
      </c>
      <c r="BI217" s="3">
        <v>8740500</v>
      </c>
      <c r="BJ217" s="3">
        <v>0</v>
      </c>
      <c r="BK217" s="3">
        <v>0</v>
      </c>
      <c r="BL217" s="273">
        <f>Д402[[#This Row],[Стоимость CRM]]-Д402[[#This Row],[Стоимость до скидки]]</f>
        <v>0</v>
      </c>
      <c r="BM217" s="161" t="s">
        <v>9</v>
      </c>
      <c r="BN217" s="161" t="b">
        <f>Д402[[#This Row],[Отделка CRM]]=Д402[[#This Row],[Отделка]]</f>
        <v>1</v>
      </c>
      <c r="BO217" s="275" t="s">
        <v>349</v>
      </c>
      <c r="BP217" s="69"/>
    </row>
    <row r="218" spans="1:68" ht="12" customHeight="1" x14ac:dyDescent="0.25">
      <c r="A218" s="140">
        <v>216</v>
      </c>
      <c r="B218" s="15">
        <v>3</v>
      </c>
      <c r="C218" s="141">
        <f t="shared" si="7"/>
        <v>7</v>
      </c>
      <c r="D218" s="142">
        <v>6</v>
      </c>
      <c r="E218" s="141">
        <v>0</v>
      </c>
      <c r="F218" s="143">
        <v>16.25</v>
      </c>
      <c r="G218" s="143"/>
      <c r="H218" s="143"/>
      <c r="I218" s="144">
        <f>SUM(Д402[[#This Row],[Комната 1]:[Комната 3]])</f>
        <v>16.25</v>
      </c>
      <c r="J218" s="145">
        <v>5</v>
      </c>
      <c r="K218" s="145">
        <v>4.2699999999999996</v>
      </c>
      <c r="L218" s="145"/>
      <c r="M218" s="145">
        <v>4.21</v>
      </c>
      <c r="N218" s="145"/>
      <c r="O218" s="145"/>
      <c r="P218" s="146"/>
      <c r="Q218" s="146"/>
      <c r="R218" s="146">
        <f>SUM(Д402[[#This Row],[Лоджия 1]:[Лоджия 3]])</f>
        <v>0</v>
      </c>
      <c r="S218" s="10">
        <f>ROUND(SUM(Д402[[#This Row],[Площадь по проекту жилая]:[Лоджия 3]]),2)</f>
        <v>29.73</v>
      </c>
      <c r="T218" s="10">
        <f>ROUND(Д402[[#This Row],[Площадь по проекту(общая)]]-Д402[[#This Row],[Летние]],2)</f>
        <v>29.73</v>
      </c>
      <c r="U218" s="10">
        <f>ROUND(Д402[[#This Row],[Площадь по проекту(общая)]]-(SUM(Д402[[#This Row],[Лоджия 1]:[Лоджия 3]])/2),2)</f>
        <v>29.73</v>
      </c>
      <c r="V218" s="10">
        <f>VLOOKUP(Д402[[#This Row],[№]],наценка7[],COLUMN(наценка7[[#This Row],[Цена м2 с учетом всех K]]),0)</f>
        <v>139730</v>
      </c>
      <c r="W218" s="162"/>
      <c r="X218" s="10">
        <f>Д402[[#This Row],[м2 после К]]+Д402[[#This Row],[02.12.2024]]</f>
        <v>139730</v>
      </c>
      <c r="Y218" s="149">
        <v>1000</v>
      </c>
      <c r="Z218" s="10">
        <f>Д402[[#This Row],[Фикс 20.12.24]]+Д402[[#This Row],[23.12.24 СП +1000]]</f>
        <v>140730</v>
      </c>
      <c r="AA218" s="149">
        <v>215</v>
      </c>
      <c r="AB218" s="10">
        <f>Д402[[#This Row],[Фикс 23.12.24]]+Д402[[#This Row],[Повышение 20.02.25]]</f>
        <v>140945</v>
      </c>
      <c r="AC218" s="149">
        <v>17.5</v>
      </c>
      <c r="AD218" s="10">
        <f>Д402[[#This Row],[Фикс 20.02.25]]+Д402[[#This Row],[Повышение 24.02.2025]]</f>
        <v>140962.5</v>
      </c>
      <c r="AE218" s="10"/>
      <c r="AF218" s="10">
        <f>Д402[[#This Row],[Фикс 24.02.25]]+Д402[[#This Row],[Повышение 05.03.2025
1К: до 40м - 1,5%, 40+ 0,5%
2К - 0,5% ]]</f>
        <v>140962.5</v>
      </c>
      <c r="AG218" s="10"/>
      <c r="AH218" s="10">
        <f>Д402[[#This Row],[Фикс 05.03.25]]+Д402[[#This Row],[повышение 14.03.25 1К-1%]]</f>
        <v>140962.5</v>
      </c>
      <c r="AI218" s="10"/>
      <c r="AJ218" s="10">
        <f>Д402[[#This Row],[Фикс 14.03.25]]+Д402[[#This Row],[повышение 28.03.25 1К-1%]]</f>
        <v>140962.5</v>
      </c>
      <c r="AK218" s="10"/>
      <c r="AL218" s="10">
        <f>Д402[[#This Row],[Фикс 28.03.25]]+Д402[[#This Row],[Повышение 23.07.25
1К 43-46м2 - 2%
2К 55-58 - 2%; 58-64 - 3%
3К 76-79 - 2%
]]</f>
        <v>140962.5</v>
      </c>
      <c r="AM218" s="149">
        <f>ROUND(Д402[[#This Row],[Фикс 23.07.25]],2)</f>
        <v>140962.5</v>
      </c>
      <c r="AN218" s="149">
        <f>ROUNDUP(Д402[[#This Row],[утв цена м2]]*Д402[[#This Row],[Расчетная проектная площадь]],-2)</f>
        <v>4190900</v>
      </c>
      <c r="AO218" s="151"/>
      <c r="AP218" s="152"/>
      <c r="AQ218" s="151">
        <f>Д402[[#This Row],[Стоимость до скидки]]*Д402[[#This Row],[Скидка %]]+Д402[[#This Row],[Скидка фиксированная]]</f>
        <v>0</v>
      </c>
      <c r="AR218" s="3">
        <f>Д402[[#This Row],[Стоимость ОН без отделки со скидкой]]/Д402[[#This Row],[Расчетная проектная площадь]]</f>
        <v>140965.35486041036</v>
      </c>
      <c r="AS218" s="3">
        <f>Д402[[#This Row],[Стоимость до скидки]]-Д402[[#This Row],[Итоговая сумма скидки]]</f>
        <v>4190900</v>
      </c>
      <c r="AT21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18" s="153">
        <v>30000</v>
      </c>
      <c r="AV218" s="153" t="s">
        <v>722</v>
      </c>
      <c r="AW218" s="3">
        <f>Д402[[#This Row],[Цена м2 без отделки со скидкой]]+Д402[[#This Row],[Стоимость отделки]]</f>
        <v>170965.35486041036</v>
      </c>
      <c r="AX218" s="3">
        <f>Д402[[#This Row],[Стоимость квартиры с отделкой]]-Д402[[#This Row],[Стоимость ОН без отделки со скидкой]]</f>
        <v>891900</v>
      </c>
      <c r="AY218" s="3">
        <f>Д402[[#This Row],[Цена м2 с отделкой]]*Д402[[#This Row],[Расчетная проектная площадь]]</f>
        <v>5082800</v>
      </c>
      <c r="AZ218" s="161"/>
      <c r="BA218" s="155" t="s">
        <v>12</v>
      </c>
      <c r="BB218" s="156" t="str" cm="1">
        <f t="array" ref="BB21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18" s="161" t="s">
        <v>738</v>
      </c>
      <c r="BD218" s="161" t="s">
        <v>739</v>
      </c>
      <c r="BE218" s="161" t="s">
        <v>737</v>
      </c>
      <c r="BF218" s="161" t="s">
        <v>743</v>
      </c>
      <c r="BG218" s="161" t="b">
        <f>EXACT(Д402[[#This Row],[Статусы CRM]],Д402[[#This Row],[Статус]])</f>
        <v>1</v>
      </c>
      <c r="BH218" s="3">
        <f>IF(Д402[[#This Row],[ПС]]=0,IF(Д402[[#This Row],[ДС]]=0,Д402[[#This Row],[ТС]],Д402[[#This Row],[ДС]]),Д402[[#This Row],[ПС]])</f>
        <v>4190900</v>
      </c>
      <c r="BI218" s="3">
        <v>4190900</v>
      </c>
      <c r="BJ218" s="3">
        <v>0</v>
      </c>
      <c r="BK218" s="3">
        <v>0</v>
      </c>
      <c r="BL218" s="273">
        <f>Д402[[#This Row],[Стоимость CRM]]-Д402[[#This Row],[Стоимость до скидки]]</f>
        <v>0</v>
      </c>
      <c r="BM218" s="161" t="s">
        <v>11</v>
      </c>
      <c r="BN218" s="161" t="b">
        <f>Д402[[#This Row],[Отделка CRM]]=Д402[[#This Row],[Отделка]]</f>
        <v>1</v>
      </c>
      <c r="BO218" s="275" t="s">
        <v>350</v>
      </c>
      <c r="BP218" s="69"/>
    </row>
    <row r="219" spans="1:68" ht="12" customHeight="1" x14ac:dyDescent="0.25">
      <c r="A219" s="140">
        <v>217</v>
      </c>
      <c r="B219" s="15">
        <v>3</v>
      </c>
      <c r="C219" s="141">
        <f t="shared" si="7"/>
        <v>8</v>
      </c>
      <c r="D219" s="142">
        <v>1</v>
      </c>
      <c r="E219" s="141">
        <v>1</v>
      </c>
      <c r="F219" s="143">
        <v>14.42</v>
      </c>
      <c r="G219" s="143"/>
      <c r="H219" s="143"/>
      <c r="I219" s="144">
        <f>SUM(Д402[[#This Row],[Комната 1]:[Комната 3]])</f>
        <v>14.42</v>
      </c>
      <c r="J219" s="145">
        <v>16.2</v>
      </c>
      <c r="K219" s="145">
        <v>4.09</v>
      </c>
      <c r="L219" s="145"/>
      <c r="M219" s="145">
        <v>8.0299999999999994</v>
      </c>
      <c r="N219" s="145"/>
      <c r="O219" s="145">
        <v>3.01</v>
      </c>
      <c r="P219" s="146"/>
      <c r="Q219" s="146"/>
      <c r="R219" s="146">
        <f>SUM(Д402[[#This Row],[Лоджия 1]:[Лоджия 3]])</f>
        <v>3.01</v>
      </c>
      <c r="S219" s="10">
        <f>ROUND(SUM(Д402[[#This Row],[Площадь по проекту жилая]:[Лоджия 3]]),2)</f>
        <v>45.75</v>
      </c>
      <c r="T219" s="10">
        <f>ROUND(Д402[[#This Row],[Площадь по проекту(общая)]]-Д402[[#This Row],[Летние]],2)</f>
        <v>42.74</v>
      </c>
      <c r="U219" s="10">
        <f>ROUND(Д402[[#This Row],[Площадь по проекту(общая)]]-(SUM(Д402[[#This Row],[Лоджия 1]:[Лоджия 3]])/2),2)</f>
        <v>44.25</v>
      </c>
      <c r="V219" s="10">
        <f>VLOOKUP(Д402[[#This Row],[№]],наценка7[],COLUMN(наценка7[[#This Row],[Цена м2 с учетом всех K]]),0)</f>
        <v>122837.8</v>
      </c>
      <c r="W219" s="159">
        <f>2%*Д402[[#This Row],[м2 после К]]</f>
        <v>2456.7560000000003</v>
      </c>
      <c r="X219" s="10">
        <f>Д402[[#This Row],[м2 после К]]+Д402[[#This Row],[02.12.2024]]</f>
        <v>125294.556</v>
      </c>
      <c r="Y219" s="149">
        <v>1000</v>
      </c>
      <c r="Z219" s="10">
        <f>Д402[[#This Row],[Фикс 20.12.24]]+Д402[[#This Row],[23.12.24 СП +1000]]</f>
        <v>126294.556</v>
      </c>
      <c r="AA219" s="149">
        <v>215</v>
      </c>
      <c r="AB219" s="10">
        <f>Д402[[#This Row],[Фикс 23.12.24]]+Д402[[#This Row],[Повышение 20.02.25]]</f>
        <v>126509.556</v>
      </c>
      <c r="AC219" s="149">
        <v>17.5</v>
      </c>
      <c r="AD219" s="10">
        <f>Д402[[#This Row],[Фикс 20.02.25]]+Д402[[#This Row],[Повышение 24.02.2025]]</f>
        <v>126527.056</v>
      </c>
      <c r="AE219" s="149">
        <f>Д402[[#This Row],[Фикс 24.02.25]]*0.5%</f>
        <v>632.63527999999997</v>
      </c>
      <c r="AF219" s="10">
        <f>Д402[[#This Row],[Фикс 24.02.25]]+Д402[[#This Row],[Повышение 05.03.2025
1К: до 40м - 1,5%, 40+ 0,5%
2К - 0,5% ]]</f>
        <v>127159.69128</v>
      </c>
      <c r="AG219" s="149">
        <f>Д402[[#This Row],[Фикс 05.03.25]]*1%</f>
        <v>1271.5969127999999</v>
      </c>
      <c r="AH219" s="10">
        <f>Д402[[#This Row],[Фикс 05.03.25]]+Д402[[#This Row],[повышение 14.03.25 1К-1%]]</f>
        <v>128431.2881928</v>
      </c>
      <c r="AI219" s="149">
        <f>Д402[[#This Row],[Фикс 14.03.25]]*1%</f>
        <v>1284.312881928</v>
      </c>
      <c r="AJ219" s="10">
        <f>Д402[[#This Row],[Фикс 14.03.25]]+Д402[[#This Row],[повышение 28.03.25 1К-1%]]</f>
        <v>129715.60107472799</v>
      </c>
      <c r="AK219" s="10"/>
      <c r="AL219" s="10">
        <f>Д402[[#This Row],[Фикс 28.03.25]]+Д402[[#This Row],[Повышение 23.07.25
1К 43-46м2 - 2%
2К 55-58 - 2%; 58-64 - 3%
3К 76-79 - 2%
]]</f>
        <v>129715.60107472799</v>
      </c>
      <c r="AM219" s="149">
        <f>ROUND(Д402[[#This Row],[Фикс 23.07.25]],2)</f>
        <v>129715.6</v>
      </c>
      <c r="AN219" s="149">
        <f>ROUNDUP(Д402[[#This Row],[утв цена м2]]*Д402[[#This Row],[Расчетная проектная площадь]],-2)</f>
        <v>5740000</v>
      </c>
      <c r="AO219" s="151"/>
      <c r="AP219" s="152">
        <v>0.02</v>
      </c>
      <c r="AQ219" s="151">
        <f>Д402[[#This Row],[Стоимость до скидки]]*Д402[[#This Row],[Скидка %]]+Д402[[#This Row],[Скидка фиксированная]]</f>
        <v>114800</v>
      </c>
      <c r="AR219" s="3">
        <f>Д402[[#This Row],[Стоимость ОН без отделки со скидкой]]/Д402[[#This Row],[Расчетная проектная площадь]]</f>
        <v>127123.16384180791</v>
      </c>
      <c r="AS219" s="3">
        <f>Д402[[#This Row],[Стоимость до скидки]]-Д402[[#This Row],[Итоговая сумма скидки]]</f>
        <v>5625200</v>
      </c>
      <c r="AT21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19" s="153"/>
      <c r="AV219" s="153"/>
      <c r="AW219" s="3">
        <f>Д402[[#This Row],[Цена м2 без отделки со скидкой]]+Д402[[#This Row],[Стоимость отделки]]</f>
        <v>127123.16384180791</v>
      </c>
      <c r="AX219" s="3">
        <f>Д402[[#This Row],[Стоимость квартиры с отделкой]]-Д402[[#This Row],[Стоимость ОН без отделки со скидкой]]</f>
        <v>0</v>
      </c>
      <c r="AY219" s="3">
        <f>Д402[[#This Row],[Цена м2 с отделкой]]*Д402[[#This Row],[Расчетная проектная площадь]]</f>
        <v>5625200</v>
      </c>
      <c r="AZ219" s="161" t="s">
        <v>436</v>
      </c>
      <c r="BA219" s="269" t="s">
        <v>426</v>
      </c>
      <c r="BB219" s="269" t="str" cm="1">
        <f t="array" ref="BB21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19" s="161" t="s">
        <v>741</v>
      </c>
      <c r="BD219" s="161" t="s">
        <v>506</v>
      </c>
      <c r="BE219" s="161" t="s">
        <v>737</v>
      </c>
      <c r="BF219" s="161" t="s">
        <v>745</v>
      </c>
      <c r="BG219" s="161" t="b">
        <f>EXACT(Д402[[#This Row],[Статусы CRM]],Д402[[#This Row],[Статус]])</f>
        <v>1</v>
      </c>
      <c r="BH219" s="3">
        <f>IF(Д402[[#This Row],[ПС]]=0,IF(Д402[[#This Row],[ДС]]=0,Д402[[#This Row],[ТС]],Д402[[#This Row],[ДС]]),Д402[[#This Row],[ПС]])</f>
        <v>5740000</v>
      </c>
      <c r="BI219" s="3" t="s">
        <v>749</v>
      </c>
      <c r="BJ219" s="3">
        <v>5740000</v>
      </c>
      <c r="BK219" s="3">
        <v>5740000</v>
      </c>
      <c r="BL219" s="273">
        <f>Д402[[#This Row],[Стоимость CRM]]-Д402[[#This Row],[Стоимость до скидки]]</f>
        <v>0</v>
      </c>
      <c r="BM219" s="161" t="s">
        <v>9</v>
      </c>
      <c r="BN219" s="161" t="b">
        <f>Д402[[#This Row],[Отделка CRM]]=Д402[[#This Row],[Отделка]]</f>
        <v>1</v>
      </c>
      <c r="BO219" s="275" t="s">
        <v>351</v>
      </c>
      <c r="BP219" s="69"/>
    </row>
    <row r="220" spans="1:68" ht="12" customHeight="1" x14ac:dyDescent="0.25">
      <c r="A220" s="140">
        <v>218</v>
      </c>
      <c r="B220" s="175">
        <v>3</v>
      </c>
      <c r="C220" s="141">
        <f t="shared" si="7"/>
        <v>8</v>
      </c>
      <c r="D220" s="142">
        <v>2</v>
      </c>
      <c r="E220" s="141">
        <v>1</v>
      </c>
      <c r="F220" s="143">
        <v>12.76</v>
      </c>
      <c r="G220" s="143"/>
      <c r="H220" s="143"/>
      <c r="I220" s="144">
        <f>SUM(Д402[[#This Row],[Комната 1]:[Комната 3]])</f>
        <v>12.76</v>
      </c>
      <c r="J220" s="145">
        <v>15.1</v>
      </c>
      <c r="K220" s="145">
        <v>4.22</v>
      </c>
      <c r="L220" s="145"/>
      <c r="M220" s="145">
        <v>3.09</v>
      </c>
      <c r="N220" s="145"/>
      <c r="O220" s="145">
        <v>2.93</v>
      </c>
      <c r="P220" s="146"/>
      <c r="Q220" s="146"/>
      <c r="R220" s="146">
        <f>SUM(Д402[[#This Row],[Лоджия 1]:[Лоджия 3]])</f>
        <v>2.93</v>
      </c>
      <c r="S220" s="10">
        <f>ROUND(SUM(Д402[[#This Row],[Площадь по проекту жилая]:[Лоджия 3]]),2)</f>
        <v>38.1</v>
      </c>
      <c r="T220" s="10">
        <f>ROUND(Д402[[#This Row],[Площадь по проекту(общая)]]-Д402[[#This Row],[Летние]],2)</f>
        <v>35.17</v>
      </c>
      <c r="U220" s="10">
        <f>ROUND(Д402[[#This Row],[Площадь по проекту(общая)]]-(SUM(Д402[[#This Row],[Лоджия 1]:[Лоджия 3]])/2),2)</f>
        <v>36.64</v>
      </c>
      <c r="V220" s="10">
        <f>VLOOKUP(Д402[[#This Row],[№]],наценка7[],COLUMN(наценка7[[#This Row],[Цена м2 с учетом всех K]]),0)</f>
        <v>126415.6</v>
      </c>
      <c r="W220" s="159">
        <f>2%*Д402[[#This Row],[м2 после К]]</f>
        <v>2528.3120000000004</v>
      </c>
      <c r="X220" s="10">
        <f>Д402[[#This Row],[м2 после К]]+Д402[[#This Row],[02.12.2024]]</f>
        <v>128943.91200000001</v>
      </c>
      <c r="Y220" s="149">
        <v>1000</v>
      </c>
      <c r="Z220" s="10">
        <f>Д402[[#This Row],[Фикс 20.12.24]]+Д402[[#This Row],[23.12.24 СП +1000]]</f>
        <v>129943.91200000001</v>
      </c>
      <c r="AA220" s="10">
        <v>215</v>
      </c>
      <c r="AB220" s="10">
        <f>Д402[[#This Row],[Фикс 23.12.24]]+Д402[[#This Row],[Повышение 20.02.25]]</f>
        <v>130158.91200000001</v>
      </c>
      <c r="AC220" s="10">
        <v>17</v>
      </c>
      <c r="AD220" s="10">
        <f>Д402[[#This Row],[Фикс 20.02.25]]+Д402[[#This Row],[Повышение 24.02.2025]]</f>
        <v>130175.91200000001</v>
      </c>
      <c r="AE220" s="149">
        <f>Д402[[#This Row],[Фикс 24.02.25]]*1.5%</f>
        <v>1952.63868</v>
      </c>
      <c r="AF220" s="10">
        <f>Д402[[#This Row],[Фикс 24.02.25]]+Д402[[#This Row],[Повышение 05.03.2025
1К: до 40м - 1,5%, 40+ 0,5%
2К - 0,5% ]]</f>
        <v>132128.55068000001</v>
      </c>
      <c r="AG220" s="10"/>
      <c r="AH220" s="10">
        <f>Д402[[#This Row],[Фикс 05.03.25]]+Д402[[#This Row],[повышение 14.03.25 1К-1%]]</f>
        <v>132128.55068000001</v>
      </c>
      <c r="AI220" s="10"/>
      <c r="AJ220" s="10">
        <f>Д402[[#This Row],[Фикс 14.03.25]]+Д402[[#This Row],[повышение 28.03.25 1К-1%]]</f>
        <v>132128.55068000001</v>
      </c>
      <c r="AK220" s="10"/>
      <c r="AL220" s="10">
        <f>Д402[[#This Row],[Фикс 28.03.25]]+Д402[[#This Row],[Повышение 23.07.25
1К 43-46м2 - 2%
2К 55-58 - 2%; 58-64 - 3%
3К 76-79 - 2%
]]</f>
        <v>132128.55068000001</v>
      </c>
      <c r="AM220" s="149">
        <f>ROUND(Д402[[#This Row],[Фикс 23.07.25]],2)</f>
        <v>132128.54999999999</v>
      </c>
      <c r="AN220" s="149">
        <f>ROUNDUP(Д402[[#This Row],[утв цена м2]]*Д402[[#This Row],[Расчетная проектная площадь]],-2)</f>
        <v>4841200</v>
      </c>
      <c r="AO220" s="151"/>
      <c r="AP220" s="152">
        <v>0.02</v>
      </c>
      <c r="AQ220" s="151">
        <f>Д402[[#This Row],[Стоимость до скидки]]*Д402[[#This Row],[Скидка %]]+Д402[[#This Row],[Скидка фиксированная]]</f>
        <v>96824</v>
      </c>
      <c r="AR220" s="3">
        <f>Д402[[#This Row],[Стоимость ОН без отделки со скидкой]]/Д402[[#This Row],[Расчетная проектная площадь]]</f>
        <v>129486.24454148472</v>
      </c>
      <c r="AS220" s="3">
        <f>Д402[[#This Row],[Стоимость до скидки]]-Д402[[#This Row],[Итоговая сумма скидки]]</f>
        <v>4744376</v>
      </c>
      <c r="AT22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20" s="153">
        <v>10000</v>
      </c>
      <c r="AV220" s="153"/>
      <c r="AW220" s="3">
        <f>Д402[[#This Row],[Цена м2 без отделки со скидкой]]+Д402[[#This Row],[Стоимость отделки]]</f>
        <v>139486.24454148472</v>
      </c>
      <c r="AX220" s="3">
        <f>Д402[[#This Row],[Стоимость квартиры с отделкой]]-Д402[[#This Row],[Стоимость ОН без отделки со скидкой]]</f>
        <v>366400</v>
      </c>
      <c r="AY220" s="3">
        <f>Д402[[#This Row],[Цена м2 с отделкой]]*Д402[[#This Row],[Расчетная проектная площадь]]</f>
        <v>5110776</v>
      </c>
      <c r="AZ220" s="161" t="s">
        <v>436</v>
      </c>
      <c r="BA220" s="277" t="s">
        <v>426</v>
      </c>
      <c r="BB220" s="269" t="str" cm="1">
        <f t="array" ref="BB22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20" s="161" t="s">
        <v>741</v>
      </c>
      <c r="BD220" s="161" t="s">
        <v>506</v>
      </c>
      <c r="BE220" s="161" t="s">
        <v>737</v>
      </c>
      <c r="BF220" s="161" t="s">
        <v>745</v>
      </c>
      <c r="BG220" s="161" t="b">
        <f>EXACT(Д402[[#This Row],[Статусы CRM]],Д402[[#This Row],[Статус]])</f>
        <v>1</v>
      </c>
      <c r="BH220" s="3">
        <f>IF(Д402[[#This Row],[ПС]]=0,IF(Д402[[#This Row],[ДС]]=0,Д402[[#This Row],[ТС]],Д402[[#This Row],[ДС]]),Д402[[#This Row],[ПС]])</f>
        <v>4841200</v>
      </c>
      <c r="BI220" s="3" t="s">
        <v>749</v>
      </c>
      <c r="BJ220" s="3">
        <v>0</v>
      </c>
      <c r="BK220" s="3">
        <v>4841200</v>
      </c>
      <c r="BL220" s="273">
        <f>Д402[[#This Row],[Стоимость CRM]]-Д402[[#This Row],[Стоимость до скидки]]</f>
        <v>0</v>
      </c>
      <c r="BM220" s="161" t="s">
        <v>718</v>
      </c>
      <c r="BN220" s="161" t="b">
        <f>Д402[[#This Row],[Отделка CRM]]=Д402[[#This Row],[Отделка]]</f>
        <v>1</v>
      </c>
      <c r="BO220" s="275" t="s">
        <v>352</v>
      </c>
      <c r="BP220" s="69"/>
    </row>
    <row r="221" spans="1:68" ht="12" customHeight="1" x14ac:dyDescent="0.25">
      <c r="A221" s="140">
        <v>219</v>
      </c>
      <c r="B221" s="15">
        <v>3</v>
      </c>
      <c r="C221" s="141">
        <f t="shared" ref="C221:C252" si="8">C215+1</f>
        <v>8</v>
      </c>
      <c r="D221" s="142">
        <v>3</v>
      </c>
      <c r="E221" s="141">
        <v>2</v>
      </c>
      <c r="F221" s="143">
        <v>15.36</v>
      </c>
      <c r="G221" s="143">
        <v>11.95</v>
      </c>
      <c r="H221" s="143"/>
      <c r="I221" s="144">
        <f>SUM(Д402[[#This Row],[Комната 1]:[Комната 3]])</f>
        <v>27.31</v>
      </c>
      <c r="J221" s="145">
        <v>14.7</v>
      </c>
      <c r="K221" s="145">
        <v>4.21</v>
      </c>
      <c r="L221" s="145"/>
      <c r="M221" s="145">
        <v>6.6</v>
      </c>
      <c r="N221" s="145"/>
      <c r="O221" s="145">
        <v>3.23</v>
      </c>
      <c r="P221" s="146"/>
      <c r="Q221" s="146"/>
      <c r="R221" s="146">
        <f>SUM(Д402[[#This Row],[Лоджия 1]:[Лоджия 3]])</f>
        <v>3.23</v>
      </c>
      <c r="S221" s="10">
        <f>ROUND(SUM(Д402[[#This Row],[Площадь по проекту жилая]:[Лоджия 3]]),2)</f>
        <v>56.05</v>
      </c>
      <c r="T221" s="10">
        <f>ROUND(Д402[[#This Row],[Площадь по проекту(общая)]]-Д402[[#This Row],[Летние]],2)</f>
        <v>52.82</v>
      </c>
      <c r="U221" s="10">
        <f>ROUND(Д402[[#This Row],[Площадь по проекту(общая)]]-(SUM(Д402[[#This Row],[Лоджия 1]:[Лоджия 3]])/2),2)</f>
        <v>54.44</v>
      </c>
      <c r="V221" s="10">
        <f>VLOOKUP(Д402[[#This Row],[№]],наценка7[],COLUMN(наценка7[[#This Row],[Цена м2 с учетом всех K]]),0)</f>
        <v>119811.8</v>
      </c>
      <c r="W221" s="162">
        <f>0.021*Д402[[#This Row],[м2 после К]]</f>
        <v>2516.0478000000003</v>
      </c>
      <c r="X221" s="10">
        <f>Д402[[#This Row],[м2 после К]]+Д402[[#This Row],[02.12.2024]]</f>
        <v>122327.8478</v>
      </c>
      <c r="Y221" s="149">
        <v>1000</v>
      </c>
      <c r="Z221" s="10">
        <f>Д402[[#This Row],[Фикс 20.12.24]]+Д402[[#This Row],[23.12.24 СП +1000]]</f>
        <v>123327.8478</v>
      </c>
      <c r="AA221" s="149">
        <v>215</v>
      </c>
      <c r="AB221" s="10">
        <f>Д402[[#This Row],[Фикс 23.12.24]]+Д402[[#This Row],[Повышение 20.02.25]]</f>
        <v>123542.8478</v>
      </c>
      <c r="AC221" s="149">
        <v>17.5</v>
      </c>
      <c r="AD221" s="10">
        <f>Д402[[#This Row],[Фикс 20.02.25]]+Д402[[#This Row],[Повышение 24.02.2025]]</f>
        <v>123560.3478</v>
      </c>
      <c r="AE221" s="149">
        <f>Д402[[#This Row],[Фикс 24.02.25]]*0.5%</f>
        <v>617.801739</v>
      </c>
      <c r="AF221" s="10">
        <f>Д402[[#This Row],[Фикс 24.02.25]]+Д402[[#This Row],[Повышение 05.03.2025
1К: до 40м - 1,5%, 40+ 0,5%
2К - 0,5% ]]</f>
        <v>124178.14953900001</v>
      </c>
      <c r="AG221" s="10"/>
      <c r="AH221" s="10">
        <f>Д402[[#This Row],[Фикс 05.03.25]]+Д402[[#This Row],[повышение 14.03.25 1К-1%]]</f>
        <v>124178.14953900001</v>
      </c>
      <c r="AI221" s="10"/>
      <c r="AJ221" s="10">
        <f>Д402[[#This Row],[Фикс 14.03.25]]+Д402[[#This Row],[повышение 28.03.25 1К-1%]]</f>
        <v>124178.14953900001</v>
      </c>
      <c r="AK221" s="10"/>
      <c r="AL221" s="10">
        <f>Д402[[#This Row],[Фикс 28.03.25]]+Д402[[#This Row],[Повышение 23.07.25
1К 43-46м2 - 2%
2К 55-58 - 2%; 58-64 - 3%
3К 76-79 - 2%
]]</f>
        <v>124178.14953900001</v>
      </c>
      <c r="AM221" s="149">
        <f>ROUND(Д402[[#This Row],[Фикс 23.07.25]],2)</f>
        <v>124178.15</v>
      </c>
      <c r="AN221" s="149">
        <f>ROUNDUP(Д402[[#This Row],[утв цена м2]]*Д402[[#This Row],[Расчетная проектная площадь]],-2)</f>
        <v>6760300</v>
      </c>
      <c r="AO221" s="151"/>
      <c r="AP221" s="152">
        <v>0.02</v>
      </c>
      <c r="AQ221" s="151">
        <f>Д402[[#This Row],[Стоимость до скидки]]*Д402[[#This Row],[Скидка %]]+Д402[[#This Row],[Скидка фиксированная]]</f>
        <v>135206</v>
      </c>
      <c r="AR221" s="3">
        <f>Д402[[#This Row],[Стоимость ОН без отделки со скидкой]]/Д402[[#This Row],[Расчетная проектная площадь]]</f>
        <v>121695.33431300515</v>
      </c>
      <c r="AS221" s="3">
        <f>Д402[[#This Row],[Стоимость до скидки]]-Д402[[#This Row],[Итоговая сумма скидки]]</f>
        <v>6625094</v>
      </c>
      <c r="AT22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1" s="153"/>
      <c r="AV221" s="153"/>
      <c r="AW221" s="3">
        <f>Д402[[#This Row],[Цена м2 без отделки со скидкой]]+Д402[[#This Row],[Стоимость отделки]]</f>
        <v>121695.33431300515</v>
      </c>
      <c r="AX221" s="3">
        <f>Д402[[#This Row],[Стоимость квартиры с отделкой]]-Д402[[#This Row],[Стоимость ОН без отделки со скидкой]]</f>
        <v>0</v>
      </c>
      <c r="AY221" s="3">
        <f>Д402[[#This Row],[Цена м2 с отделкой]]*Д402[[#This Row],[Расчетная проектная площадь]]</f>
        <v>6625094</v>
      </c>
      <c r="AZ221" s="161" t="s">
        <v>436</v>
      </c>
      <c r="BA221" s="269" t="s">
        <v>426</v>
      </c>
      <c r="BB221" s="269" t="str" cm="1">
        <f t="array" ref="BB22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21" s="161" t="s">
        <v>741</v>
      </c>
      <c r="BD221" s="161" t="s">
        <v>506</v>
      </c>
      <c r="BE221" s="161" t="s">
        <v>737</v>
      </c>
      <c r="BF221" s="161" t="s">
        <v>744</v>
      </c>
      <c r="BG221" s="161" t="b">
        <f>EXACT(Д402[[#This Row],[Статусы CRM]],Д402[[#This Row],[Статус]])</f>
        <v>1</v>
      </c>
      <c r="BH221" s="3">
        <f>IF(Д402[[#This Row],[ПС]]=0,IF(Д402[[#This Row],[ДС]]=0,Д402[[#This Row],[ТС]],Д402[[#This Row],[ДС]]),Д402[[#This Row],[ПС]])</f>
        <v>6760300</v>
      </c>
      <c r="BI221" s="3" t="s">
        <v>749</v>
      </c>
      <c r="BJ221" s="3">
        <v>0</v>
      </c>
      <c r="BK221" s="3">
        <v>6760300</v>
      </c>
      <c r="BL221" s="273">
        <f>Д402[[#This Row],[Стоимость CRM]]-Д402[[#This Row],[Стоимость до скидки]]</f>
        <v>0</v>
      </c>
      <c r="BM221" s="161" t="s">
        <v>9</v>
      </c>
      <c r="BN221" s="161" t="b">
        <f>Д402[[#This Row],[Отделка CRM]]=Д402[[#This Row],[Отделка]]</f>
        <v>1</v>
      </c>
      <c r="BO221" s="275" t="s">
        <v>353</v>
      </c>
      <c r="BP221" s="69"/>
    </row>
    <row r="222" spans="1:68" ht="12" customHeight="1" x14ac:dyDescent="0.25">
      <c r="A222" s="140">
        <v>220</v>
      </c>
      <c r="B222" s="15">
        <v>3</v>
      </c>
      <c r="C222" s="141">
        <f t="shared" si="8"/>
        <v>8</v>
      </c>
      <c r="D222" s="142">
        <v>4</v>
      </c>
      <c r="E222" s="141">
        <v>1</v>
      </c>
      <c r="F222" s="143">
        <v>14.28</v>
      </c>
      <c r="G222" s="143"/>
      <c r="H222" s="143"/>
      <c r="I222" s="144">
        <f>SUM(Д402[[#This Row],[Комната 1]:[Комната 3]])</f>
        <v>14.28</v>
      </c>
      <c r="J222" s="145">
        <v>13.99</v>
      </c>
      <c r="K222" s="145">
        <v>3.9</v>
      </c>
      <c r="L222" s="145"/>
      <c r="M222" s="145">
        <v>2.6</v>
      </c>
      <c r="N222" s="145"/>
      <c r="O222" s="145">
        <v>3.23</v>
      </c>
      <c r="P222" s="146"/>
      <c r="Q222" s="146"/>
      <c r="R222" s="146">
        <f>SUM(Д402[[#This Row],[Лоджия 1]:[Лоджия 3]])</f>
        <v>3.23</v>
      </c>
      <c r="S222" s="10">
        <f>ROUND(SUM(Д402[[#This Row],[Площадь по проекту жилая]:[Лоджия 3]]),2)</f>
        <v>38</v>
      </c>
      <c r="T222" s="10">
        <f>ROUND(Д402[[#This Row],[Площадь по проекту(общая)]]-Д402[[#This Row],[Летние]],2)</f>
        <v>34.770000000000003</v>
      </c>
      <c r="U222" s="10">
        <f>ROUND(Д402[[#This Row],[Площадь по проекту(общая)]]-(SUM(Д402[[#This Row],[Лоджия 1]:[Лоджия 3]])/2),2)</f>
        <v>36.39</v>
      </c>
      <c r="V222" s="10">
        <f>VLOOKUP(Д402[[#This Row],[№]],наценка7[],COLUMN(наценка7[[#This Row],[Цена м2 с учетом всех K]]),0)</f>
        <v>125223</v>
      </c>
      <c r="W222" s="162"/>
      <c r="X222" s="10">
        <f>Д402[[#This Row],[м2 после К]]+Д402[[#This Row],[02.12.2024]]</f>
        <v>125223</v>
      </c>
      <c r="Y222" s="149">
        <v>1000</v>
      </c>
      <c r="Z222" s="10">
        <f>Д402[[#This Row],[Фикс 20.12.24]]+Д402[[#This Row],[23.12.24 СП +1000]]</f>
        <v>126223</v>
      </c>
      <c r="AA222" s="149">
        <v>215</v>
      </c>
      <c r="AB222" s="10">
        <f>Д402[[#This Row],[Фикс 23.12.24]]+Д402[[#This Row],[Повышение 20.02.25]]</f>
        <v>126438</v>
      </c>
      <c r="AC222" s="149">
        <v>17.5</v>
      </c>
      <c r="AD222" s="10">
        <f>Д402[[#This Row],[Фикс 20.02.25]]+Д402[[#This Row],[Повышение 24.02.2025]]</f>
        <v>126455.5</v>
      </c>
      <c r="AE222" s="149">
        <f>Д402[[#This Row],[Фикс 24.02.25]]*1.5%</f>
        <v>1896.8325</v>
      </c>
      <c r="AF222" s="10">
        <f>Д402[[#This Row],[Фикс 24.02.25]]+Д402[[#This Row],[Повышение 05.03.2025
1К: до 40м - 1,5%, 40+ 0,5%
2К - 0,5% ]]</f>
        <v>128352.3325</v>
      </c>
      <c r="AG222" s="149">
        <f>Д402[[#This Row],[Фикс 05.03.25]]*1%</f>
        <v>1283.5233250000001</v>
      </c>
      <c r="AH222" s="10">
        <f>Д402[[#This Row],[Фикс 05.03.25]]+Д402[[#This Row],[повышение 14.03.25 1К-1%]]</f>
        <v>129635.85582500001</v>
      </c>
      <c r="AI222" s="149">
        <f>Д402[[#This Row],[Фикс 14.03.25]]*1%</f>
        <v>1296.35855825</v>
      </c>
      <c r="AJ222" s="10">
        <f>Д402[[#This Row],[Фикс 14.03.25]]+Д402[[#This Row],[повышение 28.03.25 1К-1%]]</f>
        <v>130932.21438325</v>
      </c>
      <c r="AK222" s="10"/>
      <c r="AL222" s="10">
        <f>Д402[[#This Row],[Фикс 28.03.25]]+Д402[[#This Row],[Повышение 23.07.25
1К 43-46м2 - 2%
2К 55-58 - 2%; 58-64 - 3%
3К 76-79 - 2%
]]</f>
        <v>130932.21438325</v>
      </c>
      <c r="AM222" s="149">
        <f>ROUND(Д402[[#This Row],[Фикс 23.07.25]],2)</f>
        <v>130932.21</v>
      </c>
      <c r="AN222" s="149">
        <f>ROUNDUP(Д402[[#This Row],[утв цена м2]]*Д402[[#This Row],[Расчетная проектная площадь]],-2)</f>
        <v>4764700</v>
      </c>
      <c r="AO222" s="151"/>
      <c r="AP222" s="152"/>
      <c r="AQ222" s="151">
        <f>Д402[[#This Row],[Стоимость до скидки]]*Д402[[#This Row],[Скидка %]]+Д402[[#This Row],[Скидка фиксированная]]</f>
        <v>0</v>
      </c>
      <c r="AR222" s="3">
        <f>Д402[[#This Row],[Стоимость ОН без отделки со скидкой]]/Д402[[#This Row],[Расчетная проектная площадь]]</f>
        <v>130934.32261610332</v>
      </c>
      <c r="AS222" s="3">
        <f>Д402[[#This Row],[Стоимость до скидки]]-Д402[[#This Row],[Итоговая сумма скидки]]</f>
        <v>4764700</v>
      </c>
      <c r="AT22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2" s="153"/>
      <c r="AV222" s="153"/>
      <c r="AW222" s="3">
        <f>Д402[[#This Row],[Цена м2 без отделки со скидкой]]+Д402[[#This Row],[Стоимость отделки]]</f>
        <v>130934.32261610332</v>
      </c>
      <c r="AX222" s="3">
        <f>Д402[[#This Row],[Стоимость квартиры с отделкой]]-Д402[[#This Row],[Стоимость ОН без отделки со скидкой]]</f>
        <v>0</v>
      </c>
      <c r="AY222" s="3">
        <f>Д402[[#This Row],[Цена м2 с отделкой]]*Д402[[#This Row],[Расчетная проектная площадь]]</f>
        <v>4764700</v>
      </c>
      <c r="AZ222" s="161"/>
      <c r="BA222" s="155" t="s">
        <v>12</v>
      </c>
      <c r="BB222" s="156" t="str" cm="1">
        <f t="array" ref="BB22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22" s="161" t="s">
        <v>738</v>
      </c>
      <c r="BD222" s="161" t="s">
        <v>739</v>
      </c>
      <c r="BE222" s="161" t="s">
        <v>737</v>
      </c>
      <c r="BF222" s="161" t="s">
        <v>746</v>
      </c>
      <c r="BG222" s="161" t="b">
        <f>EXACT(Д402[[#This Row],[Статусы CRM]],Д402[[#This Row],[Статус]])</f>
        <v>1</v>
      </c>
      <c r="BH222" s="3">
        <f>IF(Д402[[#This Row],[ПС]]=0,IF(Д402[[#This Row],[ДС]]=0,Д402[[#This Row],[ТС]],Д402[[#This Row],[ДС]]),Д402[[#This Row],[ПС]])</f>
        <v>4764700</v>
      </c>
      <c r="BI222" s="3">
        <v>4764700</v>
      </c>
      <c r="BJ222" s="3">
        <v>0</v>
      </c>
      <c r="BK222" s="3">
        <v>0</v>
      </c>
      <c r="BL222" s="273">
        <f>Д402[[#This Row],[Стоимость CRM]]-Д402[[#This Row],[Стоимость до скидки]]</f>
        <v>0</v>
      </c>
      <c r="BM222" s="161" t="s">
        <v>9</v>
      </c>
      <c r="BN222" s="161" t="b">
        <f>Д402[[#This Row],[Отделка CRM]]=Д402[[#This Row],[Отделка]]</f>
        <v>1</v>
      </c>
      <c r="BO222" s="275" t="s">
        <v>354</v>
      </c>
      <c r="BP222" s="69"/>
    </row>
    <row r="223" spans="1:68" ht="12" customHeight="1" x14ac:dyDescent="0.25">
      <c r="A223" s="140">
        <v>221</v>
      </c>
      <c r="B223" s="15">
        <v>3</v>
      </c>
      <c r="C223" s="141">
        <f t="shared" si="8"/>
        <v>8</v>
      </c>
      <c r="D223" s="142">
        <v>5</v>
      </c>
      <c r="E223" s="141">
        <v>3</v>
      </c>
      <c r="F223" s="143">
        <v>18.350000000000001</v>
      </c>
      <c r="G223" s="143">
        <v>15.96</v>
      </c>
      <c r="H223" s="143">
        <v>11.55</v>
      </c>
      <c r="I223" s="144">
        <f>SUM(Д402[[#This Row],[Комната 1]:[Комната 3]])</f>
        <v>45.86</v>
      </c>
      <c r="J223" s="145">
        <v>11.42</v>
      </c>
      <c r="K223" s="145">
        <v>3.9</v>
      </c>
      <c r="L223" s="145">
        <v>4.37</v>
      </c>
      <c r="M223" s="145">
        <v>11.06</v>
      </c>
      <c r="N223" s="145"/>
      <c r="O223" s="145">
        <v>3.1</v>
      </c>
      <c r="P223" s="146"/>
      <c r="Q223" s="146"/>
      <c r="R223" s="146">
        <f>SUM(Д402[[#This Row],[Лоджия 1]:[Лоджия 3]])</f>
        <v>3.1</v>
      </c>
      <c r="S223" s="10">
        <f>ROUND(SUM(Д402[[#This Row],[Площадь по проекту жилая]:[Лоджия 3]]),2)</f>
        <v>79.709999999999994</v>
      </c>
      <c r="T223" s="10">
        <f>ROUND(Д402[[#This Row],[Площадь по проекту(общая)]]-Д402[[#This Row],[Летние]],2)</f>
        <v>76.61</v>
      </c>
      <c r="U223" s="10">
        <f>ROUND(Д402[[#This Row],[Площадь по проекту(общая)]]-(SUM(Д402[[#This Row],[Лоджия 1]:[Лоджия 3]])/2),2)</f>
        <v>78.16</v>
      </c>
      <c r="V223" s="10">
        <f>VLOOKUP(Д402[[#This Row],[№]],наценка7[],COLUMN(наценка7[[#This Row],[Цена м2 с учетом всех K]]),0)</f>
        <v>108402</v>
      </c>
      <c r="W223" s="162"/>
      <c r="X223" s="10">
        <f>Д402[[#This Row],[м2 после К]]+Д402[[#This Row],[02.12.2024]]</f>
        <v>108402</v>
      </c>
      <c r="Y223" s="149">
        <v>1000</v>
      </c>
      <c r="Z223" s="10">
        <f>Д402[[#This Row],[Фикс 20.12.24]]+Д402[[#This Row],[23.12.24 СП +1000]]</f>
        <v>109402</v>
      </c>
      <c r="AA223" s="149">
        <v>215</v>
      </c>
      <c r="AB223" s="10">
        <f>Д402[[#This Row],[Фикс 23.12.24]]+Д402[[#This Row],[Повышение 20.02.25]]</f>
        <v>109617</v>
      </c>
      <c r="AC223" s="149">
        <v>17.5</v>
      </c>
      <c r="AD223" s="10">
        <f>Д402[[#This Row],[Фикс 20.02.25]]+Д402[[#This Row],[Повышение 24.02.2025]]</f>
        <v>109634.5</v>
      </c>
      <c r="AE223" s="10"/>
      <c r="AF223" s="10">
        <f>Д402[[#This Row],[Фикс 24.02.25]]+Д402[[#This Row],[Повышение 05.03.2025
1К: до 40м - 1,5%, 40+ 0,5%
2К - 0,5% ]]</f>
        <v>109634.5</v>
      </c>
      <c r="AG223" s="10"/>
      <c r="AH223" s="10">
        <f>Д402[[#This Row],[Фикс 05.03.25]]+Д402[[#This Row],[повышение 14.03.25 1К-1%]]</f>
        <v>109634.5</v>
      </c>
      <c r="AI223" s="10"/>
      <c r="AJ223" s="10">
        <f>Д402[[#This Row],[Фикс 14.03.25]]+Д402[[#This Row],[повышение 28.03.25 1К-1%]]</f>
        <v>109634.5</v>
      </c>
      <c r="AK223" s="10">
        <f>Д402[[#This Row],[Фикс 28.03.25]]*2%</f>
        <v>2192.69</v>
      </c>
      <c r="AL223" s="10">
        <f>Д402[[#This Row],[Фикс 28.03.25]]+Д402[[#This Row],[Повышение 23.07.25
1К 43-46м2 - 2%
2К 55-58 - 2%; 58-64 - 3%
3К 76-79 - 2%
]]</f>
        <v>111827.19</v>
      </c>
      <c r="AM223" s="149">
        <f>ROUND(Д402[[#This Row],[Фикс 23.07.25]],2)</f>
        <v>111827.19</v>
      </c>
      <c r="AN223" s="149">
        <f>ROUNDUP(Д402[[#This Row],[утв цена м2]]*Д402[[#This Row],[Расчетная проектная площадь]],-2)</f>
        <v>8740500</v>
      </c>
      <c r="AO223" s="151"/>
      <c r="AP223" s="152"/>
      <c r="AQ223" s="151">
        <f>Д402[[#This Row],[Стоимость до скидки]]*Д402[[#This Row],[Скидка %]]+Д402[[#This Row],[Скидка фиксированная]]</f>
        <v>0</v>
      </c>
      <c r="AR223" s="3">
        <f>Д402[[#This Row],[Стоимость ОН без отделки со скидкой]]/Д402[[#This Row],[Расчетная проектная площадь]]</f>
        <v>111828.30092118731</v>
      </c>
      <c r="AS223" s="3">
        <f>Д402[[#This Row],[Стоимость до скидки]]-Д402[[#This Row],[Итоговая сумма скидки]]</f>
        <v>8740500</v>
      </c>
      <c r="AT22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3" s="153"/>
      <c r="AV223" s="153"/>
      <c r="AW223" s="3">
        <f>Д402[[#This Row],[Цена м2 без отделки со скидкой]]+Д402[[#This Row],[Стоимость отделки]]</f>
        <v>111828.30092118731</v>
      </c>
      <c r="AX223" s="3">
        <f>Д402[[#This Row],[Стоимость квартиры с отделкой]]-Д402[[#This Row],[Стоимость ОН без отделки со скидкой]]</f>
        <v>0</v>
      </c>
      <c r="AY223" s="3">
        <f>Д402[[#This Row],[Цена м2 с отделкой]]*Д402[[#This Row],[Расчетная проектная площадь]]</f>
        <v>8740500</v>
      </c>
      <c r="AZ223" s="161"/>
      <c r="BA223" s="269" t="s">
        <v>128</v>
      </c>
      <c r="BB223" s="156" t="str" cm="1">
        <f t="array" ref="BB22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23" s="161" t="s">
        <v>740</v>
      </c>
      <c r="BD223" s="161" t="s">
        <v>506</v>
      </c>
      <c r="BE223" s="161" t="s">
        <v>737</v>
      </c>
      <c r="BF223" s="161" t="s">
        <v>748</v>
      </c>
      <c r="BG223" s="161" t="b">
        <f>EXACT(Д402[[#This Row],[Статусы CRM]],Д402[[#This Row],[Статус]])</f>
        <v>1</v>
      </c>
      <c r="BH223" s="3">
        <f>IF(Д402[[#This Row],[ПС]]=0,IF(Д402[[#This Row],[ДС]]=0,Д402[[#This Row],[ТС]],Д402[[#This Row],[ДС]]),Д402[[#This Row],[ПС]])</f>
        <v>8740500</v>
      </c>
      <c r="BI223" s="3">
        <v>8740500</v>
      </c>
      <c r="BJ223" s="3">
        <v>0</v>
      </c>
      <c r="BK223" s="3">
        <v>0</v>
      </c>
      <c r="BL223" s="273">
        <f>Д402[[#This Row],[Стоимость CRM]]-Д402[[#This Row],[Стоимость до скидки]]</f>
        <v>0</v>
      </c>
      <c r="BM223" s="161" t="s">
        <v>9</v>
      </c>
      <c r="BN223" s="161" t="b">
        <f>Д402[[#This Row],[Отделка CRM]]=Д402[[#This Row],[Отделка]]</f>
        <v>1</v>
      </c>
      <c r="BO223" s="275" t="s">
        <v>355</v>
      </c>
      <c r="BP223" s="69"/>
    </row>
    <row r="224" spans="1:68" ht="12" customHeight="1" x14ac:dyDescent="0.25">
      <c r="A224" s="140">
        <v>222</v>
      </c>
      <c r="B224" s="15">
        <v>3</v>
      </c>
      <c r="C224" s="141">
        <f t="shared" si="8"/>
        <v>8</v>
      </c>
      <c r="D224" s="142">
        <v>6</v>
      </c>
      <c r="E224" s="141">
        <v>0</v>
      </c>
      <c r="F224" s="143">
        <v>16.25</v>
      </c>
      <c r="G224" s="143"/>
      <c r="H224" s="143"/>
      <c r="I224" s="144">
        <f>SUM(Д402[[#This Row],[Комната 1]:[Комната 3]])</f>
        <v>16.25</v>
      </c>
      <c r="J224" s="145">
        <v>5</v>
      </c>
      <c r="K224" s="145">
        <v>4.2699999999999996</v>
      </c>
      <c r="L224" s="145"/>
      <c r="M224" s="145">
        <v>4.21</v>
      </c>
      <c r="N224" s="145"/>
      <c r="O224" s="145"/>
      <c r="P224" s="146"/>
      <c r="Q224" s="146"/>
      <c r="R224" s="146">
        <f>SUM(Д402[[#This Row],[Лоджия 1]:[Лоджия 3]])</f>
        <v>0</v>
      </c>
      <c r="S224" s="10">
        <f>ROUND(SUM(Д402[[#This Row],[Площадь по проекту жилая]:[Лоджия 3]]),2)</f>
        <v>29.73</v>
      </c>
      <c r="T224" s="10">
        <f>ROUND(Д402[[#This Row],[Площадь по проекту(общая)]]-Д402[[#This Row],[Летние]],2)</f>
        <v>29.73</v>
      </c>
      <c r="U224" s="10">
        <f>ROUND(Д402[[#This Row],[Площадь по проекту(общая)]]-(SUM(Д402[[#This Row],[Лоджия 1]:[Лоджия 3]])/2),2)</f>
        <v>29.73</v>
      </c>
      <c r="V224" s="10">
        <f>VLOOKUP(Д402[[#This Row],[№]],наценка7[],COLUMN(наценка7[[#This Row],[Цена м2 с учетом всех K]]),0)</f>
        <v>138332.70000000001</v>
      </c>
      <c r="W224" s="162"/>
      <c r="X224" s="10">
        <f>Д402[[#This Row],[м2 после К]]+Д402[[#This Row],[02.12.2024]]</f>
        <v>138332.70000000001</v>
      </c>
      <c r="Y224" s="149">
        <v>1000</v>
      </c>
      <c r="Z224" s="10">
        <f>Д402[[#This Row],[Фикс 20.12.24]]+Д402[[#This Row],[23.12.24 СП +1000]]</f>
        <v>139332.70000000001</v>
      </c>
      <c r="AA224" s="149">
        <v>215</v>
      </c>
      <c r="AB224" s="10">
        <f>Д402[[#This Row],[Фикс 23.12.24]]+Д402[[#This Row],[Повышение 20.02.25]]</f>
        <v>139547.70000000001</v>
      </c>
      <c r="AC224" s="149">
        <v>17.5</v>
      </c>
      <c r="AD224" s="10">
        <f>Д402[[#This Row],[Фикс 20.02.25]]+Д402[[#This Row],[Повышение 24.02.2025]]</f>
        <v>139565.20000000001</v>
      </c>
      <c r="AE224" s="10"/>
      <c r="AF224" s="10">
        <f>Д402[[#This Row],[Фикс 24.02.25]]+Д402[[#This Row],[Повышение 05.03.2025
1К: до 40м - 1,5%, 40+ 0,5%
2К - 0,5% ]]</f>
        <v>139565.20000000001</v>
      </c>
      <c r="AG224" s="10"/>
      <c r="AH224" s="10">
        <f>Д402[[#This Row],[Фикс 05.03.25]]+Д402[[#This Row],[повышение 14.03.25 1К-1%]]</f>
        <v>139565.20000000001</v>
      </c>
      <c r="AI224" s="10"/>
      <c r="AJ224" s="10">
        <f>Д402[[#This Row],[Фикс 14.03.25]]+Д402[[#This Row],[повышение 28.03.25 1К-1%]]</f>
        <v>139565.20000000001</v>
      </c>
      <c r="AK224" s="10"/>
      <c r="AL224" s="10">
        <f>Д402[[#This Row],[Фикс 28.03.25]]+Д402[[#This Row],[Повышение 23.07.25
1К 43-46м2 - 2%
2К 55-58 - 2%; 58-64 - 3%
3К 76-79 - 2%
]]</f>
        <v>139565.20000000001</v>
      </c>
      <c r="AM224" s="149">
        <f>ROUND(Д402[[#This Row],[Фикс 23.07.25]],2)</f>
        <v>139565.20000000001</v>
      </c>
      <c r="AN224" s="149">
        <f>ROUNDUP(Д402[[#This Row],[утв цена м2]]*Д402[[#This Row],[Расчетная проектная площадь]],-2)</f>
        <v>4149300</v>
      </c>
      <c r="AO224" s="151"/>
      <c r="AP224" s="152"/>
      <c r="AQ224" s="151">
        <f>Д402[[#This Row],[Стоимость до скидки]]*Д402[[#This Row],[Скидка %]]+Д402[[#This Row],[Скидка фиксированная]]</f>
        <v>0</v>
      </c>
      <c r="AR224" s="3">
        <f>Д402[[#This Row],[Стоимость ОН без отделки со скидкой]]/Д402[[#This Row],[Расчетная проектная площадь]]</f>
        <v>139566.09485368314</v>
      </c>
      <c r="AS224" s="3">
        <f>Д402[[#This Row],[Стоимость до скидки]]-Д402[[#This Row],[Итоговая сумма скидки]]</f>
        <v>4149300</v>
      </c>
      <c r="AT22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4" s="153"/>
      <c r="AV224" s="153"/>
      <c r="AW224" s="3">
        <f>Д402[[#This Row],[Цена м2 без отделки со скидкой]]+Д402[[#This Row],[Стоимость отделки]]</f>
        <v>139566.09485368314</v>
      </c>
      <c r="AX224" s="3">
        <f>Д402[[#This Row],[Стоимость квартиры с отделкой]]-Д402[[#This Row],[Стоимость ОН без отделки со скидкой]]</f>
        <v>0</v>
      </c>
      <c r="AY224" s="3">
        <f>Д402[[#This Row],[Цена м2 с отделкой]]*Д402[[#This Row],[Расчетная проектная площадь]]</f>
        <v>4149300</v>
      </c>
      <c r="AZ224" s="161"/>
      <c r="BA224" s="155" t="s">
        <v>12</v>
      </c>
      <c r="BB224" s="156" t="str" cm="1">
        <f t="array" ref="BB22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24" s="161" t="s">
        <v>738</v>
      </c>
      <c r="BD224" s="161" t="s">
        <v>739</v>
      </c>
      <c r="BE224" s="161" t="s">
        <v>737</v>
      </c>
      <c r="BF224" s="161" t="s">
        <v>743</v>
      </c>
      <c r="BG224" s="161" t="b">
        <f>EXACT(Д402[[#This Row],[Статусы CRM]],Д402[[#This Row],[Статус]])</f>
        <v>1</v>
      </c>
      <c r="BH224" s="3">
        <f>IF(Д402[[#This Row],[ПС]]=0,IF(Д402[[#This Row],[ДС]]=0,Д402[[#This Row],[ТС]],Д402[[#This Row],[ДС]]),Д402[[#This Row],[ПС]])</f>
        <v>4149300</v>
      </c>
      <c r="BI224" s="3">
        <v>4149300</v>
      </c>
      <c r="BJ224" s="3">
        <v>0</v>
      </c>
      <c r="BK224" s="3">
        <v>0</v>
      </c>
      <c r="BL224" s="273">
        <f>Д402[[#This Row],[Стоимость CRM]]-Д402[[#This Row],[Стоимость до скидки]]</f>
        <v>0</v>
      </c>
      <c r="BM224" s="161" t="s">
        <v>9</v>
      </c>
      <c r="BN224" s="161" t="b">
        <f>Д402[[#This Row],[Отделка CRM]]=Д402[[#This Row],[Отделка]]</f>
        <v>1</v>
      </c>
      <c r="BO224" s="275" t="s">
        <v>356</v>
      </c>
      <c r="BP224" s="69"/>
    </row>
    <row r="225" spans="1:68" ht="12" customHeight="1" x14ac:dyDescent="0.25">
      <c r="A225" s="140">
        <v>223</v>
      </c>
      <c r="B225" s="15">
        <v>3</v>
      </c>
      <c r="C225" s="141">
        <f t="shared" si="8"/>
        <v>9</v>
      </c>
      <c r="D225" s="142">
        <v>1</v>
      </c>
      <c r="E225" s="141">
        <v>1</v>
      </c>
      <c r="F225" s="143">
        <v>14.42</v>
      </c>
      <c r="G225" s="143"/>
      <c r="H225" s="143"/>
      <c r="I225" s="144">
        <f>SUM(Д402[[#This Row],[Комната 1]:[Комната 3]])</f>
        <v>14.42</v>
      </c>
      <c r="J225" s="145">
        <v>16.2</v>
      </c>
      <c r="K225" s="145">
        <v>4.09</v>
      </c>
      <c r="L225" s="145"/>
      <c r="M225" s="145">
        <v>8.0299999999999994</v>
      </c>
      <c r="N225" s="145"/>
      <c r="O225" s="145">
        <v>3.01</v>
      </c>
      <c r="P225" s="146"/>
      <c r="Q225" s="146"/>
      <c r="R225" s="146">
        <f>SUM(Д402[[#This Row],[Лоджия 1]:[Лоджия 3]])</f>
        <v>3.01</v>
      </c>
      <c r="S225" s="10">
        <f>ROUND(SUM(Д402[[#This Row],[Площадь по проекту жилая]:[Лоджия 3]]),2)</f>
        <v>45.75</v>
      </c>
      <c r="T225" s="10">
        <f>ROUND(Д402[[#This Row],[Площадь по проекту(общая)]]-Д402[[#This Row],[Летние]],2)</f>
        <v>42.74</v>
      </c>
      <c r="U225" s="10">
        <f>ROUND(Д402[[#This Row],[Площадь по проекту(общая)]]-(SUM(Д402[[#This Row],[Лоджия 1]:[Лоджия 3]])/2),2)</f>
        <v>44.25</v>
      </c>
      <c r="V225" s="10">
        <f>VLOOKUP(Д402[[#This Row],[№]],наценка7[],COLUMN(наценка7[[#This Row],[Цена м2 с учетом всех K]]),0)</f>
        <v>122837.8</v>
      </c>
      <c r="W225" s="159">
        <f>2%*Д402[[#This Row],[м2 после К]]</f>
        <v>2456.7560000000003</v>
      </c>
      <c r="X225" s="10">
        <f>Д402[[#This Row],[м2 после К]]+Д402[[#This Row],[02.12.2024]]</f>
        <v>125294.556</v>
      </c>
      <c r="Y225" s="10">
        <v>1000</v>
      </c>
      <c r="Z225" s="10">
        <f>Д402[[#This Row],[Фикс 20.12.24]]+Д402[[#This Row],[23.12.24 СП +1000]]</f>
        <v>126294.556</v>
      </c>
      <c r="AA225" s="10"/>
      <c r="AB225" s="10">
        <f>Д402[[#This Row],[Фикс 23.12.24]]+Д402[[#This Row],[Повышение 20.02.25]]</f>
        <v>126294.556</v>
      </c>
      <c r="AC225" s="10"/>
      <c r="AD225" s="10">
        <f>Д402[[#This Row],[Фикс 20.02.25]]+Д402[[#This Row],[Повышение 24.02.2025]]</f>
        <v>126294.556</v>
      </c>
      <c r="AE225" s="10"/>
      <c r="AF225" s="10">
        <f>Д402[[#This Row],[Фикс 24.02.25]]+Д402[[#This Row],[Повышение 05.03.2025
1К: до 40м - 1,5%, 40+ 0,5%
2К - 0,5% ]]</f>
        <v>126294.556</v>
      </c>
      <c r="AG225" s="10"/>
      <c r="AH225" s="10">
        <f>Д402[[#This Row],[Фикс 05.03.25]]+Д402[[#This Row],[повышение 14.03.25 1К-1%]]</f>
        <v>126294.556</v>
      </c>
      <c r="AI225" s="10"/>
      <c r="AJ225" s="10">
        <f>Д402[[#This Row],[Фикс 14.03.25]]+Д402[[#This Row],[повышение 28.03.25 1К-1%]]</f>
        <v>126294.556</v>
      </c>
      <c r="AK225" s="10"/>
      <c r="AL225" s="10">
        <f>Д402[[#This Row],[Фикс 28.03.25]]+Д402[[#This Row],[Повышение 23.07.25
1К 43-46м2 - 2%
2К 55-58 - 2%; 58-64 - 3%
3К 76-79 - 2%
]]</f>
        <v>126294.556</v>
      </c>
      <c r="AM225" s="149">
        <f>ROUND(Д402[[#This Row],[Фикс 23.07.25]],2)</f>
        <v>126294.56</v>
      </c>
      <c r="AN225" s="149">
        <f>ROUNDUP(Д402[[#This Row],[утв цена м2]]*Д402[[#This Row],[Расчетная проектная площадь]],-2)</f>
        <v>5588600</v>
      </c>
      <c r="AO225" s="151"/>
      <c r="AP225" s="152"/>
      <c r="AQ225" s="151">
        <f>Д402[[#This Row],[Стоимость до скидки]]*Д402[[#This Row],[Скидка %]]+Д402[[#This Row],[Скидка фиксированная]]</f>
        <v>0</v>
      </c>
      <c r="AR225" s="3">
        <f>Д402[[#This Row],[Стоимость ОН без отделки со скидкой]]/Д402[[#This Row],[Расчетная проектная площадь]]</f>
        <v>126296.04519774011</v>
      </c>
      <c r="AS225" s="3">
        <f>Д402[[#This Row],[Стоимость до скидки]]-Д402[[#This Row],[Итоговая сумма скидки]]</f>
        <v>5588600</v>
      </c>
      <c r="AT22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5" s="153"/>
      <c r="AV225" s="153"/>
      <c r="AW225" s="3">
        <f>Д402[[#This Row],[Цена м2 без отделки со скидкой]]+Д402[[#This Row],[Стоимость отделки]]</f>
        <v>126296.04519774011</v>
      </c>
      <c r="AX225" s="3">
        <f>Д402[[#This Row],[Стоимость квартиры с отделкой]]-Д402[[#This Row],[Стоимость ОН без отделки со скидкой]]</f>
        <v>0</v>
      </c>
      <c r="AY225" s="3">
        <f>Д402[[#This Row],[Цена м2 с отделкой]]*Д402[[#This Row],[Расчетная проектная площадь]]</f>
        <v>5588600</v>
      </c>
      <c r="AZ225" s="161"/>
      <c r="BA225" s="269" t="s">
        <v>426</v>
      </c>
      <c r="BB225" s="269" t="str" cm="1">
        <f t="array" ref="BB22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25" s="161" t="s">
        <v>741</v>
      </c>
      <c r="BD225" s="161" t="s">
        <v>506</v>
      </c>
      <c r="BE225" s="161" t="s">
        <v>737</v>
      </c>
      <c r="BF225" s="161" t="s">
        <v>745</v>
      </c>
      <c r="BG225" s="161" t="b">
        <f>EXACT(Д402[[#This Row],[Статусы CRM]],Д402[[#This Row],[Статус]])</f>
        <v>1</v>
      </c>
      <c r="BH225" s="3">
        <f>IF(Д402[[#This Row],[ПС]]=0,IF(Д402[[#This Row],[ДС]]=0,Д402[[#This Row],[ТС]],Д402[[#This Row],[ДС]]),Д402[[#This Row],[ПС]])</f>
        <v>5588600</v>
      </c>
      <c r="BI225" s="3" t="s">
        <v>749</v>
      </c>
      <c r="BJ225" s="3">
        <v>0</v>
      </c>
      <c r="BK225" s="3">
        <v>5588600</v>
      </c>
      <c r="BL225" s="273">
        <f>Д402[[#This Row],[Стоимость CRM]]-Д402[[#This Row],[Стоимость до скидки]]</f>
        <v>0</v>
      </c>
      <c r="BM225" s="161" t="s">
        <v>9</v>
      </c>
      <c r="BN225" s="161" t="b">
        <f>Д402[[#This Row],[Отделка CRM]]=Д402[[#This Row],[Отделка]]</f>
        <v>1</v>
      </c>
      <c r="BO225" s="275" t="s">
        <v>357</v>
      </c>
      <c r="BP225" s="69"/>
    </row>
    <row r="226" spans="1:68" ht="12" customHeight="1" x14ac:dyDescent="0.25">
      <c r="A226" s="140">
        <v>224</v>
      </c>
      <c r="B226" s="15">
        <v>3</v>
      </c>
      <c r="C226" s="141">
        <f t="shared" si="8"/>
        <v>9</v>
      </c>
      <c r="D226" s="142">
        <v>2</v>
      </c>
      <c r="E226" s="141">
        <v>1</v>
      </c>
      <c r="F226" s="143">
        <v>12.76</v>
      </c>
      <c r="G226" s="143"/>
      <c r="H226" s="143"/>
      <c r="I226" s="144">
        <f>SUM(Д402[[#This Row],[Комната 1]:[Комната 3]])</f>
        <v>12.76</v>
      </c>
      <c r="J226" s="145">
        <v>15.1</v>
      </c>
      <c r="K226" s="145">
        <v>4.22</v>
      </c>
      <c r="L226" s="145"/>
      <c r="M226" s="145">
        <v>3.09</v>
      </c>
      <c r="N226" s="145"/>
      <c r="O226" s="145">
        <v>2.93</v>
      </c>
      <c r="P226" s="146"/>
      <c r="Q226" s="146"/>
      <c r="R226" s="146">
        <f>SUM(Д402[[#This Row],[Лоджия 1]:[Лоджия 3]])</f>
        <v>2.93</v>
      </c>
      <c r="S226" s="10">
        <f>ROUND(SUM(Д402[[#This Row],[Площадь по проекту жилая]:[Лоджия 3]]),2)</f>
        <v>38.1</v>
      </c>
      <c r="T226" s="10">
        <f>ROUND(Д402[[#This Row],[Площадь по проекту(общая)]]-Д402[[#This Row],[Летние]],2)</f>
        <v>35.17</v>
      </c>
      <c r="U226" s="10">
        <f>ROUND(Д402[[#This Row],[Площадь по проекту(общая)]]-(SUM(Д402[[#This Row],[Лоджия 1]:[Лоджия 3]])/2),2)</f>
        <v>36.64</v>
      </c>
      <c r="V226" s="10">
        <f>VLOOKUP(Д402[[#This Row],[№]],наценка7[],COLUMN(наценка7[[#This Row],[Цена м2 с учетом всех K]]),0)</f>
        <v>126415.6</v>
      </c>
      <c r="W226" s="159">
        <f>2%*Д402[[#This Row],[м2 после К]]</f>
        <v>2528.3120000000004</v>
      </c>
      <c r="X226" s="10">
        <f>Д402[[#This Row],[м2 после К]]+Д402[[#This Row],[02.12.2024]]</f>
        <v>128943.91200000001</v>
      </c>
      <c r="Y226" s="149">
        <v>1000</v>
      </c>
      <c r="Z226" s="10">
        <f>Д402[[#This Row],[Фикс 20.12.24]]+Д402[[#This Row],[23.12.24 СП +1000]]</f>
        <v>129943.91200000001</v>
      </c>
      <c r="AA226" s="149">
        <v>215</v>
      </c>
      <c r="AB226" s="10">
        <f>Д402[[#This Row],[Фикс 23.12.24]]+Д402[[#This Row],[Повышение 20.02.25]]</f>
        <v>130158.91200000001</v>
      </c>
      <c r="AC226" s="149">
        <v>17.5</v>
      </c>
      <c r="AD226" s="10">
        <f>Д402[[#This Row],[Фикс 20.02.25]]+Д402[[#This Row],[Повышение 24.02.2025]]</f>
        <v>130176.41200000001</v>
      </c>
      <c r="AE226" s="149">
        <f>Д402[[#This Row],[Фикс 24.02.25]]*1.5%</f>
        <v>1952.6461800000002</v>
      </c>
      <c r="AF226" s="10">
        <f>Д402[[#This Row],[Фикс 24.02.25]]+Д402[[#This Row],[Повышение 05.03.2025
1К: до 40м - 1,5%, 40+ 0,5%
2К - 0,5% ]]</f>
        <v>132129.05818000002</v>
      </c>
      <c r="AG226" s="149">
        <f>Д402[[#This Row],[Фикс 05.03.25]]*1%</f>
        <v>1321.2905818000002</v>
      </c>
      <c r="AH226" s="10">
        <f>Д402[[#This Row],[Фикс 05.03.25]]+Д402[[#This Row],[повышение 14.03.25 1К-1%]]</f>
        <v>133450.34876180004</v>
      </c>
      <c r="AI226" s="149">
        <f>Д402[[#This Row],[Фикс 14.03.25]]*1%</f>
        <v>1334.5034876180005</v>
      </c>
      <c r="AJ226" s="10">
        <f>Д402[[#This Row],[Фикс 14.03.25]]+Д402[[#This Row],[повышение 28.03.25 1К-1%]]</f>
        <v>134784.85224941804</v>
      </c>
      <c r="AK226" s="10"/>
      <c r="AL226" s="10">
        <f>Д402[[#This Row],[Фикс 28.03.25]]+Д402[[#This Row],[Повышение 23.07.25
1К 43-46м2 - 2%
2К 55-58 - 2%; 58-64 - 3%
3К 76-79 - 2%
]]</f>
        <v>134784.85224941804</v>
      </c>
      <c r="AM226" s="149">
        <f>ROUND(Д402[[#This Row],[Фикс 23.07.25]],2)</f>
        <v>134784.85</v>
      </c>
      <c r="AN226" s="149">
        <f>ROUNDUP(Д402[[#This Row],[утв цена м2]]*Д402[[#This Row],[Расчетная проектная площадь]],-2)</f>
        <v>4938600</v>
      </c>
      <c r="AO226" s="151"/>
      <c r="AP226" s="152">
        <v>0.02</v>
      </c>
      <c r="AQ226" s="151">
        <f>Д402[[#This Row],[Стоимость до скидки]]*Д402[[#This Row],[Скидка %]]+Д402[[#This Row],[Скидка фиксированная]]</f>
        <v>98772</v>
      </c>
      <c r="AR226" s="3">
        <f>Д402[[#This Row],[Стоимость ОН без отделки со скидкой]]/Д402[[#This Row],[Расчетная проектная площадь]]</f>
        <v>132091.37554585154</v>
      </c>
      <c r="AS226" s="3">
        <f>Д402[[#This Row],[Стоимость до скидки]]-Д402[[#This Row],[Итоговая сумма скидки]]</f>
        <v>4839828</v>
      </c>
      <c r="AT22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26" s="153">
        <v>10000</v>
      </c>
      <c r="AV226" s="153"/>
      <c r="AW226" s="3">
        <f>Д402[[#This Row],[Цена м2 без отделки со скидкой]]+Д402[[#This Row],[Стоимость отделки]]</f>
        <v>142091.37554585154</v>
      </c>
      <c r="AX226" s="3">
        <f>Д402[[#This Row],[Стоимость квартиры с отделкой]]-Д402[[#This Row],[Стоимость ОН без отделки со скидкой]]</f>
        <v>366400</v>
      </c>
      <c r="AY226" s="3">
        <f>Д402[[#This Row],[Цена м2 с отделкой]]*Д402[[#This Row],[Расчетная проектная площадь]]</f>
        <v>5206228</v>
      </c>
      <c r="AZ226" s="161" t="s">
        <v>436</v>
      </c>
      <c r="BA226" s="301" t="s">
        <v>426</v>
      </c>
      <c r="BB226" s="269" t="str" cm="1">
        <f t="array" ref="BB22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26" s="161" t="s">
        <v>741</v>
      </c>
      <c r="BD226" s="161" t="s">
        <v>506</v>
      </c>
      <c r="BE226" s="161" t="s">
        <v>737</v>
      </c>
      <c r="BF226" s="161" t="s">
        <v>745</v>
      </c>
      <c r="BG226" s="161" t="b">
        <f>EXACT(Д402[[#This Row],[Статусы CRM]],Д402[[#This Row],[Статус]])</f>
        <v>1</v>
      </c>
      <c r="BH226" s="3">
        <f>IF(Д402[[#This Row],[ПС]]=0,IF(Д402[[#This Row],[ДС]]=0,Д402[[#This Row],[ТС]],Д402[[#This Row],[ДС]]),Д402[[#This Row],[ПС]])</f>
        <v>4938600</v>
      </c>
      <c r="BI226" s="3" t="s">
        <v>749</v>
      </c>
      <c r="BJ226" s="3">
        <v>0</v>
      </c>
      <c r="BK226" s="3">
        <v>4938600</v>
      </c>
      <c r="BL226" s="273">
        <f>Д402[[#This Row],[Стоимость CRM]]-Д402[[#This Row],[Стоимость до скидки]]</f>
        <v>0</v>
      </c>
      <c r="BM226" s="161" t="s">
        <v>718</v>
      </c>
      <c r="BN226" s="161" t="b">
        <f>Д402[[#This Row],[Отделка CRM]]=Д402[[#This Row],[Отделка]]</f>
        <v>1</v>
      </c>
      <c r="BO226" s="275" t="s">
        <v>358</v>
      </c>
      <c r="BP226" s="69"/>
    </row>
    <row r="227" spans="1:68" ht="12" customHeight="1" x14ac:dyDescent="0.25">
      <c r="A227" s="140">
        <v>225</v>
      </c>
      <c r="B227" s="15">
        <v>3</v>
      </c>
      <c r="C227" s="141">
        <f t="shared" si="8"/>
        <v>9</v>
      </c>
      <c r="D227" s="142">
        <v>3</v>
      </c>
      <c r="E227" s="141">
        <v>2</v>
      </c>
      <c r="F227" s="143">
        <v>15.36</v>
      </c>
      <c r="G227" s="143">
        <v>11.95</v>
      </c>
      <c r="H227" s="143"/>
      <c r="I227" s="144">
        <f>SUM(Д402[[#This Row],[Комната 1]:[Комната 3]])</f>
        <v>27.31</v>
      </c>
      <c r="J227" s="145">
        <v>14.7</v>
      </c>
      <c r="K227" s="145">
        <v>4.21</v>
      </c>
      <c r="L227" s="145"/>
      <c r="M227" s="145">
        <v>6.6</v>
      </c>
      <c r="N227" s="145"/>
      <c r="O227" s="145">
        <v>3.23</v>
      </c>
      <c r="P227" s="146"/>
      <c r="Q227" s="146"/>
      <c r="R227" s="146">
        <f>SUM(Д402[[#This Row],[Лоджия 1]:[Лоджия 3]])</f>
        <v>3.23</v>
      </c>
      <c r="S227" s="10">
        <f>ROUND(SUM(Д402[[#This Row],[Площадь по проекту жилая]:[Лоджия 3]]),2)</f>
        <v>56.05</v>
      </c>
      <c r="T227" s="10">
        <f>ROUND(Д402[[#This Row],[Площадь по проекту(общая)]]-Д402[[#This Row],[Летние]],2)</f>
        <v>52.82</v>
      </c>
      <c r="U227" s="10">
        <f>ROUND(Д402[[#This Row],[Площадь по проекту(общая)]]-(SUM(Д402[[#This Row],[Лоджия 1]:[Лоджия 3]])/2),2)</f>
        <v>54.44</v>
      </c>
      <c r="V227" s="10">
        <f>VLOOKUP(Д402[[#This Row],[№]],наценка7[],COLUMN(наценка7[[#This Row],[Цена м2 с учетом всех K]]),0)</f>
        <v>119811.8</v>
      </c>
      <c r="W227" s="162">
        <f>0.021*Д402[[#This Row],[м2 после К]]</f>
        <v>2516.0478000000003</v>
      </c>
      <c r="X227" s="10">
        <f>Д402[[#This Row],[м2 после К]]+Д402[[#This Row],[02.12.2024]]</f>
        <v>122327.8478</v>
      </c>
      <c r="Y227" s="149">
        <v>1000</v>
      </c>
      <c r="Z227" s="10">
        <f>Д402[[#This Row],[Фикс 20.12.24]]+Д402[[#This Row],[23.12.24 СП +1000]]</f>
        <v>123327.8478</v>
      </c>
      <c r="AA227" s="149">
        <v>215</v>
      </c>
      <c r="AB227" s="10">
        <f>Д402[[#This Row],[Фикс 23.12.24]]+Д402[[#This Row],[Повышение 20.02.25]]</f>
        <v>123542.8478</v>
      </c>
      <c r="AC227" s="149">
        <v>17.5</v>
      </c>
      <c r="AD227" s="10">
        <f>Д402[[#This Row],[Фикс 20.02.25]]+Д402[[#This Row],[Повышение 24.02.2025]]</f>
        <v>123560.3478</v>
      </c>
      <c r="AE227" s="149">
        <f>Д402[[#This Row],[Фикс 24.02.25]]*0.5%</f>
        <v>617.801739</v>
      </c>
      <c r="AF227" s="10">
        <f>Д402[[#This Row],[Фикс 24.02.25]]+Д402[[#This Row],[Повышение 05.03.2025
1К: до 40м - 1,5%, 40+ 0,5%
2К - 0,5% ]]</f>
        <v>124178.14953900001</v>
      </c>
      <c r="AG227" s="10"/>
      <c r="AH227" s="10">
        <f>Д402[[#This Row],[Фикс 05.03.25]]+Д402[[#This Row],[повышение 14.03.25 1К-1%]]</f>
        <v>124178.14953900001</v>
      </c>
      <c r="AI227" s="10"/>
      <c r="AJ227" s="10">
        <f>Д402[[#This Row],[Фикс 14.03.25]]+Д402[[#This Row],[повышение 28.03.25 1К-1%]]</f>
        <v>124178.14953900001</v>
      </c>
      <c r="AK227" s="10"/>
      <c r="AL227" s="10">
        <f>Д402[[#This Row],[Фикс 28.03.25]]+Д402[[#This Row],[Повышение 23.07.25
1К 43-46м2 - 2%
2К 55-58 - 2%; 58-64 - 3%
3К 76-79 - 2%
]]</f>
        <v>124178.14953900001</v>
      </c>
      <c r="AM227" s="149">
        <f>ROUND(Д402[[#This Row],[Фикс 23.07.25]],2)</f>
        <v>124178.15</v>
      </c>
      <c r="AN227" s="149">
        <f>ROUNDUP(Д402[[#This Row],[утв цена м2]]*Д402[[#This Row],[Расчетная проектная площадь]],-2)</f>
        <v>6760300</v>
      </c>
      <c r="AO227" s="151"/>
      <c r="AP227" s="152"/>
      <c r="AQ227" s="151">
        <f>Д402[[#This Row],[Стоимость до скидки]]*Д402[[#This Row],[Скидка %]]+Д402[[#This Row],[Скидка фиксированная]]</f>
        <v>0</v>
      </c>
      <c r="AR227" s="3">
        <f>Д402[[#This Row],[Стоимость ОН без отделки со скидкой]]/Д402[[#This Row],[Расчетная проектная площадь]]</f>
        <v>124178.91256429096</v>
      </c>
      <c r="AS227" s="3">
        <f>Д402[[#This Row],[Стоимость до скидки]]-Д402[[#This Row],[Итоговая сумма скидки]]</f>
        <v>6760300</v>
      </c>
      <c r="AT22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27" s="153">
        <v>10000</v>
      </c>
      <c r="AV227" s="153"/>
      <c r="AW227" s="3">
        <f>Д402[[#This Row],[Цена м2 без отделки со скидкой]]+Д402[[#This Row],[Стоимость отделки]]</f>
        <v>134178.91256429098</v>
      </c>
      <c r="AX227" s="3">
        <f>Д402[[#This Row],[Стоимость квартиры с отделкой]]-Д402[[#This Row],[Стоимость ОН без отделки со скидкой]]</f>
        <v>544400.00000000093</v>
      </c>
      <c r="AY227" s="3">
        <f>Д402[[#This Row],[Цена м2 с отделкой]]*Д402[[#This Row],[Расчетная проектная площадь]]</f>
        <v>7304700.0000000009</v>
      </c>
      <c r="AZ227" s="161"/>
      <c r="BA227" s="269" t="s">
        <v>426</v>
      </c>
      <c r="BB227" s="269" t="str" cm="1">
        <f t="array" ref="BB22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27" s="161" t="s">
        <v>741</v>
      </c>
      <c r="BD227" s="161" t="s">
        <v>506</v>
      </c>
      <c r="BE227" s="161" t="s">
        <v>737</v>
      </c>
      <c r="BF227" s="161" t="s">
        <v>744</v>
      </c>
      <c r="BG227" s="161" t="b">
        <f>EXACT(Д402[[#This Row],[Статусы CRM]],Д402[[#This Row],[Статус]])</f>
        <v>1</v>
      </c>
      <c r="BH227" s="3">
        <f>IF(Д402[[#This Row],[ПС]]=0,IF(Д402[[#This Row],[ДС]]=0,Д402[[#This Row],[ТС]],Д402[[#This Row],[ДС]]),Д402[[#This Row],[ПС]])</f>
        <v>6760300</v>
      </c>
      <c r="BI227" s="3" t="s">
        <v>749</v>
      </c>
      <c r="BJ227" s="3">
        <v>0</v>
      </c>
      <c r="BK227" s="3">
        <v>6760300</v>
      </c>
      <c r="BL227" s="273">
        <f>Д402[[#This Row],[Стоимость CRM]]-Д402[[#This Row],[Стоимость до скидки]]</f>
        <v>0</v>
      </c>
      <c r="BM227" s="161" t="s">
        <v>718</v>
      </c>
      <c r="BN227" s="161" t="b">
        <f>Д402[[#This Row],[Отделка CRM]]=Д402[[#This Row],[Отделка]]</f>
        <v>1</v>
      </c>
      <c r="BO227" s="275" t="s">
        <v>359</v>
      </c>
      <c r="BP227" s="69"/>
    </row>
    <row r="228" spans="1:68" ht="12" customHeight="1" x14ac:dyDescent="0.25">
      <c r="A228" s="140">
        <v>226</v>
      </c>
      <c r="B228" s="15">
        <v>3</v>
      </c>
      <c r="C228" s="141">
        <f t="shared" si="8"/>
        <v>9</v>
      </c>
      <c r="D228" s="142">
        <v>4</v>
      </c>
      <c r="E228" s="141">
        <v>1</v>
      </c>
      <c r="F228" s="143">
        <v>14.28</v>
      </c>
      <c r="G228" s="143"/>
      <c r="H228" s="143"/>
      <c r="I228" s="144">
        <f>SUM(Д402[[#This Row],[Комната 1]:[Комната 3]])</f>
        <v>14.28</v>
      </c>
      <c r="J228" s="145">
        <v>13.99</v>
      </c>
      <c r="K228" s="145">
        <v>3.9</v>
      </c>
      <c r="L228" s="145"/>
      <c r="M228" s="145">
        <v>2.6</v>
      </c>
      <c r="N228" s="145"/>
      <c r="O228" s="145">
        <v>3.23</v>
      </c>
      <c r="P228" s="146"/>
      <c r="Q228" s="146"/>
      <c r="R228" s="146">
        <f>SUM(Д402[[#This Row],[Лоджия 1]:[Лоджия 3]])</f>
        <v>3.23</v>
      </c>
      <c r="S228" s="10">
        <f>ROUND(SUM(Д402[[#This Row],[Площадь по проекту жилая]:[Лоджия 3]]),2)</f>
        <v>38</v>
      </c>
      <c r="T228" s="10">
        <f>ROUND(Д402[[#This Row],[Площадь по проекту(общая)]]-Д402[[#This Row],[Летние]],2)</f>
        <v>34.770000000000003</v>
      </c>
      <c r="U228" s="10">
        <f>ROUND(Д402[[#This Row],[Площадь по проекту(общая)]]-(SUM(Д402[[#This Row],[Лоджия 1]:[Лоджия 3]])/2),2)</f>
        <v>36.39</v>
      </c>
      <c r="V228" s="10">
        <f>VLOOKUP(Д402[[#This Row],[№]],наценка7[],COLUMN(наценка7[[#This Row],[Цена м2 с учетом всех K]]),0)</f>
        <v>125223</v>
      </c>
      <c r="W228" s="162"/>
      <c r="X228" s="10">
        <f>Д402[[#This Row],[м2 после К]]+Д402[[#This Row],[02.12.2024]]</f>
        <v>125223</v>
      </c>
      <c r="Y228" s="149">
        <v>1000</v>
      </c>
      <c r="Z228" s="10">
        <f>Д402[[#This Row],[Фикс 20.12.24]]+Д402[[#This Row],[23.12.24 СП +1000]]</f>
        <v>126223</v>
      </c>
      <c r="AA228" s="149">
        <v>215</v>
      </c>
      <c r="AB228" s="10">
        <f>Д402[[#This Row],[Фикс 23.12.24]]+Д402[[#This Row],[Повышение 20.02.25]]</f>
        <v>126438</v>
      </c>
      <c r="AC228" s="149">
        <v>17.5</v>
      </c>
      <c r="AD228" s="10">
        <f>Д402[[#This Row],[Фикс 20.02.25]]+Д402[[#This Row],[Повышение 24.02.2025]]</f>
        <v>126455.5</v>
      </c>
      <c r="AE228" s="149">
        <f>Д402[[#This Row],[Фикс 24.02.25]]*1.5%</f>
        <v>1896.8325</v>
      </c>
      <c r="AF228" s="10">
        <f>Д402[[#This Row],[Фикс 24.02.25]]+Д402[[#This Row],[Повышение 05.03.2025
1К: до 40м - 1,5%, 40+ 0,5%
2К - 0,5% ]]</f>
        <v>128352.3325</v>
      </c>
      <c r="AG228" s="149">
        <f>Д402[[#This Row],[Фикс 05.03.25]]*1%</f>
        <v>1283.5233250000001</v>
      </c>
      <c r="AH228" s="10">
        <f>Д402[[#This Row],[Фикс 05.03.25]]+Д402[[#This Row],[повышение 14.03.25 1К-1%]]</f>
        <v>129635.85582500001</v>
      </c>
      <c r="AI228" s="149">
        <f>Д402[[#This Row],[Фикс 14.03.25]]*1%</f>
        <v>1296.35855825</v>
      </c>
      <c r="AJ228" s="10">
        <f>Д402[[#This Row],[Фикс 14.03.25]]+Д402[[#This Row],[повышение 28.03.25 1К-1%]]</f>
        <v>130932.21438325</v>
      </c>
      <c r="AK228" s="10"/>
      <c r="AL228" s="10">
        <f>Д402[[#This Row],[Фикс 28.03.25]]+Д402[[#This Row],[Повышение 23.07.25
1К 43-46м2 - 2%
2К 55-58 - 2%; 58-64 - 3%
3К 76-79 - 2%
]]</f>
        <v>130932.21438325</v>
      </c>
      <c r="AM228" s="149">
        <f>ROUND(Д402[[#This Row],[Фикс 23.07.25]],2)</f>
        <v>130932.21</v>
      </c>
      <c r="AN228" s="149">
        <f>ROUNDUP(Д402[[#This Row],[утв цена м2]]*Д402[[#This Row],[Расчетная проектная площадь]],-2)</f>
        <v>4764700</v>
      </c>
      <c r="AO228" s="151"/>
      <c r="AP228" s="152"/>
      <c r="AQ228" s="151">
        <f>Д402[[#This Row],[Стоимость до скидки]]*Д402[[#This Row],[Скидка %]]+Д402[[#This Row],[Скидка фиксированная]]</f>
        <v>0</v>
      </c>
      <c r="AR228" s="3">
        <f>Д402[[#This Row],[Стоимость ОН без отделки со скидкой]]/Д402[[#This Row],[Расчетная проектная площадь]]</f>
        <v>130934.32261610332</v>
      </c>
      <c r="AS228" s="3">
        <f>Д402[[#This Row],[Стоимость до скидки]]-Д402[[#This Row],[Итоговая сумма скидки]]</f>
        <v>4764700</v>
      </c>
      <c r="AT22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8" s="153"/>
      <c r="AV228" s="153"/>
      <c r="AW228" s="3">
        <f>Д402[[#This Row],[Цена м2 без отделки со скидкой]]+Д402[[#This Row],[Стоимость отделки]]</f>
        <v>130934.32261610332</v>
      </c>
      <c r="AX228" s="3">
        <f>Д402[[#This Row],[Стоимость квартиры с отделкой]]-Д402[[#This Row],[Стоимость ОН без отделки со скидкой]]</f>
        <v>0</v>
      </c>
      <c r="AY228" s="3">
        <f>Д402[[#This Row],[Цена м2 с отделкой]]*Д402[[#This Row],[Расчетная проектная площадь]]</f>
        <v>4764700</v>
      </c>
      <c r="AZ228" s="161"/>
      <c r="BA228" s="269" t="s">
        <v>755</v>
      </c>
      <c r="BB228" s="156" t="str" cm="1">
        <f t="array" ref="BB22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Гарантированная бронь</v>
      </c>
      <c r="BC228" s="161" t="s">
        <v>738</v>
      </c>
      <c r="BD228" s="161" t="s">
        <v>754</v>
      </c>
      <c r="BE228" s="161" t="s">
        <v>737</v>
      </c>
      <c r="BF228" s="161" t="s">
        <v>746</v>
      </c>
      <c r="BG228" s="161" t="b">
        <f>EXACT(Д402[[#This Row],[Статусы CRM]],Д402[[#This Row],[Статус]])</f>
        <v>1</v>
      </c>
      <c r="BH228" s="3">
        <f>IF(Д402[[#This Row],[ПС]]=0,IF(Д402[[#This Row],[ДС]]=0,Д402[[#This Row],[ТС]],Д402[[#This Row],[ДС]]),Д402[[#This Row],[ПС]])</f>
        <v>4764700</v>
      </c>
      <c r="BI228" s="3">
        <v>4764700</v>
      </c>
      <c r="BJ228" s="3">
        <v>0</v>
      </c>
      <c r="BK228" s="3">
        <v>0</v>
      </c>
      <c r="BL228" s="273">
        <f>Д402[[#This Row],[Стоимость CRM]]-Д402[[#This Row],[Стоимость до скидки]]</f>
        <v>0</v>
      </c>
      <c r="BM228" s="161" t="s">
        <v>9</v>
      </c>
      <c r="BN228" s="161" t="b">
        <f>Д402[[#This Row],[Отделка CRM]]=Д402[[#This Row],[Отделка]]</f>
        <v>1</v>
      </c>
      <c r="BO228" s="275" t="s">
        <v>360</v>
      </c>
      <c r="BP228" s="69"/>
    </row>
    <row r="229" spans="1:68" ht="12" customHeight="1" x14ac:dyDescent="0.25">
      <c r="A229" s="140">
        <v>227</v>
      </c>
      <c r="B229" s="15">
        <v>3</v>
      </c>
      <c r="C229" s="141">
        <f t="shared" si="8"/>
        <v>9</v>
      </c>
      <c r="D229" s="142">
        <v>5</v>
      </c>
      <c r="E229" s="141">
        <v>3</v>
      </c>
      <c r="F229" s="143">
        <v>18.350000000000001</v>
      </c>
      <c r="G229" s="143">
        <v>15.96</v>
      </c>
      <c r="H229" s="143">
        <v>11.55</v>
      </c>
      <c r="I229" s="144">
        <f>SUM(Д402[[#This Row],[Комната 1]:[Комната 3]])</f>
        <v>45.86</v>
      </c>
      <c r="J229" s="145">
        <v>11.42</v>
      </c>
      <c r="K229" s="145">
        <v>3.9</v>
      </c>
      <c r="L229" s="145">
        <v>4.37</v>
      </c>
      <c r="M229" s="145">
        <v>11.06</v>
      </c>
      <c r="N229" s="145"/>
      <c r="O229" s="145">
        <v>3.1</v>
      </c>
      <c r="P229" s="146"/>
      <c r="Q229" s="146"/>
      <c r="R229" s="146">
        <f>SUM(Д402[[#This Row],[Лоджия 1]:[Лоджия 3]])</f>
        <v>3.1</v>
      </c>
      <c r="S229" s="10">
        <f>ROUND(SUM(Д402[[#This Row],[Площадь по проекту жилая]:[Лоджия 3]]),2)</f>
        <v>79.709999999999994</v>
      </c>
      <c r="T229" s="10">
        <f>ROUND(Д402[[#This Row],[Площадь по проекту(общая)]]-Д402[[#This Row],[Летние]],2)</f>
        <v>76.61</v>
      </c>
      <c r="U229" s="10">
        <f>ROUND(Д402[[#This Row],[Площадь по проекту(общая)]]-(SUM(Д402[[#This Row],[Лоджия 1]:[Лоджия 3]])/2),2)</f>
        <v>78.16</v>
      </c>
      <c r="V229" s="10">
        <f>VLOOKUP(Д402[[#This Row],[№]],наценка7[],COLUMN(наценка7[[#This Row],[Цена м2 с учетом всех K]]),0)</f>
        <v>108402</v>
      </c>
      <c r="W229" s="162"/>
      <c r="X229" s="10">
        <f>Д402[[#This Row],[м2 после К]]+Д402[[#This Row],[02.12.2024]]</f>
        <v>108402</v>
      </c>
      <c r="Y229" s="149">
        <v>1000</v>
      </c>
      <c r="Z229" s="10">
        <f>Д402[[#This Row],[Фикс 20.12.24]]+Д402[[#This Row],[23.12.24 СП +1000]]</f>
        <v>109402</v>
      </c>
      <c r="AA229" s="149">
        <v>215</v>
      </c>
      <c r="AB229" s="10">
        <f>Д402[[#This Row],[Фикс 23.12.24]]+Д402[[#This Row],[Повышение 20.02.25]]</f>
        <v>109617</v>
      </c>
      <c r="AC229" s="149">
        <v>17.5</v>
      </c>
      <c r="AD229" s="10">
        <f>Д402[[#This Row],[Фикс 20.02.25]]+Д402[[#This Row],[Повышение 24.02.2025]]</f>
        <v>109634.5</v>
      </c>
      <c r="AE229" s="10"/>
      <c r="AF229" s="10">
        <f>Д402[[#This Row],[Фикс 24.02.25]]+Д402[[#This Row],[Повышение 05.03.2025
1К: до 40м - 1,5%, 40+ 0,5%
2К - 0,5% ]]</f>
        <v>109634.5</v>
      </c>
      <c r="AG229" s="10"/>
      <c r="AH229" s="10">
        <f>Д402[[#This Row],[Фикс 05.03.25]]+Д402[[#This Row],[повышение 14.03.25 1К-1%]]</f>
        <v>109634.5</v>
      </c>
      <c r="AI229" s="10"/>
      <c r="AJ229" s="10">
        <f>Д402[[#This Row],[Фикс 14.03.25]]+Д402[[#This Row],[повышение 28.03.25 1К-1%]]</f>
        <v>109634.5</v>
      </c>
      <c r="AK229" s="10">
        <f>Д402[[#This Row],[Фикс 28.03.25]]*2%</f>
        <v>2192.69</v>
      </c>
      <c r="AL229" s="10">
        <f>Д402[[#This Row],[Фикс 28.03.25]]+Д402[[#This Row],[Повышение 23.07.25
1К 43-46м2 - 2%
2К 55-58 - 2%; 58-64 - 3%
3К 76-79 - 2%
]]</f>
        <v>111827.19</v>
      </c>
      <c r="AM229" s="149">
        <f>ROUND(Д402[[#This Row],[Фикс 23.07.25]],2)</f>
        <v>111827.19</v>
      </c>
      <c r="AN229" s="149">
        <f>ROUNDUP(Д402[[#This Row],[утв цена м2]]*Д402[[#This Row],[Расчетная проектная площадь]],-2)</f>
        <v>8740500</v>
      </c>
      <c r="AO229" s="151"/>
      <c r="AP229" s="152"/>
      <c r="AQ229" s="151">
        <f>Д402[[#This Row],[Стоимость до скидки]]*Д402[[#This Row],[Скидка %]]+Д402[[#This Row],[Скидка фиксированная]]</f>
        <v>0</v>
      </c>
      <c r="AR229" s="3">
        <f>Д402[[#This Row],[Стоимость ОН без отделки со скидкой]]/Д402[[#This Row],[Расчетная проектная площадь]]</f>
        <v>111828.30092118731</v>
      </c>
      <c r="AS229" s="3">
        <f>Д402[[#This Row],[Стоимость до скидки]]-Д402[[#This Row],[Итоговая сумма скидки]]</f>
        <v>8740500</v>
      </c>
      <c r="AT22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29" s="153"/>
      <c r="AV229" s="153"/>
      <c r="AW229" s="3">
        <f>Д402[[#This Row],[Цена м2 без отделки со скидкой]]+Д402[[#This Row],[Стоимость отделки]]</f>
        <v>111828.30092118731</v>
      </c>
      <c r="AX229" s="3">
        <f>Д402[[#This Row],[Стоимость квартиры с отделкой]]-Д402[[#This Row],[Стоимость ОН без отделки со скидкой]]</f>
        <v>0</v>
      </c>
      <c r="AY229" s="3">
        <f>Д402[[#This Row],[Цена м2 с отделкой]]*Д402[[#This Row],[Расчетная проектная площадь]]</f>
        <v>8740500</v>
      </c>
      <c r="AZ229" s="161"/>
      <c r="BA229" s="269" t="s">
        <v>128</v>
      </c>
      <c r="BB229" s="156" t="str" cm="1">
        <f t="array" ref="BB22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29" s="161" t="s">
        <v>740</v>
      </c>
      <c r="BD229" s="161" t="s">
        <v>506</v>
      </c>
      <c r="BE229" s="161" t="s">
        <v>737</v>
      </c>
      <c r="BF229" s="161" t="s">
        <v>748</v>
      </c>
      <c r="BG229" s="161" t="b">
        <f>EXACT(Д402[[#This Row],[Статусы CRM]],Д402[[#This Row],[Статус]])</f>
        <v>1</v>
      </c>
      <c r="BH229" s="3">
        <f>IF(Д402[[#This Row],[ПС]]=0,IF(Д402[[#This Row],[ДС]]=0,Д402[[#This Row],[ТС]],Д402[[#This Row],[ДС]]),Д402[[#This Row],[ПС]])</f>
        <v>8740500</v>
      </c>
      <c r="BI229" s="3">
        <v>8740500</v>
      </c>
      <c r="BJ229" s="3">
        <v>0</v>
      </c>
      <c r="BK229" s="3">
        <v>0</v>
      </c>
      <c r="BL229" s="273">
        <f>Д402[[#This Row],[Стоимость CRM]]-Д402[[#This Row],[Стоимость до скидки]]</f>
        <v>0</v>
      </c>
      <c r="BM229" s="161" t="s">
        <v>9</v>
      </c>
      <c r="BN229" s="161" t="b">
        <f>Д402[[#This Row],[Отделка CRM]]=Д402[[#This Row],[Отделка]]</f>
        <v>1</v>
      </c>
      <c r="BO229" s="275" t="s">
        <v>361</v>
      </c>
      <c r="BP229" s="69"/>
    </row>
    <row r="230" spans="1:68" ht="12" customHeight="1" x14ac:dyDescent="0.25">
      <c r="A230" s="140">
        <v>228</v>
      </c>
      <c r="B230" s="15">
        <v>3</v>
      </c>
      <c r="C230" s="141">
        <f t="shared" si="8"/>
        <v>9</v>
      </c>
      <c r="D230" s="142">
        <v>6</v>
      </c>
      <c r="E230" s="141">
        <v>0</v>
      </c>
      <c r="F230" s="143">
        <v>16.25</v>
      </c>
      <c r="G230" s="143"/>
      <c r="H230" s="143"/>
      <c r="I230" s="144">
        <f>SUM(Д402[[#This Row],[Комната 1]:[Комната 3]])</f>
        <v>16.25</v>
      </c>
      <c r="J230" s="145">
        <v>5</v>
      </c>
      <c r="K230" s="145">
        <v>4.2699999999999996</v>
      </c>
      <c r="L230" s="145"/>
      <c r="M230" s="145">
        <v>4.21</v>
      </c>
      <c r="N230" s="145"/>
      <c r="O230" s="145"/>
      <c r="P230" s="146"/>
      <c r="Q230" s="146"/>
      <c r="R230" s="146">
        <f>SUM(Д402[[#This Row],[Лоджия 1]:[Лоджия 3]])</f>
        <v>0</v>
      </c>
      <c r="S230" s="10">
        <f>ROUND(SUM(Д402[[#This Row],[Площадь по проекту жилая]:[Лоджия 3]]),2)</f>
        <v>29.73</v>
      </c>
      <c r="T230" s="10">
        <f>ROUND(Д402[[#This Row],[Площадь по проекту(общая)]]-Д402[[#This Row],[Летние]],2)</f>
        <v>29.73</v>
      </c>
      <c r="U230" s="10">
        <f>ROUND(Д402[[#This Row],[Площадь по проекту(общая)]]-(SUM(Д402[[#This Row],[Лоджия 1]:[Лоджия 3]])/2),2)</f>
        <v>29.73</v>
      </c>
      <c r="V230" s="10">
        <f>VLOOKUP(Д402[[#This Row],[№]],наценка7[],COLUMN(наценка7[[#This Row],[Цена м2 с учетом всех K]]),0)</f>
        <v>139730</v>
      </c>
      <c r="W230" s="162"/>
      <c r="X230" s="10">
        <f>Д402[[#This Row],[м2 после К]]+Д402[[#This Row],[02.12.2024]]</f>
        <v>139730</v>
      </c>
      <c r="Y230" s="149">
        <v>1000</v>
      </c>
      <c r="Z230" s="10">
        <f>Д402[[#This Row],[Фикс 20.12.24]]+Д402[[#This Row],[23.12.24 СП +1000]]</f>
        <v>140730</v>
      </c>
      <c r="AA230" s="149">
        <v>215</v>
      </c>
      <c r="AB230" s="10">
        <f>Д402[[#This Row],[Фикс 23.12.24]]+Д402[[#This Row],[Повышение 20.02.25]]</f>
        <v>140945</v>
      </c>
      <c r="AC230" s="149">
        <v>17.5</v>
      </c>
      <c r="AD230" s="10">
        <f>Д402[[#This Row],[Фикс 20.02.25]]+Д402[[#This Row],[Повышение 24.02.2025]]</f>
        <v>140962.5</v>
      </c>
      <c r="AE230" s="10"/>
      <c r="AF230" s="10">
        <f>Д402[[#This Row],[Фикс 24.02.25]]+Д402[[#This Row],[Повышение 05.03.2025
1К: до 40м - 1,5%, 40+ 0,5%
2К - 0,5% ]]</f>
        <v>140962.5</v>
      </c>
      <c r="AG230" s="10"/>
      <c r="AH230" s="10">
        <f>Д402[[#This Row],[Фикс 05.03.25]]+Д402[[#This Row],[повышение 14.03.25 1К-1%]]</f>
        <v>140962.5</v>
      </c>
      <c r="AI230" s="10"/>
      <c r="AJ230" s="10">
        <f>Д402[[#This Row],[Фикс 14.03.25]]+Д402[[#This Row],[повышение 28.03.25 1К-1%]]</f>
        <v>140962.5</v>
      </c>
      <c r="AK230" s="10"/>
      <c r="AL230" s="10">
        <f>Д402[[#This Row],[Фикс 28.03.25]]+Д402[[#This Row],[Повышение 23.07.25
1К 43-46м2 - 2%
2К 55-58 - 2%; 58-64 - 3%
3К 76-79 - 2%
]]</f>
        <v>140962.5</v>
      </c>
      <c r="AM230" s="149">
        <f>ROUND(Д402[[#This Row],[Фикс 23.07.25]],2)</f>
        <v>140962.5</v>
      </c>
      <c r="AN230" s="149">
        <f>ROUNDUP(Д402[[#This Row],[утв цена м2]]*Д402[[#This Row],[Расчетная проектная площадь]],-2)</f>
        <v>4190900</v>
      </c>
      <c r="AO230" s="151"/>
      <c r="AP230" s="152"/>
      <c r="AQ230" s="151">
        <f>Д402[[#This Row],[Стоимость до скидки]]*Д402[[#This Row],[Скидка %]]+Д402[[#This Row],[Скидка фиксированная]]</f>
        <v>0</v>
      </c>
      <c r="AR230" s="3">
        <f>Д402[[#This Row],[Стоимость ОН без отделки со скидкой]]/Д402[[#This Row],[Расчетная проектная площадь]]</f>
        <v>140965.35486041036</v>
      </c>
      <c r="AS230" s="3">
        <f>Д402[[#This Row],[Стоимость до скидки]]-Д402[[#This Row],[Итоговая сумма скидки]]</f>
        <v>4190900</v>
      </c>
      <c r="AT23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0" s="153"/>
      <c r="AV230" s="153"/>
      <c r="AW230" s="3">
        <f>Д402[[#This Row],[Цена м2 без отделки со скидкой]]+Д402[[#This Row],[Стоимость отделки]]</f>
        <v>140965.35486041036</v>
      </c>
      <c r="AX230" s="3">
        <f>Д402[[#This Row],[Стоимость квартиры с отделкой]]-Д402[[#This Row],[Стоимость ОН без отделки со скидкой]]</f>
        <v>0</v>
      </c>
      <c r="AY230" s="3">
        <f>Д402[[#This Row],[Цена м2 с отделкой]]*Д402[[#This Row],[Расчетная проектная площадь]]</f>
        <v>4190900</v>
      </c>
      <c r="AZ230" s="161"/>
      <c r="BA230" s="155" t="s">
        <v>12</v>
      </c>
      <c r="BB230" s="156" t="str" cm="1">
        <f t="array" ref="BB23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30" s="161" t="s">
        <v>738</v>
      </c>
      <c r="BD230" s="161" t="s">
        <v>739</v>
      </c>
      <c r="BE230" s="161" t="s">
        <v>737</v>
      </c>
      <c r="BF230" s="161" t="s">
        <v>743</v>
      </c>
      <c r="BG230" s="161" t="b">
        <f>EXACT(Д402[[#This Row],[Статусы CRM]],Д402[[#This Row],[Статус]])</f>
        <v>1</v>
      </c>
      <c r="BH230" s="3">
        <f>IF(Д402[[#This Row],[ПС]]=0,IF(Д402[[#This Row],[ДС]]=0,Д402[[#This Row],[ТС]],Д402[[#This Row],[ДС]]),Д402[[#This Row],[ПС]])</f>
        <v>4190900</v>
      </c>
      <c r="BI230" s="3">
        <v>4190900</v>
      </c>
      <c r="BJ230" s="3">
        <v>0</v>
      </c>
      <c r="BK230" s="3">
        <v>0</v>
      </c>
      <c r="BL230" s="273">
        <f>Д402[[#This Row],[Стоимость CRM]]-Д402[[#This Row],[Стоимость до скидки]]</f>
        <v>0</v>
      </c>
      <c r="BM230" s="161" t="s">
        <v>9</v>
      </c>
      <c r="BN230" s="161" t="b">
        <f>Д402[[#This Row],[Отделка CRM]]=Д402[[#This Row],[Отделка]]</f>
        <v>1</v>
      </c>
      <c r="BO230" s="275" t="s">
        <v>362</v>
      </c>
      <c r="BP230" s="69"/>
    </row>
    <row r="231" spans="1:68" ht="12" customHeight="1" x14ac:dyDescent="0.25">
      <c r="A231" s="140">
        <v>229</v>
      </c>
      <c r="B231" s="175">
        <v>3</v>
      </c>
      <c r="C231" s="141">
        <f t="shared" si="8"/>
        <v>10</v>
      </c>
      <c r="D231" s="142">
        <v>1</v>
      </c>
      <c r="E231" s="141">
        <v>1</v>
      </c>
      <c r="F231" s="143">
        <v>14.42</v>
      </c>
      <c r="G231" s="143"/>
      <c r="H231" s="143"/>
      <c r="I231" s="144">
        <f>SUM(Д402[[#This Row],[Комната 1]:[Комната 3]])</f>
        <v>14.42</v>
      </c>
      <c r="J231" s="145">
        <v>16.11</v>
      </c>
      <c r="K231" s="145">
        <v>4.09</v>
      </c>
      <c r="L231" s="145"/>
      <c r="M231" s="145">
        <v>8.0299999999999994</v>
      </c>
      <c r="N231" s="145"/>
      <c r="O231" s="145">
        <v>3.01</v>
      </c>
      <c r="P231" s="146"/>
      <c r="Q231" s="146"/>
      <c r="R231" s="146">
        <f>SUM(Д402[[#This Row],[Лоджия 1]:[Лоджия 3]])</f>
        <v>3.01</v>
      </c>
      <c r="S231" s="10">
        <f>ROUND(SUM(Д402[[#This Row],[Площадь по проекту жилая]:[Лоджия 3]]),2)</f>
        <v>45.66</v>
      </c>
      <c r="T231" s="10">
        <f>ROUND(Д402[[#This Row],[Площадь по проекту(общая)]]-Д402[[#This Row],[Летние]],2)</f>
        <v>42.65</v>
      </c>
      <c r="U231" s="10">
        <f>ROUND(Д402[[#This Row],[Площадь по проекту(общая)]]-(SUM(Д402[[#This Row],[Лоджия 1]:[Лоджия 3]])/2),2)</f>
        <v>44.16</v>
      </c>
      <c r="V231" s="10">
        <f>VLOOKUP(Д402[[#This Row],[№]],наценка7[],COLUMN(наценка7[[#This Row],[Цена м2 с учетом всех K]]),0)</f>
        <v>122837.8</v>
      </c>
      <c r="W231" s="159">
        <f>2%*Д402[[#This Row],[м2 после К]]</f>
        <v>2456.7560000000003</v>
      </c>
      <c r="X231" s="10">
        <f>Д402[[#This Row],[м2 после К]]+Д402[[#This Row],[02.12.2024]]</f>
        <v>125294.556</v>
      </c>
      <c r="Y231" s="149">
        <v>1000</v>
      </c>
      <c r="Z231" s="10">
        <f>Д402[[#This Row],[Фикс 20.12.24]]+Д402[[#This Row],[23.12.24 СП +1000]]</f>
        <v>126294.556</v>
      </c>
      <c r="AA231" s="149">
        <v>215</v>
      </c>
      <c r="AB231" s="10">
        <f>Д402[[#This Row],[Фикс 23.12.24]]+Д402[[#This Row],[Повышение 20.02.25]]</f>
        <v>126509.556</v>
      </c>
      <c r="AC231" s="149">
        <v>17.5</v>
      </c>
      <c r="AD231" s="10">
        <f>Д402[[#This Row],[Фикс 20.02.25]]+Д402[[#This Row],[Повышение 24.02.2025]]</f>
        <v>126527.056</v>
      </c>
      <c r="AE231" s="149">
        <f>Д402[[#This Row],[Фикс 24.02.25]]*0.5%</f>
        <v>632.63527999999997</v>
      </c>
      <c r="AF231" s="10">
        <f>Д402[[#This Row],[Фикс 24.02.25]]+Д402[[#This Row],[Повышение 05.03.2025
1К: до 40м - 1,5%, 40+ 0,5%
2К - 0,5% ]]</f>
        <v>127159.69128</v>
      </c>
      <c r="AG231" s="10"/>
      <c r="AH231" s="10">
        <f>Д402[[#This Row],[Фикс 05.03.25]]+Д402[[#This Row],[повышение 14.03.25 1К-1%]]</f>
        <v>127159.69128</v>
      </c>
      <c r="AI231" s="10"/>
      <c r="AJ231" s="10">
        <f>Д402[[#This Row],[Фикс 14.03.25]]+Д402[[#This Row],[повышение 28.03.25 1К-1%]]</f>
        <v>127159.69128</v>
      </c>
      <c r="AK231" s="10"/>
      <c r="AL231" s="10">
        <f>Д402[[#This Row],[Фикс 28.03.25]]+Д402[[#This Row],[Повышение 23.07.25
1К 43-46м2 - 2%
2К 55-58 - 2%; 58-64 - 3%
3К 76-79 - 2%
]]</f>
        <v>127159.69128</v>
      </c>
      <c r="AM231" s="149">
        <f>ROUND(Д402[[#This Row],[Фикс 23.07.25]],2)</f>
        <v>127159.69</v>
      </c>
      <c r="AN231" s="149">
        <f>ROUNDUP(Д402[[#This Row],[утв цена м2]]*Д402[[#This Row],[Расчетная проектная площадь]],-2)</f>
        <v>5615400</v>
      </c>
      <c r="AO231" s="151"/>
      <c r="AP231" s="152">
        <v>0.02</v>
      </c>
      <c r="AQ231" s="151">
        <f>Д402[[#This Row],[Стоимость до скидки]]*Д402[[#This Row],[Скидка %]]+Д402[[#This Row],[Скидка фиксированная]]</f>
        <v>112308</v>
      </c>
      <c r="AR231" s="3">
        <f>Д402[[#This Row],[Стоимость ОН без отделки со скидкой]]/Д402[[#This Row],[Расчетная проектная площадь]]</f>
        <v>124617.11956521741</v>
      </c>
      <c r="AS231" s="3">
        <f>Д402[[#This Row],[Стоимость до скидки]]-Д402[[#This Row],[Итоговая сумма скидки]]</f>
        <v>5503092</v>
      </c>
      <c r="AT23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31" s="153">
        <v>10000</v>
      </c>
      <c r="AV231" s="153"/>
      <c r="AW231" s="3">
        <f>Д402[[#This Row],[Цена м2 без отделки со скидкой]]+Д402[[#This Row],[Стоимость отделки]]</f>
        <v>134617.11956521741</v>
      </c>
      <c r="AX231" s="3">
        <f>Д402[[#This Row],[Стоимость квартиры с отделкой]]-Д402[[#This Row],[Стоимость ОН без отделки со скидкой]]</f>
        <v>441600</v>
      </c>
      <c r="AY231" s="3">
        <f>Д402[[#This Row],[Цена м2 с отделкой]]*Д402[[#This Row],[Расчетная проектная площадь]]</f>
        <v>5944692</v>
      </c>
      <c r="AZ231" s="161" t="s">
        <v>436</v>
      </c>
      <c r="BA231" s="277" t="s">
        <v>426</v>
      </c>
      <c r="BB231" s="269" t="str" cm="1">
        <f t="array" ref="BB23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31" s="161" t="s">
        <v>741</v>
      </c>
      <c r="BD231" s="161" t="s">
        <v>506</v>
      </c>
      <c r="BE231" s="161" t="s">
        <v>737</v>
      </c>
      <c r="BF231" s="161" t="s">
        <v>745</v>
      </c>
      <c r="BG231" s="161" t="b">
        <f>EXACT(Д402[[#This Row],[Статусы CRM]],Д402[[#This Row],[Статус]])</f>
        <v>1</v>
      </c>
      <c r="BH231" s="3">
        <f>IF(Д402[[#This Row],[ПС]]=0,IF(Д402[[#This Row],[ДС]]=0,Д402[[#This Row],[ТС]],Д402[[#This Row],[ДС]]),Д402[[#This Row],[ПС]])</f>
        <v>5615400</v>
      </c>
      <c r="BI231" s="3" t="s">
        <v>749</v>
      </c>
      <c r="BJ231" s="3">
        <v>5615400</v>
      </c>
      <c r="BK231" s="3">
        <v>5615400</v>
      </c>
      <c r="BL231" s="273">
        <f>Д402[[#This Row],[Стоимость CRM]]-Д402[[#This Row],[Стоимость до скидки]]</f>
        <v>0</v>
      </c>
      <c r="BM231" s="161" t="s">
        <v>718</v>
      </c>
      <c r="BN231" s="161" t="b">
        <f>Д402[[#This Row],[Отделка CRM]]=Д402[[#This Row],[Отделка]]</f>
        <v>1</v>
      </c>
      <c r="BO231" s="275" t="s">
        <v>363</v>
      </c>
      <c r="BP231" s="69"/>
    </row>
    <row r="232" spans="1:68" ht="12" customHeight="1" x14ac:dyDescent="0.25">
      <c r="A232" s="140">
        <v>230</v>
      </c>
      <c r="B232" s="175">
        <v>3</v>
      </c>
      <c r="C232" s="141">
        <f t="shared" si="8"/>
        <v>10</v>
      </c>
      <c r="D232" s="142">
        <v>2</v>
      </c>
      <c r="E232" s="141">
        <v>1</v>
      </c>
      <c r="F232" s="143">
        <v>12.76</v>
      </c>
      <c r="G232" s="143"/>
      <c r="H232" s="143"/>
      <c r="I232" s="144">
        <f>SUM(Д402[[#This Row],[Комната 1]:[Комната 3]])</f>
        <v>12.76</v>
      </c>
      <c r="J232" s="145">
        <v>15.01</v>
      </c>
      <c r="K232" s="145">
        <v>4.22</v>
      </c>
      <c r="L232" s="145"/>
      <c r="M232" s="145">
        <v>3.09</v>
      </c>
      <c r="N232" s="145"/>
      <c r="O232" s="145">
        <v>2.93</v>
      </c>
      <c r="P232" s="146"/>
      <c r="Q232" s="146"/>
      <c r="R232" s="146">
        <f>SUM(Д402[[#This Row],[Лоджия 1]:[Лоджия 3]])</f>
        <v>2.93</v>
      </c>
      <c r="S232" s="10">
        <f>ROUND(SUM(Д402[[#This Row],[Площадь по проекту жилая]:[Лоджия 3]]),2)</f>
        <v>38.01</v>
      </c>
      <c r="T232" s="10">
        <f>ROUND(Д402[[#This Row],[Площадь по проекту(общая)]]-Д402[[#This Row],[Летние]],2)</f>
        <v>35.08</v>
      </c>
      <c r="U232" s="10">
        <f>ROUND(Д402[[#This Row],[Площадь по проекту(общая)]]-(SUM(Д402[[#This Row],[Лоджия 1]:[Лоджия 3]])/2),2)</f>
        <v>36.549999999999997</v>
      </c>
      <c r="V232" s="10">
        <f>VLOOKUP(Д402[[#This Row],[№]],наценка7[],COLUMN(наценка7[[#This Row],[Цена м2 с учетом всех K]]),0)</f>
        <v>124030.39999999999</v>
      </c>
      <c r="W232" s="159">
        <f>2%*Д402[[#This Row],[м2 после К]]</f>
        <v>2480.6079999999997</v>
      </c>
      <c r="X232" s="10">
        <f>Д402[[#This Row],[м2 после К]]+Д402[[#This Row],[02.12.2024]]</f>
        <v>126511.00799999999</v>
      </c>
      <c r="Y232" s="10"/>
      <c r="Z232" s="10">
        <f>Д402[[#This Row],[Фикс 20.12.24]]+Д402[[#This Row],[23.12.24 СП +1000]]</f>
        <v>126511.00799999999</v>
      </c>
      <c r="AA232" s="10"/>
      <c r="AB232" s="10">
        <f>Д402[[#This Row],[Фикс 23.12.24]]+Д402[[#This Row],[Повышение 20.02.25]]</f>
        <v>126511.00799999999</v>
      </c>
      <c r="AC232" s="10"/>
      <c r="AD232" s="10">
        <f>Д402[[#This Row],[Фикс 20.02.25]]+Д402[[#This Row],[Повышение 24.02.2025]]</f>
        <v>126511.00799999999</v>
      </c>
      <c r="AE232" s="10"/>
      <c r="AF232" s="10">
        <f>Д402[[#This Row],[Фикс 24.02.25]]+Д402[[#This Row],[Повышение 05.03.2025
1К: до 40м - 1,5%, 40+ 0,5%
2К - 0,5% ]]</f>
        <v>126511.00799999999</v>
      </c>
      <c r="AG232" s="10"/>
      <c r="AH232" s="10">
        <f>Д402[[#This Row],[Фикс 05.03.25]]+Д402[[#This Row],[повышение 14.03.25 1К-1%]]</f>
        <v>126511.00799999999</v>
      </c>
      <c r="AI232" s="10"/>
      <c r="AJ232" s="10">
        <f>Д402[[#This Row],[Фикс 14.03.25]]+Д402[[#This Row],[повышение 28.03.25 1К-1%]]</f>
        <v>126511.00799999999</v>
      </c>
      <c r="AK232" s="10"/>
      <c r="AL232" s="10">
        <f>Д402[[#This Row],[Фикс 28.03.25]]+Д402[[#This Row],[Повышение 23.07.25
1К 43-46м2 - 2%
2К 55-58 - 2%; 58-64 - 3%
3К 76-79 - 2%
]]</f>
        <v>126511.00799999999</v>
      </c>
      <c r="AM232" s="149">
        <f>ROUND(Д402[[#This Row],[Фикс 23.07.25]],2)</f>
        <v>126511.01</v>
      </c>
      <c r="AN232" s="149">
        <f>ROUNDUP(Д402[[#This Row],[утв цена м2]]*Д402[[#This Row],[Расчетная проектная площадь]],-2)</f>
        <v>4624000</v>
      </c>
      <c r="AO232" s="151"/>
      <c r="AP232" s="152">
        <v>0.02</v>
      </c>
      <c r="AQ232" s="151">
        <f>Д402[[#This Row],[Стоимость до скидки]]*Д402[[#This Row],[Скидка %]]+Д402[[#This Row],[Скидка фиксированная]]</f>
        <v>92480</v>
      </c>
      <c r="AR232" s="3">
        <f>Д402[[#This Row],[Стоимость ОН без отделки со скидкой]]/Д402[[#This Row],[Расчетная проектная площадь]]</f>
        <v>123981.39534883722</v>
      </c>
      <c r="AS232" s="3">
        <f>Д402[[#This Row],[Стоимость до скидки]]-Д402[[#This Row],[Итоговая сумма скидки]]</f>
        <v>4531520</v>
      </c>
      <c r="AT23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2" s="153"/>
      <c r="AV232" s="153"/>
      <c r="AW232" s="3">
        <f>Д402[[#This Row],[Цена м2 без отделки со скидкой]]+Д402[[#This Row],[Стоимость отделки]]</f>
        <v>123981.39534883722</v>
      </c>
      <c r="AX232" s="3">
        <f>Д402[[#This Row],[Стоимость квартиры с отделкой]]-Д402[[#This Row],[Стоимость ОН без отделки со скидкой]]</f>
        <v>0</v>
      </c>
      <c r="AY232" s="3">
        <f>Д402[[#This Row],[Цена м2 с отделкой]]*Д402[[#This Row],[Расчетная проектная площадь]]</f>
        <v>4531520</v>
      </c>
      <c r="AZ232" s="161" t="s">
        <v>424</v>
      </c>
      <c r="BA232" s="277" t="s">
        <v>426</v>
      </c>
      <c r="BB232" s="269" t="str" cm="1">
        <f t="array" ref="BB23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32" s="161" t="s">
        <v>741</v>
      </c>
      <c r="BD232" s="161" t="s">
        <v>506</v>
      </c>
      <c r="BE232" s="161" t="s">
        <v>737</v>
      </c>
      <c r="BF232" s="161" t="s">
        <v>745</v>
      </c>
      <c r="BG232" s="161" t="b">
        <f>EXACT(Д402[[#This Row],[Статусы CRM]],Д402[[#This Row],[Статус]])</f>
        <v>1</v>
      </c>
      <c r="BH232" s="3">
        <f>IF(Д402[[#This Row],[ПС]]=0,IF(Д402[[#This Row],[ДС]]=0,Д402[[#This Row],[ТС]],Д402[[#This Row],[ДС]]),Д402[[#This Row],[ПС]])</f>
        <v>4624000</v>
      </c>
      <c r="BI232" s="3" t="s">
        <v>749</v>
      </c>
      <c r="BJ232" s="3">
        <v>4624000</v>
      </c>
      <c r="BK232" s="3">
        <v>4624000</v>
      </c>
      <c r="BL232" s="273">
        <f>Д402[[#This Row],[Стоимость CRM]]-Д402[[#This Row],[Стоимость до скидки]]</f>
        <v>0</v>
      </c>
      <c r="BM232" s="161" t="s">
        <v>9</v>
      </c>
      <c r="BN232" s="161" t="b">
        <f>Д402[[#This Row],[Отделка CRM]]=Д402[[#This Row],[Отделка]]</f>
        <v>1</v>
      </c>
      <c r="BO232" s="275" t="s">
        <v>364</v>
      </c>
      <c r="BP232" s="69"/>
    </row>
    <row r="233" spans="1:68" ht="12" customHeight="1" x14ac:dyDescent="0.25">
      <c r="A233" s="140">
        <v>231</v>
      </c>
      <c r="B233" s="175">
        <v>3</v>
      </c>
      <c r="C233" s="141">
        <f t="shared" si="8"/>
        <v>10</v>
      </c>
      <c r="D233" s="142">
        <v>3</v>
      </c>
      <c r="E233" s="141">
        <v>2</v>
      </c>
      <c r="F233" s="143">
        <v>15.36</v>
      </c>
      <c r="G233" s="143">
        <v>11.95</v>
      </c>
      <c r="H233" s="143"/>
      <c r="I233" s="144">
        <f>SUM(Д402[[#This Row],[Комната 1]:[Комната 3]])</f>
        <v>27.31</v>
      </c>
      <c r="J233" s="145">
        <v>14.61</v>
      </c>
      <c r="K233" s="145">
        <v>4.21</v>
      </c>
      <c r="L233" s="145"/>
      <c r="M233" s="145">
        <v>6.6</v>
      </c>
      <c r="N233" s="145"/>
      <c r="O233" s="145">
        <v>3.23</v>
      </c>
      <c r="P233" s="146"/>
      <c r="Q233" s="146"/>
      <c r="R233" s="146">
        <f>SUM(Д402[[#This Row],[Лоджия 1]:[Лоджия 3]])</f>
        <v>3.23</v>
      </c>
      <c r="S233" s="10">
        <f>ROUND(SUM(Д402[[#This Row],[Площадь по проекту жилая]:[Лоджия 3]]),2)</f>
        <v>55.96</v>
      </c>
      <c r="T233" s="10">
        <f>ROUND(Д402[[#This Row],[Площадь по проекту(общая)]]-Д402[[#This Row],[Летние]],2)</f>
        <v>52.73</v>
      </c>
      <c r="U233" s="10">
        <f>ROUND(Д402[[#This Row],[Площадь по проекту(общая)]]-(SUM(Д402[[#This Row],[Лоджия 1]:[Лоджия 3]])/2),2)</f>
        <v>54.35</v>
      </c>
      <c r="V233" s="10">
        <f>VLOOKUP(Д402[[#This Row],[№]],наценка7[],COLUMN(наценка7[[#This Row],[Цена м2 с учетом всех K]]),0)</f>
        <v>117551.2</v>
      </c>
      <c r="W233" s="162">
        <f>0.021*Д402[[#This Row],[м2 после К]]</f>
        <v>2468.5752000000002</v>
      </c>
      <c r="X233" s="10">
        <f>Д402[[#This Row],[м2 после К]]+Д402[[#This Row],[02.12.2024]]</f>
        <v>120019.7752</v>
      </c>
      <c r="Y233" s="149">
        <v>1000</v>
      </c>
      <c r="Z233" s="10">
        <f>Д402[[#This Row],[Фикс 20.12.24]]+Д402[[#This Row],[23.12.24 СП +1000]]</f>
        <v>121019.7752</v>
      </c>
      <c r="AA233" s="149">
        <v>215</v>
      </c>
      <c r="AB233" s="10">
        <f>Д402[[#This Row],[Фикс 23.12.24]]+Д402[[#This Row],[Повышение 20.02.25]]</f>
        <v>121234.7752</v>
      </c>
      <c r="AC233" s="149">
        <v>17.5</v>
      </c>
      <c r="AD233" s="10">
        <f>Д402[[#This Row],[Фикс 20.02.25]]+Д402[[#This Row],[Повышение 24.02.2025]]</f>
        <v>121252.2752</v>
      </c>
      <c r="AE233" s="149">
        <f>Д402[[#This Row],[Фикс 24.02.25]]*0.5%</f>
        <v>606.26137600000004</v>
      </c>
      <c r="AF233" s="10">
        <f>Д402[[#This Row],[Фикс 24.02.25]]+Д402[[#This Row],[Повышение 05.03.2025
1К: до 40м - 1,5%, 40+ 0,5%
2К - 0,5% ]]</f>
        <v>121858.536576</v>
      </c>
      <c r="AG233" s="10"/>
      <c r="AH233" s="10">
        <f>Д402[[#This Row],[Фикс 05.03.25]]+Д402[[#This Row],[повышение 14.03.25 1К-1%]]</f>
        <v>121858.536576</v>
      </c>
      <c r="AI233" s="10"/>
      <c r="AJ233" s="10">
        <f>Д402[[#This Row],[Фикс 14.03.25]]+Д402[[#This Row],[повышение 28.03.25 1К-1%]]</f>
        <v>121858.536576</v>
      </c>
      <c r="AK233" s="10"/>
      <c r="AL233" s="10">
        <f>Д402[[#This Row],[Фикс 28.03.25]]+Д402[[#This Row],[Повышение 23.07.25
1К 43-46м2 - 2%
2К 55-58 - 2%; 58-64 - 3%
3К 76-79 - 2%
]]</f>
        <v>121858.536576</v>
      </c>
      <c r="AM233" s="149">
        <f>ROUND(Д402[[#This Row],[Фикс 23.07.25]],2)</f>
        <v>121858.54</v>
      </c>
      <c r="AN233" s="149">
        <f>ROUNDUP(Д402[[#This Row],[утв цена м2]]*Д402[[#This Row],[Расчетная проектная площадь]],-2)</f>
        <v>6623100</v>
      </c>
      <c r="AO233" s="151"/>
      <c r="AP233" s="152"/>
      <c r="AQ233" s="151">
        <f>Д402[[#This Row],[Стоимость до скидки]]*Д402[[#This Row],[Скидка %]]+Д402[[#This Row],[Скидка фиксированная]]</f>
        <v>0</v>
      </c>
      <c r="AR233" s="3">
        <f>Д402[[#This Row],[Стоимость ОН без отделки со скидкой]]/Д402[[#This Row],[Расчетная проектная площадь]]</f>
        <v>121860.16559337627</v>
      </c>
      <c r="AS233" s="3">
        <f>Д402[[#This Row],[Стоимость до скидки]]-Д402[[#This Row],[Итоговая сумма скидки]]</f>
        <v>6623100</v>
      </c>
      <c r="AT23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3" s="153"/>
      <c r="AV233" s="153"/>
      <c r="AW233" s="3">
        <f>Д402[[#This Row],[Цена м2 без отделки со скидкой]]+Д402[[#This Row],[Стоимость отделки]]</f>
        <v>121860.16559337627</v>
      </c>
      <c r="AX233" s="3">
        <f>Д402[[#This Row],[Стоимость квартиры с отделкой]]-Д402[[#This Row],[Стоимость ОН без отделки со скидкой]]</f>
        <v>0</v>
      </c>
      <c r="AY233" s="3">
        <f>Д402[[#This Row],[Цена м2 с отделкой]]*Д402[[#This Row],[Расчетная проектная площадь]]</f>
        <v>6623100</v>
      </c>
      <c r="AZ233" s="161"/>
      <c r="BA233" s="269" t="s">
        <v>12</v>
      </c>
      <c r="BB233" s="269" t="str" cm="1">
        <f t="array" ref="BB23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33" s="161" t="s">
        <v>738</v>
      </c>
      <c r="BD233" s="161" t="s">
        <v>739</v>
      </c>
      <c r="BE233" s="161" t="s">
        <v>737</v>
      </c>
      <c r="BF233" s="161" t="s">
        <v>744</v>
      </c>
      <c r="BG233" s="161" t="b">
        <f>EXACT(Д402[[#This Row],[Статусы CRM]],Д402[[#This Row],[Статус]])</f>
        <v>1</v>
      </c>
      <c r="BH233" s="3">
        <f>IF(Д402[[#This Row],[ПС]]=0,IF(Д402[[#This Row],[ДС]]=0,Д402[[#This Row],[ТС]],Д402[[#This Row],[ДС]]),Д402[[#This Row],[ПС]])</f>
        <v>6623100</v>
      </c>
      <c r="BI233" s="3">
        <v>6623100</v>
      </c>
      <c r="BJ233" s="3">
        <v>0</v>
      </c>
      <c r="BK233" s="3">
        <v>0</v>
      </c>
      <c r="BL233" s="273">
        <f>Д402[[#This Row],[Стоимость CRM]]-Д402[[#This Row],[Стоимость до скидки]]</f>
        <v>0</v>
      </c>
      <c r="BM233" s="161" t="s">
        <v>9</v>
      </c>
      <c r="BN233" s="161" t="b">
        <f>Д402[[#This Row],[Отделка CRM]]=Д402[[#This Row],[Отделка]]</f>
        <v>1</v>
      </c>
      <c r="BO233" s="275" t="s">
        <v>365</v>
      </c>
      <c r="BP233" s="69"/>
    </row>
    <row r="234" spans="1:68" ht="12" customHeight="1" x14ac:dyDescent="0.25">
      <c r="A234" s="140">
        <v>232</v>
      </c>
      <c r="B234" s="175">
        <v>3</v>
      </c>
      <c r="C234" s="141">
        <f t="shared" si="8"/>
        <v>10</v>
      </c>
      <c r="D234" s="142">
        <v>4</v>
      </c>
      <c r="E234" s="141">
        <v>2</v>
      </c>
      <c r="F234" s="167">
        <v>15.67</v>
      </c>
      <c r="G234" s="167">
        <v>12.94</v>
      </c>
      <c r="H234" s="167"/>
      <c r="I234" s="168">
        <f>SUM(Д402[[#This Row],[Комната 1]:[Комната 3]])</f>
        <v>28.61</v>
      </c>
      <c r="J234" s="145">
        <v>13.91</v>
      </c>
      <c r="K234" s="169">
        <v>4.16</v>
      </c>
      <c r="L234" s="169"/>
      <c r="M234" s="169">
        <v>7.7</v>
      </c>
      <c r="N234" s="169"/>
      <c r="O234" s="169">
        <v>3.23</v>
      </c>
      <c r="P234" s="170"/>
      <c r="Q234" s="170"/>
      <c r="R234" s="170">
        <f>SUM(Д402[[#This Row],[Лоджия 1]:[Лоджия 3]])</f>
        <v>3.23</v>
      </c>
      <c r="S234" s="171">
        <f>ROUND(SUM(Д402[[#This Row],[Площадь по проекту жилая]:[Лоджия 3]]),2)</f>
        <v>57.61</v>
      </c>
      <c r="T234" s="171">
        <f>ROUND(Д402[[#This Row],[Площадь по проекту(общая)]]-Д402[[#This Row],[Летние]],2)</f>
        <v>54.38</v>
      </c>
      <c r="U234" s="10">
        <f>ROUND(Д402[[#This Row],[Площадь по проекту(общая)]]-(SUM(Д402[[#This Row],[Лоджия 1]:[Лоджия 3]])/2),2)</f>
        <v>56</v>
      </c>
      <c r="V234" s="10">
        <f>VLOOKUP(Д402[[#This Row],[№]],наценка7[],COLUMN(наценка7[[#This Row],[Цена м2 с учетом всех K]]),0)</f>
        <v>117551.2</v>
      </c>
      <c r="W234" s="162">
        <f>2%*Д402[[#This Row],[м2 после К]]</f>
        <v>2351.0239999999999</v>
      </c>
      <c r="X234" s="10">
        <f>Д402[[#This Row],[м2 после К]]+Д402[[#This Row],[02.12.2024]]</f>
        <v>119902.224</v>
      </c>
      <c r="Y234" s="149">
        <v>1000</v>
      </c>
      <c r="Z234" s="10">
        <f>Д402[[#This Row],[Фикс 20.12.24]]+Д402[[#This Row],[23.12.24 СП +1000]]</f>
        <v>120902.224</v>
      </c>
      <c r="AA234" s="149">
        <v>215</v>
      </c>
      <c r="AB234" s="10">
        <f>Д402[[#This Row],[Фикс 23.12.24]]+Д402[[#This Row],[Повышение 20.02.25]]</f>
        <v>121117.224</v>
      </c>
      <c r="AC234" s="149">
        <v>17.5</v>
      </c>
      <c r="AD234" s="10">
        <f>Д402[[#This Row],[Фикс 20.02.25]]+Д402[[#This Row],[Повышение 24.02.2025]]</f>
        <v>121134.724</v>
      </c>
      <c r="AE234" s="149">
        <f>Д402[[#This Row],[Фикс 24.02.25]]*0.5%</f>
        <v>605.67362000000003</v>
      </c>
      <c r="AF234" s="10">
        <f>Д402[[#This Row],[Фикс 24.02.25]]+Д402[[#This Row],[Повышение 05.03.2025
1К: до 40м - 1,5%, 40+ 0,5%
2К - 0,5% ]]</f>
        <v>121740.39762</v>
      </c>
      <c r="AG234" s="10"/>
      <c r="AH234" s="10">
        <f>Д402[[#This Row],[Фикс 05.03.25]]+Д402[[#This Row],[повышение 14.03.25 1К-1%]]</f>
        <v>121740.39762</v>
      </c>
      <c r="AI234" s="10"/>
      <c r="AJ234" s="10">
        <f>Д402[[#This Row],[Фикс 14.03.25]]+Д402[[#This Row],[повышение 28.03.25 1К-1%]]</f>
        <v>121740.39762</v>
      </c>
      <c r="AK234" s="149">
        <f>Д402[[#This Row],[Фикс 28.03.25]]*2%</f>
        <v>2434.8079524</v>
      </c>
      <c r="AL234" s="10">
        <f>Д402[[#This Row],[Фикс 28.03.25]]+Д402[[#This Row],[Повышение 23.07.25
1К 43-46м2 - 2%
2К 55-58 - 2%; 58-64 - 3%
3К 76-79 - 2%
]]</f>
        <v>124175.20557240001</v>
      </c>
      <c r="AM234" s="149">
        <f>ROUND(Д402[[#This Row],[Фикс 23.07.25]],2)</f>
        <v>124175.21</v>
      </c>
      <c r="AN234" s="149">
        <f>ROUNDUP(Д402[[#This Row],[утв цена м2]]*Д402[[#This Row],[Расчетная проектная площадь]],-2)</f>
        <v>6953900</v>
      </c>
      <c r="AO234" s="151"/>
      <c r="AP234" s="152"/>
      <c r="AQ234" s="151">
        <f>Д402[[#This Row],[Стоимость до скидки]]*Д402[[#This Row],[Скидка %]]+Д402[[#This Row],[Скидка фиксированная]]</f>
        <v>0</v>
      </c>
      <c r="AR234" s="3">
        <f>Д402[[#This Row],[Стоимость ОН без отделки со скидкой]]/Д402[[#This Row],[Расчетная проектная площадь]]</f>
        <v>124176.78571428571</v>
      </c>
      <c r="AS234" s="3">
        <f>Д402[[#This Row],[Стоимость до скидки]]-Д402[[#This Row],[Итоговая сумма скидки]]</f>
        <v>6953900</v>
      </c>
      <c r="AT23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4" s="153"/>
      <c r="AV234" s="153"/>
      <c r="AW234" s="3">
        <f>Д402[[#This Row],[Цена м2 без отделки со скидкой]]+Д402[[#This Row],[Стоимость отделки]]</f>
        <v>124176.78571428571</v>
      </c>
      <c r="AX234" s="3">
        <f>Д402[[#This Row],[Стоимость квартиры с отделкой]]-Д402[[#This Row],[Стоимость ОН без отделки со скидкой]]</f>
        <v>0</v>
      </c>
      <c r="AY234" s="3">
        <f>Д402[[#This Row],[Цена м2 с отделкой]]*Д402[[#This Row],[Расчетная проектная площадь]]</f>
        <v>6953900</v>
      </c>
      <c r="AZ234" s="161"/>
      <c r="BA234" s="269" t="s">
        <v>128</v>
      </c>
      <c r="BB234" s="269" t="str" cm="1">
        <f t="array" ref="BB23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34" s="161" t="s">
        <v>740</v>
      </c>
      <c r="BD234" s="161" t="s">
        <v>506</v>
      </c>
      <c r="BE234" s="161" t="s">
        <v>737</v>
      </c>
      <c r="BF234" s="161" t="s">
        <v>747</v>
      </c>
      <c r="BG234" s="161" t="b">
        <f>EXACT(Д402[[#This Row],[Статусы CRM]],Д402[[#This Row],[Статус]])</f>
        <v>1</v>
      </c>
      <c r="BH234" s="3">
        <f>IF(Д402[[#This Row],[ПС]]=0,IF(Д402[[#This Row],[ДС]]=0,Д402[[#This Row],[ТС]],Д402[[#This Row],[ДС]]),Д402[[#This Row],[ПС]])</f>
        <v>6953900</v>
      </c>
      <c r="BI234" s="3">
        <v>6953900</v>
      </c>
      <c r="BJ234" s="3">
        <v>0</v>
      </c>
      <c r="BK234" s="3">
        <v>0</v>
      </c>
      <c r="BL234" s="273">
        <f>Д402[[#This Row],[Стоимость CRM]]-Д402[[#This Row],[Стоимость до скидки]]</f>
        <v>0</v>
      </c>
      <c r="BM234" s="161" t="s">
        <v>9</v>
      </c>
      <c r="BN234" s="161" t="b">
        <f>Д402[[#This Row],[Отделка CRM]]=Д402[[#This Row],[Отделка]]</f>
        <v>1</v>
      </c>
      <c r="BO234" s="275" t="s">
        <v>366</v>
      </c>
      <c r="BP234" s="69"/>
    </row>
    <row r="235" spans="1:68" ht="12" customHeight="1" x14ac:dyDescent="0.25">
      <c r="A235" s="140">
        <v>233</v>
      </c>
      <c r="B235" s="175">
        <v>3</v>
      </c>
      <c r="C235" s="141">
        <f t="shared" si="8"/>
        <v>10</v>
      </c>
      <c r="D235" s="142">
        <v>5</v>
      </c>
      <c r="E235" s="141">
        <v>2</v>
      </c>
      <c r="F235" s="167">
        <v>18.350000000000001</v>
      </c>
      <c r="G235" s="167">
        <v>15.96</v>
      </c>
      <c r="H235" s="167"/>
      <c r="I235" s="168">
        <f>SUM(Д402[[#This Row],[Комната 1]:[Комната 3]])</f>
        <v>34.31</v>
      </c>
      <c r="J235" s="145">
        <v>11.33</v>
      </c>
      <c r="K235" s="169">
        <v>4.41</v>
      </c>
      <c r="L235" s="169"/>
      <c r="M235" s="169">
        <v>7.57</v>
      </c>
      <c r="N235" s="169"/>
      <c r="O235" s="169">
        <v>3.1</v>
      </c>
      <c r="P235" s="170"/>
      <c r="Q235" s="170"/>
      <c r="R235" s="170">
        <f>SUM(Д402[[#This Row],[Лоджия 1]:[Лоджия 3]])</f>
        <v>3.1</v>
      </c>
      <c r="S235" s="171">
        <f>ROUND(SUM(Д402[[#This Row],[Площадь по проекту жилая]:[Лоджия 3]]),2)</f>
        <v>60.72</v>
      </c>
      <c r="T235" s="171">
        <f>ROUND(Д402[[#This Row],[Площадь по проекту(общая)]]-Д402[[#This Row],[Летние]],2)</f>
        <v>57.62</v>
      </c>
      <c r="U235" s="10">
        <f>ROUND(Д402[[#This Row],[Площадь по проекту(общая)]]-(SUM(Д402[[#This Row],[Лоджия 1]:[Лоджия 3]])/2),2)</f>
        <v>59.17</v>
      </c>
      <c r="V235" s="10">
        <f>VLOOKUP(Д402[[#This Row],[№]],наценка7[],COLUMN(наценка7[[#This Row],[Цена м2 с учетом всех K]]),0)</f>
        <v>118681.5</v>
      </c>
      <c r="W235" s="162"/>
      <c r="X235" s="10">
        <f>Д402[[#This Row],[м2 после К]]+Д402[[#This Row],[02.12.2024]]</f>
        <v>118681.5</v>
      </c>
      <c r="Y235" s="149">
        <v>1000</v>
      </c>
      <c r="Z235" s="10">
        <f>Д402[[#This Row],[Фикс 20.12.24]]+Д402[[#This Row],[23.12.24 СП +1000]]</f>
        <v>119681.5</v>
      </c>
      <c r="AA235" s="149">
        <v>215</v>
      </c>
      <c r="AB235" s="10">
        <f>Д402[[#This Row],[Фикс 23.12.24]]+Д402[[#This Row],[Повышение 20.02.25]]</f>
        <v>119896.5</v>
      </c>
      <c r="AC235" s="149">
        <v>17.5</v>
      </c>
      <c r="AD235" s="10">
        <f>Д402[[#This Row],[Фикс 20.02.25]]+Д402[[#This Row],[Повышение 24.02.2025]]</f>
        <v>119914</v>
      </c>
      <c r="AE235" s="149">
        <f>Д402[[#This Row],[Фикс 24.02.25]]*0.5%</f>
        <v>599.57000000000005</v>
      </c>
      <c r="AF235" s="10">
        <f>Д402[[#This Row],[Фикс 24.02.25]]+Д402[[#This Row],[Повышение 05.03.2025
1К: до 40м - 1,5%, 40+ 0,5%
2К - 0,5% ]]</f>
        <v>120513.57</v>
      </c>
      <c r="AG235" s="10"/>
      <c r="AH235" s="10">
        <f>Д402[[#This Row],[Фикс 05.03.25]]+Д402[[#This Row],[повышение 14.03.25 1К-1%]]</f>
        <v>120513.57</v>
      </c>
      <c r="AI235" s="10"/>
      <c r="AJ235" s="10">
        <f>Д402[[#This Row],[Фикс 14.03.25]]+Д402[[#This Row],[повышение 28.03.25 1К-1%]]</f>
        <v>120513.57</v>
      </c>
      <c r="AK235" s="10">
        <f>Д402[[#This Row],[Фикс 28.03.25]]*3%</f>
        <v>3615.4070999999999</v>
      </c>
      <c r="AL235" s="10">
        <f>Д402[[#This Row],[Фикс 28.03.25]]+Д402[[#This Row],[Повышение 23.07.25
1К 43-46м2 - 2%
2К 55-58 - 2%; 58-64 - 3%
3К 76-79 - 2%
]]</f>
        <v>124128.9771</v>
      </c>
      <c r="AM235" s="149">
        <f>ROUND(Д402[[#This Row],[Фикс 23.07.25]],2)</f>
        <v>124128.98</v>
      </c>
      <c r="AN235" s="149">
        <f>ROUNDUP(Д402[[#This Row],[утв цена м2]]*Д402[[#This Row],[Расчетная проектная площадь]],-2)</f>
        <v>7344800</v>
      </c>
      <c r="AO235" s="151"/>
      <c r="AP235" s="152"/>
      <c r="AQ235" s="151">
        <f>Д402[[#This Row],[Стоимость до скидки]]*Д402[[#This Row],[Скидка %]]+Д402[[#This Row],[Скидка фиксированная]]</f>
        <v>0</v>
      </c>
      <c r="AR235" s="3">
        <f>Д402[[#This Row],[Стоимость ОН без отделки со скидкой]]/Д402[[#This Row],[Расчетная проектная площадь]]</f>
        <v>124130.47152273111</v>
      </c>
      <c r="AS235" s="3">
        <f>Д402[[#This Row],[Стоимость до скидки]]-Д402[[#This Row],[Итоговая сумма скидки]]</f>
        <v>7344800</v>
      </c>
      <c r="AT23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5" s="153"/>
      <c r="AV235" s="153"/>
      <c r="AW235" s="3">
        <f>Д402[[#This Row],[Цена м2 без отделки со скидкой]]+Д402[[#This Row],[Стоимость отделки]]</f>
        <v>124130.47152273111</v>
      </c>
      <c r="AX235" s="3">
        <f>Д402[[#This Row],[Стоимость квартиры с отделкой]]-Д402[[#This Row],[Стоимость ОН без отделки со скидкой]]</f>
        <v>0</v>
      </c>
      <c r="AY235" s="3">
        <f>Д402[[#This Row],[Цена м2 с отделкой]]*Д402[[#This Row],[Расчетная проектная площадь]]</f>
        <v>7344800</v>
      </c>
      <c r="AZ235" s="161"/>
      <c r="BA235" s="155" t="s">
        <v>12</v>
      </c>
      <c r="BB235" s="156" t="str" cm="1">
        <f t="array" ref="BB23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35" s="161" t="s">
        <v>738</v>
      </c>
      <c r="BD235" s="161" t="s">
        <v>739</v>
      </c>
      <c r="BE235" s="161" t="s">
        <v>737</v>
      </c>
      <c r="BF235" s="161" t="s">
        <v>747</v>
      </c>
      <c r="BG235" s="161" t="b">
        <f>EXACT(Д402[[#This Row],[Статусы CRM]],Д402[[#This Row],[Статус]])</f>
        <v>1</v>
      </c>
      <c r="BH235" s="3">
        <f>IF(Д402[[#This Row],[ПС]]=0,IF(Д402[[#This Row],[ДС]]=0,Д402[[#This Row],[ТС]],Д402[[#This Row],[ДС]]),Д402[[#This Row],[ПС]])</f>
        <v>7344800</v>
      </c>
      <c r="BI235" s="3">
        <v>7344800</v>
      </c>
      <c r="BJ235" s="3">
        <v>0</v>
      </c>
      <c r="BK235" s="3">
        <v>0</v>
      </c>
      <c r="BL235" s="273">
        <f>Д402[[#This Row],[Стоимость CRM]]-Д402[[#This Row],[Стоимость до скидки]]</f>
        <v>0</v>
      </c>
      <c r="BM235" s="161" t="s">
        <v>9</v>
      </c>
      <c r="BN235" s="161" t="b">
        <f>Д402[[#This Row],[Отделка CRM]]=Д402[[#This Row],[Отделка]]</f>
        <v>1</v>
      </c>
      <c r="BO235" s="275" t="s">
        <v>367</v>
      </c>
      <c r="BP235" s="69"/>
    </row>
    <row r="236" spans="1:68" ht="12" customHeight="1" x14ac:dyDescent="0.25">
      <c r="A236" s="140">
        <v>234</v>
      </c>
      <c r="B236" s="175">
        <v>3</v>
      </c>
      <c r="C236" s="141">
        <f t="shared" si="8"/>
        <v>10</v>
      </c>
      <c r="D236" s="142">
        <v>6</v>
      </c>
      <c r="E236" s="141">
        <v>0</v>
      </c>
      <c r="F236" s="167">
        <v>16.25</v>
      </c>
      <c r="G236" s="167"/>
      <c r="H236" s="167"/>
      <c r="I236" s="168">
        <f>SUM(Д402[[#This Row],[Комната 1]:[Комната 3]])</f>
        <v>16.25</v>
      </c>
      <c r="J236" s="145">
        <v>5</v>
      </c>
      <c r="K236" s="169">
        <v>4.2</v>
      </c>
      <c r="L236" s="169"/>
      <c r="M236" s="169">
        <v>4.21</v>
      </c>
      <c r="N236" s="169"/>
      <c r="O236" s="169"/>
      <c r="P236" s="170"/>
      <c r="Q236" s="170"/>
      <c r="R236" s="170">
        <f>SUM(Д402[[#This Row],[Лоджия 1]:[Лоджия 3]])</f>
        <v>0</v>
      </c>
      <c r="S236" s="171">
        <f>ROUND(SUM(Д402[[#This Row],[Площадь по проекту жилая]:[Лоджия 3]]),2)</f>
        <v>29.66</v>
      </c>
      <c r="T236" s="171">
        <f>ROUND(Д402[[#This Row],[Площадь по проекту(общая)]]-Д402[[#This Row],[Летние]],2)</f>
        <v>29.66</v>
      </c>
      <c r="U236" s="10">
        <f>ROUND(Д402[[#This Row],[Площадь по проекту(общая)]]-(SUM(Д402[[#This Row],[Лоджия 1]:[Лоджия 3]])/2),2)</f>
        <v>29.66</v>
      </c>
      <c r="V236" s="10">
        <f>VLOOKUP(Д402[[#This Row],[№]],наценка7[],COLUMN(наценка7[[#This Row],[Цена м2 с учетом всех K]]),0)</f>
        <v>138332.70000000001</v>
      </c>
      <c r="W236" s="162"/>
      <c r="X236" s="10">
        <f>Д402[[#This Row],[м2 после К]]+Д402[[#This Row],[02.12.2024]]</f>
        <v>138332.70000000001</v>
      </c>
      <c r="Y236" s="149">
        <v>1000</v>
      </c>
      <c r="Z236" s="10">
        <f>Д402[[#This Row],[Фикс 20.12.24]]+Д402[[#This Row],[23.12.24 СП +1000]]</f>
        <v>139332.70000000001</v>
      </c>
      <c r="AA236" s="149">
        <v>215</v>
      </c>
      <c r="AB236" s="10">
        <f>Д402[[#This Row],[Фикс 23.12.24]]+Д402[[#This Row],[Повышение 20.02.25]]</f>
        <v>139547.70000000001</v>
      </c>
      <c r="AC236" s="149">
        <v>17.5</v>
      </c>
      <c r="AD236" s="10">
        <f>Д402[[#This Row],[Фикс 20.02.25]]+Д402[[#This Row],[Повышение 24.02.2025]]</f>
        <v>139565.20000000001</v>
      </c>
      <c r="AE236" s="10"/>
      <c r="AF236" s="10">
        <f>Д402[[#This Row],[Фикс 24.02.25]]+Д402[[#This Row],[Повышение 05.03.2025
1К: до 40м - 1,5%, 40+ 0,5%
2К - 0,5% ]]</f>
        <v>139565.20000000001</v>
      </c>
      <c r="AG236" s="10"/>
      <c r="AH236" s="10">
        <f>Д402[[#This Row],[Фикс 05.03.25]]+Д402[[#This Row],[повышение 14.03.25 1К-1%]]</f>
        <v>139565.20000000001</v>
      </c>
      <c r="AI236" s="10"/>
      <c r="AJ236" s="10">
        <f>Д402[[#This Row],[Фикс 14.03.25]]+Д402[[#This Row],[повышение 28.03.25 1К-1%]]</f>
        <v>139565.20000000001</v>
      </c>
      <c r="AK236" s="10"/>
      <c r="AL236" s="10">
        <f>Д402[[#This Row],[Фикс 28.03.25]]+Д402[[#This Row],[Повышение 23.07.25
1К 43-46м2 - 2%
2К 55-58 - 2%; 58-64 - 3%
3К 76-79 - 2%
]]</f>
        <v>139565.20000000001</v>
      </c>
      <c r="AM236" s="149">
        <f>ROUND(Д402[[#This Row],[Фикс 23.07.25]],2)</f>
        <v>139565.20000000001</v>
      </c>
      <c r="AN236" s="149">
        <f>ROUNDUP(Д402[[#This Row],[утв цена м2]]*Д402[[#This Row],[Расчетная проектная площадь]],-2)</f>
        <v>4139600</v>
      </c>
      <c r="AO236" s="151"/>
      <c r="AP236" s="152"/>
      <c r="AQ236" s="151">
        <f>Д402[[#This Row],[Стоимость до скидки]]*Д402[[#This Row],[Скидка %]]+Д402[[#This Row],[Скидка фиксированная]]</f>
        <v>0</v>
      </c>
      <c r="AR236" s="3">
        <f>Д402[[#This Row],[Стоимость ОН без отделки со скидкой]]/Д402[[#This Row],[Расчетная проектная площадь]]</f>
        <v>139568.44234659473</v>
      </c>
      <c r="AS236" s="3">
        <f>Д402[[#This Row],[Стоимость до скидки]]-Д402[[#This Row],[Итоговая сумма скидки]]</f>
        <v>4139600</v>
      </c>
      <c r="AT23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6" s="153"/>
      <c r="AV236" s="153"/>
      <c r="AW236" s="3">
        <f>Д402[[#This Row],[Цена м2 без отделки со скидкой]]+Д402[[#This Row],[Стоимость отделки]]</f>
        <v>139568.44234659473</v>
      </c>
      <c r="AX236" s="3">
        <f>Д402[[#This Row],[Стоимость квартиры с отделкой]]-Д402[[#This Row],[Стоимость ОН без отделки со скидкой]]</f>
        <v>0</v>
      </c>
      <c r="AY236" s="3">
        <f>Д402[[#This Row],[Цена м2 с отделкой]]*Д402[[#This Row],[Расчетная проектная площадь]]</f>
        <v>4139600</v>
      </c>
      <c r="AZ236" s="161"/>
      <c r="BA236" s="155" t="s">
        <v>12</v>
      </c>
      <c r="BB236" s="156" t="str" cm="1">
        <f t="array" ref="BB23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36" s="161" t="s">
        <v>738</v>
      </c>
      <c r="BD236" s="161" t="s">
        <v>739</v>
      </c>
      <c r="BE236" s="161" t="s">
        <v>737</v>
      </c>
      <c r="BF236" s="161" t="s">
        <v>743</v>
      </c>
      <c r="BG236" s="161" t="b">
        <f>EXACT(Д402[[#This Row],[Статусы CRM]],Д402[[#This Row],[Статус]])</f>
        <v>1</v>
      </c>
      <c r="BH236" s="3">
        <f>IF(Д402[[#This Row],[ПС]]=0,IF(Д402[[#This Row],[ДС]]=0,Д402[[#This Row],[ТС]],Д402[[#This Row],[ДС]]),Д402[[#This Row],[ПС]])</f>
        <v>4139600</v>
      </c>
      <c r="BI236" s="3">
        <v>4139600</v>
      </c>
      <c r="BJ236" s="3">
        <v>0</v>
      </c>
      <c r="BK236" s="3">
        <v>0</v>
      </c>
      <c r="BL236" s="273">
        <f>Д402[[#This Row],[Стоимость CRM]]-Д402[[#This Row],[Стоимость до скидки]]</f>
        <v>0</v>
      </c>
      <c r="BM236" s="161" t="s">
        <v>9</v>
      </c>
      <c r="BN236" s="161" t="b">
        <f>Д402[[#This Row],[Отделка CRM]]=Д402[[#This Row],[Отделка]]</f>
        <v>1</v>
      </c>
      <c r="BO236" s="275" t="s">
        <v>368</v>
      </c>
      <c r="BP236" s="69"/>
    </row>
    <row r="237" spans="1:68" ht="12" customHeight="1" x14ac:dyDescent="0.25">
      <c r="A237" s="140">
        <v>235</v>
      </c>
      <c r="B237" s="175">
        <v>3</v>
      </c>
      <c r="C237" s="141">
        <f t="shared" si="8"/>
        <v>11</v>
      </c>
      <c r="D237" s="142">
        <v>1</v>
      </c>
      <c r="E237" s="141">
        <v>1</v>
      </c>
      <c r="F237" s="143">
        <v>14.42</v>
      </c>
      <c r="G237" s="143"/>
      <c r="H237" s="143"/>
      <c r="I237" s="144">
        <f>SUM(Д402[[#This Row],[Комната 1]:[Комната 3]])</f>
        <v>14.42</v>
      </c>
      <c r="J237" s="145">
        <v>16.11</v>
      </c>
      <c r="K237" s="145">
        <v>4.09</v>
      </c>
      <c r="L237" s="145"/>
      <c r="M237" s="145">
        <v>8.0299999999999994</v>
      </c>
      <c r="N237" s="145"/>
      <c r="O237" s="145">
        <v>3.01</v>
      </c>
      <c r="P237" s="146"/>
      <c r="Q237" s="146"/>
      <c r="R237" s="146">
        <f>SUM(Д402[[#This Row],[Лоджия 1]:[Лоджия 3]])</f>
        <v>3.01</v>
      </c>
      <c r="S237" s="10">
        <f>ROUND(SUM(Д402[[#This Row],[Площадь по проекту жилая]:[Лоджия 3]]),2)</f>
        <v>45.66</v>
      </c>
      <c r="T237" s="10">
        <f>ROUND(Д402[[#This Row],[Площадь по проекту(общая)]]-Д402[[#This Row],[Летние]],2)</f>
        <v>42.65</v>
      </c>
      <c r="U237" s="10">
        <f>ROUND(Д402[[#This Row],[Площадь по проекту(общая)]]-(SUM(Д402[[#This Row],[Лоджия 1]:[Лоджия 3]])/2),2)</f>
        <v>44.16</v>
      </c>
      <c r="V237" s="10">
        <f>VLOOKUP(Д402[[#This Row],[№]],наценка7[],COLUMN(наценка7[[#This Row],[Цена м2 с учетом всех K]]),0)</f>
        <v>122837.8</v>
      </c>
      <c r="W237" s="159">
        <f>2%*Д402[[#This Row],[м2 после К]]</f>
        <v>2456.7560000000003</v>
      </c>
      <c r="X237" s="10">
        <f>Д402[[#This Row],[м2 после К]]+Д402[[#This Row],[02.12.2024]]</f>
        <v>125294.556</v>
      </c>
      <c r="Y237" s="149">
        <v>1000</v>
      </c>
      <c r="Z237" s="10">
        <f>Д402[[#This Row],[Фикс 20.12.24]]+Д402[[#This Row],[23.12.24 СП +1000]]</f>
        <v>126294.556</v>
      </c>
      <c r="AA237" s="10"/>
      <c r="AB237" s="10">
        <f>Д402[[#This Row],[Фикс 23.12.24]]+Д402[[#This Row],[Повышение 20.02.25]]</f>
        <v>126294.556</v>
      </c>
      <c r="AC237" s="10"/>
      <c r="AD237" s="10">
        <f>Д402[[#This Row],[Фикс 20.02.25]]+Д402[[#This Row],[Повышение 24.02.2025]]</f>
        <v>126294.556</v>
      </c>
      <c r="AE237" s="10"/>
      <c r="AF237" s="10">
        <f>Д402[[#This Row],[Фикс 24.02.25]]+Д402[[#This Row],[Повышение 05.03.2025
1К: до 40м - 1,5%, 40+ 0,5%
2К - 0,5% ]]</f>
        <v>126294.556</v>
      </c>
      <c r="AG237" s="10"/>
      <c r="AH237" s="10">
        <f>Д402[[#This Row],[Фикс 05.03.25]]+Д402[[#This Row],[повышение 14.03.25 1К-1%]]</f>
        <v>126294.556</v>
      </c>
      <c r="AI237" s="10"/>
      <c r="AJ237" s="10">
        <f>Д402[[#This Row],[Фикс 14.03.25]]+Д402[[#This Row],[повышение 28.03.25 1К-1%]]</f>
        <v>126294.556</v>
      </c>
      <c r="AK237" s="10"/>
      <c r="AL237" s="10">
        <f>Д402[[#This Row],[Фикс 28.03.25]]+Д402[[#This Row],[Повышение 23.07.25
1К 43-46м2 - 2%
2К 55-58 - 2%; 58-64 - 3%
3К 76-79 - 2%
]]</f>
        <v>126294.556</v>
      </c>
      <c r="AM237" s="149">
        <f>ROUND(Д402[[#This Row],[Фикс 23.07.25]],2)</f>
        <v>126294.56</v>
      </c>
      <c r="AN237" s="149">
        <f>ROUNDUP(Д402[[#This Row],[утв цена м2]]*Д402[[#This Row],[Расчетная проектная площадь]],-2)</f>
        <v>5577200</v>
      </c>
      <c r="AO237" s="151"/>
      <c r="AP237" s="152">
        <v>0.02</v>
      </c>
      <c r="AQ237" s="151">
        <f>Д402[[#This Row],[Стоимость до скидки]]*Д402[[#This Row],[Скидка %]]+Д402[[#This Row],[Скидка фиксированная]]</f>
        <v>111544</v>
      </c>
      <c r="AR237" s="3">
        <f>Д402[[#This Row],[Стоимость ОН без отделки со скидкой]]/Д402[[#This Row],[Расчетная проектная площадь]]</f>
        <v>123769.38405797102</v>
      </c>
      <c r="AS237" s="3">
        <f>Д402[[#This Row],[Стоимость до скидки]]-Д402[[#This Row],[Итоговая сумма скидки]]</f>
        <v>5465656</v>
      </c>
      <c r="AT23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7" s="153"/>
      <c r="AV237" s="153"/>
      <c r="AW237" s="3">
        <f>Д402[[#This Row],[Цена м2 без отделки со скидкой]]+Д402[[#This Row],[Стоимость отделки]]</f>
        <v>123769.38405797102</v>
      </c>
      <c r="AX237" s="3">
        <f>Д402[[#This Row],[Стоимость квартиры с отделкой]]-Д402[[#This Row],[Стоимость ОН без отделки со скидкой]]</f>
        <v>0</v>
      </c>
      <c r="AY237" s="3">
        <f>Д402[[#This Row],[Цена м2 с отделкой]]*Д402[[#This Row],[Расчетная проектная площадь]]</f>
        <v>5465656</v>
      </c>
      <c r="AZ237" s="161" t="s">
        <v>433</v>
      </c>
      <c r="BA237" s="269" t="s">
        <v>426</v>
      </c>
      <c r="BB237" s="269" t="str" cm="1">
        <f t="array" ref="BB23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37" s="161" t="s">
        <v>741</v>
      </c>
      <c r="BD237" s="161" t="s">
        <v>506</v>
      </c>
      <c r="BE237" s="161" t="s">
        <v>737</v>
      </c>
      <c r="BF237" s="161" t="s">
        <v>745</v>
      </c>
      <c r="BG237" s="161" t="b">
        <f>EXACT(Д402[[#This Row],[Статусы CRM]],Д402[[#This Row],[Статус]])</f>
        <v>1</v>
      </c>
      <c r="BH237" s="3">
        <f>IF(Д402[[#This Row],[ПС]]=0,IF(Д402[[#This Row],[ДС]]=0,Д402[[#This Row],[ТС]],Д402[[#This Row],[ДС]]),Д402[[#This Row],[ПС]])</f>
        <v>5577200</v>
      </c>
      <c r="BI237" s="3" t="s">
        <v>749</v>
      </c>
      <c r="BJ237" s="3">
        <v>0</v>
      </c>
      <c r="BK237" s="3">
        <v>5577200</v>
      </c>
      <c r="BL237" s="273">
        <f>Д402[[#This Row],[Стоимость CRM]]-Д402[[#This Row],[Стоимость до скидки]]</f>
        <v>0</v>
      </c>
      <c r="BM237" s="161" t="s">
        <v>9</v>
      </c>
      <c r="BN237" s="161" t="b">
        <f>Д402[[#This Row],[Отделка CRM]]=Д402[[#This Row],[Отделка]]</f>
        <v>1</v>
      </c>
      <c r="BO237" s="275" t="s">
        <v>369</v>
      </c>
      <c r="BP237" s="69"/>
    </row>
    <row r="238" spans="1:68" ht="12" customHeight="1" x14ac:dyDescent="0.25">
      <c r="A238" s="140">
        <v>236</v>
      </c>
      <c r="B238" s="175">
        <v>3</v>
      </c>
      <c r="C238" s="141">
        <f t="shared" si="8"/>
        <v>11</v>
      </c>
      <c r="D238" s="142">
        <v>2</v>
      </c>
      <c r="E238" s="141">
        <v>1</v>
      </c>
      <c r="F238" s="143">
        <v>12.76</v>
      </c>
      <c r="G238" s="143"/>
      <c r="H238" s="143"/>
      <c r="I238" s="144">
        <f>SUM(Д402[[#This Row],[Комната 1]:[Комната 3]])</f>
        <v>12.76</v>
      </c>
      <c r="J238" s="145">
        <v>15.01</v>
      </c>
      <c r="K238" s="145">
        <v>4.22</v>
      </c>
      <c r="L238" s="145"/>
      <c r="M238" s="145">
        <v>3.09</v>
      </c>
      <c r="N238" s="145"/>
      <c r="O238" s="145">
        <v>2.93</v>
      </c>
      <c r="P238" s="146"/>
      <c r="Q238" s="146"/>
      <c r="R238" s="146">
        <f>SUM(Д402[[#This Row],[Лоджия 1]:[Лоджия 3]])</f>
        <v>2.93</v>
      </c>
      <c r="S238" s="10">
        <f>ROUND(SUM(Д402[[#This Row],[Площадь по проекту жилая]:[Лоджия 3]]),2)</f>
        <v>38.01</v>
      </c>
      <c r="T238" s="10">
        <f>ROUND(Д402[[#This Row],[Площадь по проекту(общая)]]-Д402[[#This Row],[Летние]],2)</f>
        <v>35.08</v>
      </c>
      <c r="U238" s="10">
        <f>ROUND(Д402[[#This Row],[Площадь по проекту(общая)]]-(SUM(Д402[[#This Row],[Лоджия 1]:[Лоджия 3]])/2),2)</f>
        <v>36.549999999999997</v>
      </c>
      <c r="V238" s="10">
        <f>VLOOKUP(Д402[[#This Row],[№]],наценка7[],COLUMN(наценка7[[#This Row],[Цена м2 с учетом всех K]]),0)</f>
        <v>126415.6</v>
      </c>
      <c r="W238" s="159">
        <f>2%*Д402[[#This Row],[м2 после К]]</f>
        <v>2528.3120000000004</v>
      </c>
      <c r="X238" s="10">
        <f>Д402[[#This Row],[м2 после К]]+Д402[[#This Row],[02.12.2024]]</f>
        <v>128943.91200000001</v>
      </c>
      <c r="Y238" s="149">
        <v>1000</v>
      </c>
      <c r="Z238" s="10">
        <f>Д402[[#This Row],[Фикс 20.12.24]]+Д402[[#This Row],[23.12.24 СП +1000]]</f>
        <v>129943.91200000001</v>
      </c>
      <c r="AA238" s="149">
        <v>215</v>
      </c>
      <c r="AB238" s="10">
        <f>Д402[[#This Row],[Фикс 23.12.24]]+Д402[[#This Row],[Повышение 20.02.25]]</f>
        <v>130158.91200000001</v>
      </c>
      <c r="AC238" s="149">
        <v>17.5</v>
      </c>
      <c r="AD238" s="10">
        <f>Д402[[#This Row],[Фикс 20.02.25]]+Д402[[#This Row],[Повышение 24.02.2025]]</f>
        <v>130176.41200000001</v>
      </c>
      <c r="AE238" s="149">
        <f>Д402[[#This Row],[Фикс 24.02.25]]*1.5%</f>
        <v>1952.6461800000002</v>
      </c>
      <c r="AF238" s="10">
        <f>Д402[[#This Row],[Фикс 24.02.25]]+Д402[[#This Row],[Повышение 05.03.2025
1К: до 40м - 1,5%, 40+ 0,5%
2К - 0,5% ]]</f>
        <v>132129.05818000002</v>
      </c>
      <c r="AG238" s="10"/>
      <c r="AH238" s="10">
        <f>Д402[[#This Row],[Фикс 05.03.25]]+Д402[[#This Row],[повышение 14.03.25 1К-1%]]</f>
        <v>132129.05818000002</v>
      </c>
      <c r="AI238" s="10"/>
      <c r="AJ238" s="10">
        <f>Д402[[#This Row],[Фикс 14.03.25]]+Д402[[#This Row],[повышение 28.03.25 1К-1%]]</f>
        <v>132129.05818000002</v>
      </c>
      <c r="AK238" s="10"/>
      <c r="AL238" s="10">
        <f>Д402[[#This Row],[Фикс 28.03.25]]+Д402[[#This Row],[Повышение 23.07.25
1К 43-46м2 - 2%
2К 55-58 - 2%; 58-64 - 3%
3К 76-79 - 2%
]]</f>
        <v>132129.05818000002</v>
      </c>
      <c r="AM238" s="149">
        <f>ROUND(Д402[[#This Row],[Фикс 23.07.25]],2)</f>
        <v>132129.06</v>
      </c>
      <c r="AN238" s="149">
        <f>ROUNDUP(Д402[[#This Row],[утв цена м2]]*Д402[[#This Row],[Расчетная проектная площадь]],-2)</f>
        <v>4829400</v>
      </c>
      <c r="AO238" s="151"/>
      <c r="AP238" s="152">
        <v>0.02</v>
      </c>
      <c r="AQ238" s="151">
        <f>Д402[[#This Row],[Стоимость до скидки]]*Д402[[#This Row],[Скидка %]]+Д402[[#This Row],[Скидка фиксированная]]</f>
        <v>96588</v>
      </c>
      <c r="AR238" s="3">
        <f>Д402[[#This Row],[Стоимость ОН без отделки со скидкой]]/Д402[[#This Row],[Расчетная проектная площадь]]</f>
        <v>129488.70041039673</v>
      </c>
      <c r="AS238" s="3">
        <f>Д402[[#This Row],[Стоимость до скидки]]-Д402[[#This Row],[Итоговая сумма скидки]]</f>
        <v>4732812</v>
      </c>
      <c r="AT23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38" s="153">
        <v>10000</v>
      </c>
      <c r="AV238" s="153"/>
      <c r="AW238" s="3">
        <f>Д402[[#This Row],[Цена м2 без отделки со скидкой]]+Д402[[#This Row],[Стоимость отделки]]</f>
        <v>139488.70041039673</v>
      </c>
      <c r="AX238" s="3">
        <f>Д402[[#This Row],[Стоимость квартиры с отделкой]]-Д402[[#This Row],[Стоимость ОН без отделки со скидкой]]</f>
        <v>365500</v>
      </c>
      <c r="AY238" s="3">
        <f>Д402[[#This Row],[Цена м2 с отделкой]]*Д402[[#This Row],[Расчетная проектная площадь]]</f>
        <v>5098312</v>
      </c>
      <c r="AZ238" s="161" t="s">
        <v>433</v>
      </c>
      <c r="BA238" s="277" t="s">
        <v>426</v>
      </c>
      <c r="BB238" s="269" t="str" cm="1">
        <f t="array" ref="BB23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38" s="161" t="s">
        <v>741</v>
      </c>
      <c r="BD238" s="161" t="s">
        <v>506</v>
      </c>
      <c r="BE238" s="161" t="s">
        <v>737</v>
      </c>
      <c r="BF238" s="161" t="s">
        <v>745</v>
      </c>
      <c r="BG238" s="161" t="b">
        <f>EXACT(Д402[[#This Row],[Статусы CRM]],Д402[[#This Row],[Статус]])</f>
        <v>1</v>
      </c>
      <c r="BH238" s="3">
        <f>IF(Д402[[#This Row],[ПС]]=0,IF(Д402[[#This Row],[ДС]]=0,Д402[[#This Row],[ТС]],Д402[[#This Row],[ДС]]),Д402[[#This Row],[ПС]])</f>
        <v>4829400</v>
      </c>
      <c r="BI238" s="3" t="s">
        <v>749</v>
      </c>
      <c r="BJ238" s="3">
        <v>0</v>
      </c>
      <c r="BK238" s="3">
        <v>4829400</v>
      </c>
      <c r="BL238" s="273">
        <f>Д402[[#This Row],[Стоимость CRM]]-Д402[[#This Row],[Стоимость до скидки]]</f>
        <v>0</v>
      </c>
      <c r="BM238" s="161" t="s">
        <v>718</v>
      </c>
      <c r="BN238" s="161" t="b">
        <f>Д402[[#This Row],[Отделка CRM]]=Д402[[#This Row],[Отделка]]</f>
        <v>1</v>
      </c>
      <c r="BO238" s="275" t="s">
        <v>370</v>
      </c>
      <c r="BP238" s="69"/>
    </row>
    <row r="239" spans="1:68" ht="12" customHeight="1" x14ac:dyDescent="0.25">
      <c r="A239" s="140">
        <v>237</v>
      </c>
      <c r="B239" s="175">
        <v>3</v>
      </c>
      <c r="C239" s="141">
        <f t="shared" si="8"/>
        <v>11</v>
      </c>
      <c r="D239" s="142">
        <v>3</v>
      </c>
      <c r="E239" s="141">
        <v>2</v>
      </c>
      <c r="F239" s="143">
        <v>15.36</v>
      </c>
      <c r="G239" s="143">
        <v>11.95</v>
      </c>
      <c r="H239" s="143"/>
      <c r="I239" s="144">
        <f>SUM(Д402[[#This Row],[Комната 1]:[Комната 3]])</f>
        <v>27.31</v>
      </c>
      <c r="J239" s="145">
        <v>14.61</v>
      </c>
      <c r="K239" s="145">
        <v>4.21</v>
      </c>
      <c r="L239" s="145"/>
      <c r="M239" s="145">
        <v>6.6</v>
      </c>
      <c r="N239" s="145"/>
      <c r="O239" s="145">
        <v>3.23</v>
      </c>
      <c r="P239" s="146"/>
      <c r="Q239" s="146"/>
      <c r="R239" s="146">
        <f>SUM(Д402[[#This Row],[Лоджия 1]:[Лоджия 3]])</f>
        <v>3.23</v>
      </c>
      <c r="S239" s="10">
        <f>ROUND(SUM(Д402[[#This Row],[Площадь по проекту жилая]:[Лоджия 3]]),2)</f>
        <v>55.96</v>
      </c>
      <c r="T239" s="10">
        <f>ROUND(Д402[[#This Row],[Площадь по проекту(общая)]]-Д402[[#This Row],[Летние]],2)</f>
        <v>52.73</v>
      </c>
      <c r="U239" s="10">
        <f>ROUND(Д402[[#This Row],[Площадь по проекту(общая)]]-(SUM(Д402[[#This Row],[Лоджия 1]:[Лоджия 3]])/2),2)</f>
        <v>54.35</v>
      </c>
      <c r="V239" s="10">
        <f>VLOOKUP(Д402[[#This Row],[№]],наценка7[],COLUMN(наценка7[[#This Row],[Цена м2 с учетом всех K]]),0)</f>
        <v>119811.8</v>
      </c>
      <c r="W239" s="162">
        <f>0.021*Д402[[#This Row],[м2 после К]]</f>
        <v>2516.0478000000003</v>
      </c>
      <c r="X239" s="10">
        <f>Д402[[#This Row],[м2 после К]]+Д402[[#This Row],[02.12.2024]]</f>
        <v>122327.8478</v>
      </c>
      <c r="Y239" s="149">
        <v>1000</v>
      </c>
      <c r="Z239" s="10">
        <f>Д402[[#This Row],[Фикс 20.12.24]]+Д402[[#This Row],[23.12.24 СП +1000]]</f>
        <v>123327.8478</v>
      </c>
      <c r="AA239" s="149">
        <v>215</v>
      </c>
      <c r="AB239" s="10">
        <f>Д402[[#This Row],[Фикс 23.12.24]]+Д402[[#This Row],[Повышение 20.02.25]]</f>
        <v>123542.8478</v>
      </c>
      <c r="AC239" s="149">
        <v>17.5</v>
      </c>
      <c r="AD239" s="10">
        <f>Д402[[#This Row],[Фикс 20.02.25]]+Д402[[#This Row],[Повышение 24.02.2025]]</f>
        <v>123560.3478</v>
      </c>
      <c r="AE239" s="10"/>
      <c r="AF239" s="10">
        <f>Д402[[#This Row],[Фикс 24.02.25]]+Д402[[#This Row],[Повышение 05.03.2025
1К: до 40м - 1,5%, 40+ 0,5%
2К - 0,5% ]]</f>
        <v>123560.3478</v>
      </c>
      <c r="AG239" s="10"/>
      <c r="AH239" s="10">
        <f>Д402[[#This Row],[Фикс 05.03.25]]+Д402[[#This Row],[повышение 14.03.25 1К-1%]]</f>
        <v>123560.3478</v>
      </c>
      <c r="AI239" s="10"/>
      <c r="AJ239" s="10">
        <f>Д402[[#This Row],[Фикс 14.03.25]]+Д402[[#This Row],[повышение 28.03.25 1К-1%]]</f>
        <v>123560.3478</v>
      </c>
      <c r="AK239" s="10"/>
      <c r="AL239" s="10">
        <f>Д402[[#This Row],[Фикс 28.03.25]]+Д402[[#This Row],[Повышение 23.07.25
1К 43-46м2 - 2%
2К 55-58 - 2%; 58-64 - 3%
3К 76-79 - 2%
]]</f>
        <v>123560.3478</v>
      </c>
      <c r="AM239" s="149">
        <f>ROUND(Д402[[#This Row],[Фикс 23.07.25]],2)</f>
        <v>123560.35</v>
      </c>
      <c r="AN239" s="149">
        <f>ROUNDUP(Д402[[#This Row],[утв цена м2]]*Д402[[#This Row],[Расчетная проектная площадь]],-2)</f>
        <v>6715600</v>
      </c>
      <c r="AO239" s="151"/>
      <c r="AP239" s="152">
        <v>0.02</v>
      </c>
      <c r="AQ239" s="151">
        <f>Д402[[#This Row],[Стоимость до скидки]]*Д402[[#This Row],[Скидка %]]+Д402[[#This Row],[Скидка фиксированная]]</f>
        <v>134312</v>
      </c>
      <c r="AR239" s="3">
        <f>Д402[[#This Row],[Стоимость ОН без отделки со скидкой]]/Д402[[#This Row],[Расчетная проектная площадь]]</f>
        <v>121090.85556577737</v>
      </c>
      <c r="AS239" s="3">
        <f>Д402[[#This Row],[Стоимость до скидки]]-Д402[[#This Row],[Итоговая сумма скидки]]</f>
        <v>6581288</v>
      </c>
      <c r="AT23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39" s="153"/>
      <c r="AV239" s="153"/>
      <c r="AW239" s="3">
        <f>Д402[[#This Row],[Цена м2 без отделки со скидкой]]+Д402[[#This Row],[Стоимость отделки]]</f>
        <v>121090.85556577737</v>
      </c>
      <c r="AX239" s="3">
        <f>Д402[[#This Row],[Стоимость квартиры с отделкой]]-Д402[[#This Row],[Стоимость ОН без отделки со скидкой]]</f>
        <v>0</v>
      </c>
      <c r="AY239" s="3">
        <f>Д402[[#This Row],[Цена м2 с отделкой]]*Д402[[#This Row],[Расчетная проектная площадь]]</f>
        <v>6581288</v>
      </c>
      <c r="AZ239" s="161" t="s">
        <v>436</v>
      </c>
      <c r="BA239" s="277" t="s">
        <v>426</v>
      </c>
      <c r="BB239" s="269" t="str" cm="1">
        <f t="array" ref="BB23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39" s="161" t="s">
        <v>741</v>
      </c>
      <c r="BD239" s="161" t="s">
        <v>506</v>
      </c>
      <c r="BE239" s="161" t="s">
        <v>737</v>
      </c>
      <c r="BF239" s="161" t="s">
        <v>744</v>
      </c>
      <c r="BG239" s="161" t="b">
        <f>EXACT(Д402[[#This Row],[Статусы CRM]],Д402[[#This Row],[Статус]])</f>
        <v>1</v>
      </c>
      <c r="BH239" s="3">
        <f>IF(Д402[[#This Row],[ПС]]=0,IF(Д402[[#This Row],[ДС]]=0,Д402[[#This Row],[ТС]],Д402[[#This Row],[ДС]]),Д402[[#This Row],[ПС]])</f>
        <v>6715600</v>
      </c>
      <c r="BI239" s="3" t="s">
        <v>749</v>
      </c>
      <c r="BJ239" s="3">
        <v>0</v>
      </c>
      <c r="BK239" s="3">
        <v>6715600</v>
      </c>
      <c r="BL239" s="273">
        <f>Д402[[#This Row],[Стоимость CRM]]-Д402[[#This Row],[Стоимость до скидки]]</f>
        <v>0</v>
      </c>
      <c r="BM239" s="161" t="s">
        <v>9</v>
      </c>
      <c r="BN239" s="161" t="b">
        <f>Д402[[#This Row],[Отделка CRM]]=Д402[[#This Row],[Отделка]]</f>
        <v>1</v>
      </c>
      <c r="BO239" s="275" t="s">
        <v>371</v>
      </c>
      <c r="BP239" s="69"/>
    </row>
    <row r="240" spans="1:68" ht="12" customHeight="1" x14ac:dyDescent="0.25">
      <c r="A240" s="140">
        <v>238</v>
      </c>
      <c r="B240" s="175">
        <v>3</v>
      </c>
      <c r="C240" s="141">
        <f t="shared" si="8"/>
        <v>11</v>
      </c>
      <c r="D240" s="142">
        <v>4</v>
      </c>
      <c r="E240" s="141">
        <v>2</v>
      </c>
      <c r="F240" s="143">
        <v>15.67</v>
      </c>
      <c r="G240" s="143">
        <v>12.94</v>
      </c>
      <c r="H240" s="143"/>
      <c r="I240" s="144">
        <f>SUM(Д402[[#This Row],[Комната 1]:[Комната 3]])</f>
        <v>28.61</v>
      </c>
      <c r="J240" s="145">
        <v>13.91</v>
      </c>
      <c r="K240" s="145">
        <v>4.16</v>
      </c>
      <c r="L240" s="145"/>
      <c r="M240" s="145">
        <v>7.7</v>
      </c>
      <c r="N240" s="145"/>
      <c r="O240" s="145">
        <v>3.23</v>
      </c>
      <c r="P240" s="146"/>
      <c r="Q240" s="146"/>
      <c r="R240" s="146">
        <f>SUM(Д402[[#This Row],[Лоджия 1]:[Лоджия 3]])</f>
        <v>3.23</v>
      </c>
      <c r="S240" s="10">
        <f>ROUND(SUM(Д402[[#This Row],[Площадь по проекту жилая]:[Лоджия 3]]),2)</f>
        <v>57.61</v>
      </c>
      <c r="T240" s="10">
        <f>ROUND(Д402[[#This Row],[Площадь по проекту(общая)]]-Д402[[#This Row],[Летние]],2)</f>
        <v>54.38</v>
      </c>
      <c r="U240" s="10">
        <f>ROUND(Д402[[#This Row],[Площадь по проекту(общая)]]-(SUM(Д402[[#This Row],[Лоджия 1]:[Лоджия 3]])/2),2)</f>
        <v>56</v>
      </c>
      <c r="V240" s="10">
        <f>VLOOKUP(Д402[[#This Row],[№]],наценка7[],COLUMN(наценка7[[#This Row],[Цена м2 с учетом всех K]]),0)</f>
        <v>119811.8</v>
      </c>
      <c r="W240" s="162">
        <f>2%*Д402[[#This Row],[м2 после К]]</f>
        <v>2396.2360000000003</v>
      </c>
      <c r="X240" s="10">
        <f>Д402[[#This Row],[м2 после К]]+Д402[[#This Row],[02.12.2024]]</f>
        <v>122208.03600000001</v>
      </c>
      <c r="Y240" s="149">
        <v>1000</v>
      </c>
      <c r="Z240" s="10">
        <f>Д402[[#This Row],[Фикс 20.12.24]]+Д402[[#This Row],[23.12.24 СП +1000]]</f>
        <v>123208.03600000001</v>
      </c>
      <c r="AA240" s="149">
        <v>215</v>
      </c>
      <c r="AB240" s="10">
        <f>Д402[[#This Row],[Фикс 23.12.24]]+Д402[[#This Row],[Повышение 20.02.25]]</f>
        <v>123423.03600000001</v>
      </c>
      <c r="AC240" s="149">
        <v>17.5</v>
      </c>
      <c r="AD240" s="10">
        <f>Д402[[#This Row],[Фикс 20.02.25]]+Д402[[#This Row],[Повышение 24.02.2025]]</f>
        <v>123440.53600000001</v>
      </c>
      <c r="AE240" s="149">
        <f>Д402[[#This Row],[Фикс 24.02.25]]*0.5%</f>
        <v>617.2026800000001</v>
      </c>
      <c r="AF240" s="10">
        <f>Д402[[#This Row],[Фикс 24.02.25]]+Д402[[#This Row],[Повышение 05.03.2025
1К: до 40м - 1,5%, 40+ 0,5%
2К - 0,5% ]]</f>
        <v>124057.73868000001</v>
      </c>
      <c r="AG240" s="10"/>
      <c r="AH240" s="10">
        <f>Д402[[#This Row],[Фикс 05.03.25]]+Д402[[#This Row],[повышение 14.03.25 1К-1%]]</f>
        <v>124057.73868000001</v>
      </c>
      <c r="AI240" s="10"/>
      <c r="AJ240" s="10">
        <f>Д402[[#This Row],[Фикс 14.03.25]]+Д402[[#This Row],[повышение 28.03.25 1К-1%]]</f>
        <v>124057.73868000001</v>
      </c>
      <c r="AK240" s="149">
        <f>Д402[[#This Row],[Фикс 28.03.25]]*2%</f>
        <v>2481.1547736000002</v>
      </c>
      <c r="AL240" s="10">
        <f>Д402[[#This Row],[Фикс 28.03.25]]+Д402[[#This Row],[Повышение 23.07.25
1К 43-46м2 - 2%
2К 55-58 - 2%; 58-64 - 3%
3К 76-79 - 2%
]]</f>
        <v>126538.89345360002</v>
      </c>
      <c r="AM240" s="149">
        <f>ROUND(Д402[[#This Row],[Фикс 23.07.25]],2)</f>
        <v>126538.89</v>
      </c>
      <c r="AN240" s="149">
        <f>ROUNDUP(Д402[[#This Row],[утв цена м2]]*Д402[[#This Row],[Расчетная проектная площадь]],-2)</f>
        <v>7086200</v>
      </c>
      <c r="AO240" s="151"/>
      <c r="AP240" s="152"/>
      <c r="AQ240" s="151">
        <f>Д402[[#This Row],[Стоимость до скидки]]*Д402[[#This Row],[Скидка %]]+Д402[[#This Row],[Скидка фиксированная]]</f>
        <v>0</v>
      </c>
      <c r="AR240" s="3">
        <f>Д402[[#This Row],[Стоимость ОН без отделки со скидкой]]/Д402[[#This Row],[Расчетная проектная площадь]]</f>
        <v>126539.28571428571</v>
      </c>
      <c r="AS240" s="3">
        <f>Д402[[#This Row],[Стоимость до скидки]]-Д402[[#This Row],[Итоговая сумма скидки]]</f>
        <v>7086200</v>
      </c>
      <c r="AT24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0" s="153"/>
      <c r="AV240" s="153"/>
      <c r="AW240" s="3">
        <f>Д402[[#This Row],[Цена м2 без отделки со скидкой]]+Д402[[#This Row],[Стоимость отделки]]</f>
        <v>126539.28571428571</v>
      </c>
      <c r="AX240" s="3">
        <f>Д402[[#This Row],[Стоимость квартиры с отделкой]]-Д402[[#This Row],[Стоимость ОН без отделки со скидкой]]</f>
        <v>0</v>
      </c>
      <c r="AY240" s="3">
        <f>Д402[[#This Row],[Цена м2 с отделкой]]*Д402[[#This Row],[Расчетная проектная площадь]]</f>
        <v>7086200</v>
      </c>
      <c r="AZ240" s="161"/>
      <c r="BA240" s="269" t="s">
        <v>12</v>
      </c>
      <c r="BB240" s="269" t="str" cm="1">
        <f t="array" ref="BB24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0" s="161" t="s">
        <v>738</v>
      </c>
      <c r="BD240" s="161" t="s">
        <v>739</v>
      </c>
      <c r="BE240" s="161" t="s">
        <v>737</v>
      </c>
      <c r="BF240" s="161" t="s">
        <v>747</v>
      </c>
      <c r="BG240" s="161" t="b">
        <f>EXACT(Д402[[#This Row],[Статусы CRM]],Д402[[#This Row],[Статус]])</f>
        <v>1</v>
      </c>
      <c r="BH240" s="3">
        <f>IF(Д402[[#This Row],[ПС]]=0,IF(Д402[[#This Row],[ДС]]=0,Д402[[#This Row],[ТС]],Д402[[#This Row],[ДС]]),Д402[[#This Row],[ПС]])</f>
        <v>7086200</v>
      </c>
      <c r="BI240" s="3">
        <v>7086200</v>
      </c>
      <c r="BJ240" s="3">
        <v>0</v>
      </c>
      <c r="BK240" s="3">
        <v>0</v>
      </c>
      <c r="BL240" s="273">
        <f>Д402[[#This Row],[Стоимость CRM]]-Д402[[#This Row],[Стоимость до скидки]]</f>
        <v>0</v>
      </c>
      <c r="BM240" s="161" t="s">
        <v>9</v>
      </c>
      <c r="BN240" s="161" t="b">
        <f>Д402[[#This Row],[Отделка CRM]]=Д402[[#This Row],[Отделка]]</f>
        <v>1</v>
      </c>
      <c r="BO240" s="275" t="s">
        <v>372</v>
      </c>
      <c r="BP240" s="69"/>
    </row>
    <row r="241" spans="1:68" ht="12" customHeight="1" x14ac:dyDescent="0.25">
      <c r="A241" s="140">
        <v>239</v>
      </c>
      <c r="B241" s="175">
        <v>3</v>
      </c>
      <c r="C241" s="141">
        <f t="shared" si="8"/>
        <v>11</v>
      </c>
      <c r="D241" s="142">
        <v>5</v>
      </c>
      <c r="E241" s="141">
        <v>2</v>
      </c>
      <c r="F241" s="143">
        <v>18.350000000000001</v>
      </c>
      <c r="G241" s="143">
        <v>15.96</v>
      </c>
      <c r="H241" s="143"/>
      <c r="I241" s="144">
        <f>SUM(Д402[[#This Row],[Комната 1]:[Комната 3]])</f>
        <v>34.31</v>
      </c>
      <c r="J241" s="145">
        <v>11.33</v>
      </c>
      <c r="K241" s="145">
        <v>4.41</v>
      </c>
      <c r="L241" s="145"/>
      <c r="M241" s="145">
        <v>7.57</v>
      </c>
      <c r="N241" s="145"/>
      <c r="O241" s="145">
        <v>3.1</v>
      </c>
      <c r="P241" s="146"/>
      <c r="Q241" s="146"/>
      <c r="R241" s="146">
        <f>SUM(Д402[[#This Row],[Лоджия 1]:[Лоджия 3]])</f>
        <v>3.1</v>
      </c>
      <c r="S241" s="10">
        <f>ROUND(SUM(Д402[[#This Row],[Площадь по проекту жилая]:[Лоджия 3]]),2)</f>
        <v>60.72</v>
      </c>
      <c r="T241" s="10">
        <f>ROUND(Д402[[#This Row],[Площадь по проекту(общая)]]-Д402[[#This Row],[Летние]],2)</f>
        <v>57.62</v>
      </c>
      <c r="U241" s="10">
        <f>ROUND(Д402[[#This Row],[Площадь по проекту(общая)]]-(SUM(Д402[[#This Row],[Лоджия 1]:[Лоджия 3]])/2),2)</f>
        <v>59.17</v>
      </c>
      <c r="V241" s="10">
        <f>VLOOKUP(Д402[[#This Row],[№]],наценка7[],COLUMN(наценка7[[#This Row],[Цена м2 с учетом всех K]]),0)</f>
        <v>118681.5</v>
      </c>
      <c r="W241" s="162"/>
      <c r="X241" s="10">
        <f>Д402[[#This Row],[м2 после К]]+Д402[[#This Row],[02.12.2024]]</f>
        <v>118681.5</v>
      </c>
      <c r="Y241" s="149">
        <v>1000</v>
      </c>
      <c r="Z241" s="10">
        <f>Д402[[#This Row],[Фикс 20.12.24]]+Д402[[#This Row],[23.12.24 СП +1000]]</f>
        <v>119681.5</v>
      </c>
      <c r="AA241" s="149">
        <v>215</v>
      </c>
      <c r="AB241" s="10">
        <f>Д402[[#This Row],[Фикс 23.12.24]]+Д402[[#This Row],[Повышение 20.02.25]]</f>
        <v>119896.5</v>
      </c>
      <c r="AC241" s="149">
        <v>17.5</v>
      </c>
      <c r="AD241" s="10">
        <f>Д402[[#This Row],[Фикс 20.02.25]]+Д402[[#This Row],[Повышение 24.02.2025]]</f>
        <v>119914</v>
      </c>
      <c r="AE241" s="149">
        <f>Д402[[#This Row],[Фикс 24.02.25]]*0.5%</f>
        <v>599.57000000000005</v>
      </c>
      <c r="AF241" s="10">
        <f>Д402[[#This Row],[Фикс 24.02.25]]+Д402[[#This Row],[Повышение 05.03.2025
1К: до 40м - 1,5%, 40+ 0,5%
2К - 0,5% ]]</f>
        <v>120513.57</v>
      </c>
      <c r="AG241" s="10"/>
      <c r="AH241" s="10">
        <f>Д402[[#This Row],[Фикс 05.03.25]]+Д402[[#This Row],[повышение 14.03.25 1К-1%]]</f>
        <v>120513.57</v>
      </c>
      <c r="AI241" s="10"/>
      <c r="AJ241" s="10">
        <f>Д402[[#This Row],[Фикс 14.03.25]]+Д402[[#This Row],[повышение 28.03.25 1К-1%]]</f>
        <v>120513.57</v>
      </c>
      <c r="AK241" s="10">
        <f>Д402[[#This Row],[Фикс 28.03.25]]*3%</f>
        <v>3615.4070999999999</v>
      </c>
      <c r="AL241" s="10">
        <f>Д402[[#This Row],[Фикс 28.03.25]]+Д402[[#This Row],[Повышение 23.07.25
1К 43-46м2 - 2%
2К 55-58 - 2%; 58-64 - 3%
3К 76-79 - 2%
]]</f>
        <v>124128.9771</v>
      </c>
      <c r="AM241" s="149">
        <f>ROUND(Д402[[#This Row],[Фикс 23.07.25]],2)</f>
        <v>124128.98</v>
      </c>
      <c r="AN241" s="149">
        <f>ROUNDUP(Д402[[#This Row],[утв цена м2]]*Д402[[#This Row],[Расчетная проектная площадь]],-2)</f>
        <v>7344800</v>
      </c>
      <c r="AO241" s="151"/>
      <c r="AP241" s="152"/>
      <c r="AQ241" s="151">
        <f>Д402[[#This Row],[Стоимость до скидки]]*Д402[[#This Row],[Скидка %]]+Д402[[#This Row],[Скидка фиксированная]]</f>
        <v>0</v>
      </c>
      <c r="AR241" s="3">
        <f>Д402[[#This Row],[Стоимость ОН без отделки со скидкой]]/Д402[[#This Row],[Расчетная проектная площадь]]</f>
        <v>124130.47152273111</v>
      </c>
      <c r="AS241" s="3">
        <f>Д402[[#This Row],[Стоимость до скидки]]-Д402[[#This Row],[Итоговая сумма скидки]]</f>
        <v>7344800</v>
      </c>
      <c r="AT24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41" s="153">
        <v>30000</v>
      </c>
      <c r="AV241" s="153" t="s">
        <v>722</v>
      </c>
      <c r="AW241" s="3">
        <f>Д402[[#This Row],[Цена м2 без отделки со скидкой]]+Д402[[#This Row],[Стоимость отделки]]</f>
        <v>154130.47152273112</v>
      </c>
      <c r="AX241" s="3">
        <f>Д402[[#This Row],[Стоимость квартиры с отделкой]]-Д402[[#This Row],[Стоимость ОН без отделки со скидкой]]</f>
        <v>1775100</v>
      </c>
      <c r="AY241" s="3">
        <f>Д402[[#This Row],[Цена м2 с отделкой]]*Д402[[#This Row],[Расчетная проектная площадь]]</f>
        <v>9119900</v>
      </c>
      <c r="AZ241" s="161"/>
      <c r="BA241" s="269" t="s">
        <v>128</v>
      </c>
      <c r="BB241" s="156" t="str" cm="1">
        <f t="array" ref="BB24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41" s="161" t="s">
        <v>740</v>
      </c>
      <c r="BD241" s="161" t="s">
        <v>506</v>
      </c>
      <c r="BE241" s="161" t="s">
        <v>737</v>
      </c>
      <c r="BF241" s="161" t="s">
        <v>747</v>
      </c>
      <c r="BG241" s="161" t="b">
        <f>EXACT(Д402[[#This Row],[Статусы CRM]],Д402[[#This Row],[Статус]])</f>
        <v>1</v>
      </c>
      <c r="BH241" s="3">
        <f>IF(Д402[[#This Row],[ПС]]=0,IF(Д402[[#This Row],[ДС]]=0,Д402[[#This Row],[ТС]],Д402[[#This Row],[ДС]]),Д402[[#This Row],[ПС]])</f>
        <v>7344800</v>
      </c>
      <c r="BI241" s="3">
        <v>7344800</v>
      </c>
      <c r="BJ241" s="3">
        <v>0</v>
      </c>
      <c r="BK241" s="3">
        <v>0</v>
      </c>
      <c r="BL241" s="273">
        <f>Д402[[#This Row],[Стоимость CRM]]-Д402[[#This Row],[Стоимость до скидки]]</f>
        <v>0</v>
      </c>
      <c r="BM241" s="161" t="s">
        <v>11</v>
      </c>
      <c r="BN241" s="161" t="b">
        <f>Д402[[#This Row],[Отделка CRM]]=Д402[[#This Row],[Отделка]]</f>
        <v>1</v>
      </c>
      <c r="BO241" s="275" t="s">
        <v>373</v>
      </c>
      <c r="BP241" s="69"/>
    </row>
    <row r="242" spans="1:68" ht="12" customHeight="1" x14ac:dyDescent="0.25">
      <c r="A242" s="140">
        <v>240</v>
      </c>
      <c r="B242" s="175">
        <v>3</v>
      </c>
      <c r="C242" s="141">
        <f t="shared" si="8"/>
        <v>11</v>
      </c>
      <c r="D242" s="142">
        <v>6</v>
      </c>
      <c r="E242" s="141">
        <v>0</v>
      </c>
      <c r="F242" s="143">
        <v>16.25</v>
      </c>
      <c r="G242" s="143"/>
      <c r="H242" s="143"/>
      <c r="I242" s="144">
        <f>SUM(Д402[[#This Row],[Комната 1]:[Комната 3]])</f>
        <v>16.25</v>
      </c>
      <c r="J242" s="145">
        <v>5</v>
      </c>
      <c r="K242" s="145">
        <v>4.2</v>
      </c>
      <c r="L242" s="145"/>
      <c r="M242" s="145">
        <v>4.21</v>
      </c>
      <c r="N242" s="145"/>
      <c r="O242" s="145"/>
      <c r="P242" s="146"/>
      <c r="Q242" s="146"/>
      <c r="R242" s="146">
        <f>SUM(Д402[[#This Row],[Лоджия 1]:[Лоджия 3]])</f>
        <v>0</v>
      </c>
      <c r="S242" s="10">
        <f>ROUND(SUM(Д402[[#This Row],[Площадь по проекту жилая]:[Лоджия 3]]),2)</f>
        <v>29.66</v>
      </c>
      <c r="T242" s="10">
        <f>ROUND(Д402[[#This Row],[Площадь по проекту(общая)]]-Д402[[#This Row],[Летние]],2)</f>
        <v>29.66</v>
      </c>
      <c r="U242" s="10">
        <f>ROUND(Д402[[#This Row],[Площадь по проекту(общая)]]-(SUM(Д402[[#This Row],[Лоджия 1]:[Лоджия 3]])/2),2)</f>
        <v>29.66</v>
      </c>
      <c r="V242" s="10">
        <f>VLOOKUP(Д402[[#This Row],[№]],наценка7[],COLUMN(наценка7[[#This Row],[Цена м2 с учетом всех K]]),0)</f>
        <v>139730</v>
      </c>
      <c r="W242" s="162"/>
      <c r="X242" s="10">
        <f>Д402[[#This Row],[м2 после К]]+Д402[[#This Row],[02.12.2024]]</f>
        <v>139730</v>
      </c>
      <c r="Y242" s="149">
        <v>1000</v>
      </c>
      <c r="Z242" s="10">
        <f>Д402[[#This Row],[Фикс 20.12.24]]+Д402[[#This Row],[23.12.24 СП +1000]]</f>
        <v>140730</v>
      </c>
      <c r="AA242" s="149">
        <v>215</v>
      </c>
      <c r="AB242" s="10">
        <f>Д402[[#This Row],[Фикс 23.12.24]]+Д402[[#This Row],[Повышение 20.02.25]]</f>
        <v>140945</v>
      </c>
      <c r="AC242" s="149">
        <v>17.5</v>
      </c>
      <c r="AD242" s="10">
        <f>Д402[[#This Row],[Фикс 20.02.25]]+Д402[[#This Row],[Повышение 24.02.2025]]</f>
        <v>140962.5</v>
      </c>
      <c r="AE242" s="10"/>
      <c r="AF242" s="10">
        <f>Д402[[#This Row],[Фикс 24.02.25]]+Д402[[#This Row],[Повышение 05.03.2025
1К: до 40м - 1,5%, 40+ 0,5%
2К - 0,5% ]]</f>
        <v>140962.5</v>
      </c>
      <c r="AG242" s="10"/>
      <c r="AH242" s="10">
        <f>Д402[[#This Row],[Фикс 05.03.25]]+Д402[[#This Row],[повышение 14.03.25 1К-1%]]</f>
        <v>140962.5</v>
      </c>
      <c r="AI242" s="10"/>
      <c r="AJ242" s="10">
        <f>Д402[[#This Row],[Фикс 14.03.25]]+Д402[[#This Row],[повышение 28.03.25 1К-1%]]</f>
        <v>140962.5</v>
      </c>
      <c r="AK242" s="10"/>
      <c r="AL242" s="10">
        <f>Д402[[#This Row],[Фикс 28.03.25]]+Д402[[#This Row],[Повышение 23.07.25
1К 43-46м2 - 2%
2К 55-58 - 2%; 58-64 - 3%
3К 76-79 - 2%
]]</f>
        <v>140962.5</v>
      </c>
      <c r="AM242" s="149">
        <f>ROUND(Д402[[#This Row],[Фикс 23.07.25]],2)</f>
        <v>140962.5</v>
      </c>
      <c r="AN242" s="149">
        <f>ROUNDUP(Д402[[#This Row],[утв цена м2]]*Д402[[#This Row],[Расчетная проектная площадь]],-2)</f>
        <v>4181000</v>
      </c>
      <c r="AO242" s="151"/>
      <c r="AP242" s="152"/>
      <c r="AQ242" s="151">
        <f>Д402[[#This Row],[Стоимость до скидки]]*Д402[[#This Row],[Скидка %]]+Д402[[#This Row],[Скидка фиксированная]]</f>
        <v>0</v>
      </c>
      <c r="AR242" s="3">
        <f>Д402[[#This Row],[Стоимость ОН без отделки со скидкой]]/Д402[[#This Row],[Расчетная проектная площадь]]</f>
        <v>140964.26163182736</v>
      </c>
      <c r="AS242" s="3">
        <f>Д402[[#This Row],[Стоимость до скидки]]-Д402[[#This Row],[Итоговая сумма скидки]]</f>
        <v>4181000</v>
      </c>
      <c r="AT24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2" s="153"/>
      <c r="AV242" s="153"/>
      <c r="AW242" s="3">
        <f>Д402[[#This Row],[Цена м2 без отделки со скидкой]]+Д402[[#This Row],[Стоимость отделки]]</f>
        <v>140964.26163182736</v>
      </c>
      <c r="AX242" s="3">
        <f>Д402[[#This Row],[Стоимость квартиры с отделкой]]-Д402[[#This Row],[Стоимость ОН без отделки со скидкой]]</f>
        <v>0</v>
      </c>
      <c r="AY242" s="3">
        <f>Д402[[#This Row],[Цена м2 с отделкой]]*Д402[[#This Row],[Расчетная проектная площадь]]</f>
        <v>4180999.9999999995</v>
      </c>
      <c r="AZ242" s="161"/>
      <c r="BA242" s="155" t="s">
        <v>12</v>
      </c>
      <c r="BB242" s="156" t="str" cm="1">
        <f t="array" ref="BB24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2" s="161" t="s">
        <v>738</v>
      </c>
      <c r="BD242" s="161" t="s">
        <v>739</v>
      </c>
      <c r="BE242" s="161" t="s">
        <v>737</v>
      </c>
      <c r="BF242" s="161" t="s">
        <v>743</v>
      </c>
      <c r="BG242" s="161" t="b">
        <f>EXACT(Д402[[#This Row],[Статусы CRM]],Д402[[#This Row],[Статус]])</f>
        <v>1</v>
      </c>
      <c r="BH242" s="3">
        <f>IF(Д402[[#This Row],[ПС]]=0,IF(Д402[[#This Row],[ДС]]=0,Д402[[#This Row],[ТС]],Д402[[#This Row],[ДС]]),Д402[[#This Row],[ПС]])</f>
        <v>4181000</v>
      </c>
      <c r="BI242" s="3">
        <v>4181000</v>
      </c>
      <c r="BJ242" s="3">
        <v>0</v>
      </c>
      <c r="BK242" s="3">
        <v>0</v>
      </c>
      <c r="BL242" s="273">
        <f>Д402[[#This Row],[Стоимость CRM]]-Д402[[#This Row],[Стоимость до скидки]]</f>
        <v>0</v>
      </c>
      <c r="BM242" s="161" t="s">
        <v>9</v>
      </c>
      <c r="BN242" s="161" t="b">
        <f>Д402[[#This Row],[Отделка CRM]]=Д402[[#This Row],[Отделка]]</f>
        <v>1</v>
      </c>
      <c r="BO242" s="275" t="s">
        <v>374</v>
      </c>
      <c r="BP242" s="69"/>
    </row>
    <row r="243" spans="1:68" ht="12" customHeight="1" x14ac:dyDescent="0.25">
      <c r="A243" s="140">
        <v>241</v>
      </c>
      <c r="B243" s="175">
        <v>3</v>
      </c>
      <c r="C243" s="141">
        <f t="shared" si="8"/>
        <v>12</v>
      </c>
      <c r="D243" s="142">
        <v>1</v>
      </c>
      <c r="E243" s="141">
        <v>1</v>
      </c>
      <c r="F243" s="143">
        <v>14.42</v>
      </c>
      <c r="G243" s="143"/>
      <c r="H243" s="143"/>
      <c r="I243" s="144">
        <f>SUM(Д402[[#This Row],[Комната 1]:[Комната 3]])</f>
        <v>14.42</v>
      </c>
      <c r="J243" s="145">
        <v>16.11</v>
      </c>
      <c r="K243" s="145">
        <v>4.09</v>
      </c>
      <c r="L243" s="145"/>
      <c r="M243" s="145">
        <v>8.0299999999999994</v>
      </c>
      <c r="N243" s="145"/>
      <c r="O243" s="145">
        <v>3.01</v>
      </c>
      <c r="P243" s="146"/>
      <c r="Q243" s="146"/>
      <c r="R243" s="146">
        <f>SUM(Д402[[#This Row],[Лоджия 1]:[Лоджия 3]])</f>
        <v>3.01</v>
      </c>
      <c r="S243" s="10">
        <f>ROUND(SUM(Д402[[#This Row],[Площадь по проекту жилая]:[Лоджия 3]]),2)</f>
        <v>45.66</v>
      </c>
      <c r="T243" s="10">
        <f>ROUND(Д402[[#This Row],[Площадь по проекту(общая)]]-Д402[[#This Row],[Летние]],2)</f>
        <v>42.65</v>
      </c>
      <c r="U243" s="10">
        <f>ROUND(Д402[[#This Row],[Площадь по проекту(общая)]]-(SUM(Д402[[#This Row],[Лоджия 1]:[Лоджия 3]])/2),2)</f>
        <v>44.16</v>
      </c>
      <c r="V243" s="10">
        <f>VLOOKUP(Д402[[#This Row],[№]],наценка7[],COLUMN(наценка7[[#This Row],[Цена м2 с учетом всех K]]),0)</f>
        <v>122837.8</v>
      </c>
      <c r="W243" s="159">
        <f>2%*Д402[[#This Row],[м2 после К]]</f>
        <v>2456.7560000000003</v>
      </c>
      <c r="X243" s="10">
        <f>Д402[[#This Row],[м2 после К]]+Д402[[#This Row],[02.12.2024]]</f>
        <v>125294.556</v>
      </c>
      <c r="Y243" s="149">
        <v>1000</v>
      </c>
      <c r="Z243" s="10">
        <f>Д402[[#This Row],[Фикс 20.12.24]]+Д402[[#This Row],[23.12.24 СП +1000]]</f>
        <v>126294.556</v>
      </c>
      <c r="AA243" s="149">
        <v>215</v>
      </c>
      <c r="AB243" s="10">
        <f>Д402[[#This Row],[Фикс 23.12.24]]+Д402[[#This Row],[Повышение 20.02.25]]</f>
        <v>126509.556</v>
      </c>
      <c r="AC243" s="149">
        <v>17.5</v>
      </c>
      <c r="AD243" s="10">
        <f>Д402[[#This Row],[Фикс 20.02.25]]+Д402[[#This Row],[Повышение 24.02.2025]]</f>
        <v>126527.056</v>
      </c>
      <c r="AE243" s="149">
        <f>Д402[[#This Row],[Фикс 24.02.25]]*0.5%</f>
        <v>632.63527999999997</v>
      </c>
      <c r="AF243" s="10">
        <f>Д402[[#This Row],[Фикс 24.02.25]]+Д402[[#This Row],[Повышение 05.03.2025
1К: до 40м - 1,5%, 40+ 0,5%
2К - 0,5% ]]</f>
        <v>127159.69128</v>
      </c>
      <c r="AG243" s="149">
        <f>Д402[[#This Row],[Фикс 05.03.25]]*1%</f>
        <v>1271.5969127999999</v>
      </c>
      <c r="AH243" s="10">
        <f>Д402[[#This Row],[Фикс 05.03.25]]+Д402[[#This Row],[повышение 14.03.25 1К-1%]]</f>
        <v>128431.2881928</v>
      </c>
      <c r="AI243" s="149">
        <f>Д402[[#This Row],[Фикс 14.03.25]]*1%</f>
        <v>1284.312881928</v>
      </c>
      <c r="AJ243" s="10">
        <f>Д402[[#This Row],[Фикс 14.03.25]]+Д402[[#This Row],[повышение 28.03.25 1К-1%]]</f>
        <v>129715.60107472799</v>
      </c>
      <c r="AK243" s="149">
        <f>Д402[[#This Row],[Фикс 28.03.25]]*2%</f>
        <v>2594.3120214945598</v>
      </c>
      <c r="AL243" s="10">
        <f>Д402[[#This Row],[Фикс 28.03.25]]+Д402[[#This Row],[Повышение 23.07.25
1К 43-46м2 - 2%
2К 55-58 - 2%; 58-64 - 3%
3К 76-79 - 2%
]]</f>
        <v>132309.91309622256</v>
      </c>
      <c r="AM243" s="149">
        <f>ROUND(Д402[[#This Row],[Фикс 23.07.25]],2)</f>
        <v>132309.91</v>
      </c>
      <c r="AN243" s="149">
        <f>ROUNDUP(Д402[[#This Row],[утв цена м2]]*Д402[[#This Row],[Расчетная проектная площадь]],-2)</f>
        <v>5842900</v>
      </c>
      <c r="AO243" s="151"/>
      <c r="AP243" s="152"/>
      <c r="AQ243" s="151">
        <f>Д402[[#This Row],[Стоимость до скидки]]*Д402[[#This Row],[Скидка %]]+Д402[[#This Row],[Скидка фиксированная]]</f>
        <v>0</v>
      </c>
      <c r="AR243" s="3">
        <f>Д402[[#This Row],[Стоимость ОН без отделки со скидкой]]/Д402[[#This Row],[Расчетная проектная площадь]]</f>
        <v>132312.04710144928</v>
      </c>
      <c r="AS243" s="3">
        <f>Д402[[#This Row],[Стоимость до скидки]]-Д402[[#This Row],[Итоговая сумма скидки]]</f>
        <v>5842900</v>
      </c>
      <c r="AT24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43" s="153">
        <v>30000</v>
      </c>
      <c r="AV243" s="153" t="s">
        <v>722</v>
      </c>
      <c r="AW243" s="3">
        <f>Д402[[#This Row],[Цена м2 без отделки со скидкой]]+Д402[[#This Row],[Стоимость отделки]]</f>
        <v>162312.04710144928</v>
      </c>
      <c r="AX243" s="3">
        <f>Д402[[#This Row],[Стоимость квартиры с отделкой]]-Д402[[#This Row],[Стоимость ОН без отделки со скидкой]]</f>
        <v>1324800</v>
      </c>
      <c r="AY243" s="3">
        <f>Д402[[#This Row],[Цена м2 с отделкой]]*Д402[[#This Row],[Расчетная проектная площадь]]</f>
        <v>7167700</v>
      </c>
      <c r="AZ243" s="161"/>
      <c r="BA243" s="269" t="s">
        <v>12</v>
      </c>
      <c r="BB243" s="269" t="str" cm="1">
        <f t="array" ref="BB24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3" s="161" t="s">
        <v>738</v>
      </c>
      <c r="BD243" s="161" t="s">
        <v>739</v>
      </c>
      <c r="BE243" s="161" t="s">
        <v>737</v>
      </c>
      <c r="BF243" s="161" t="s">
        <v>745</v>
      </c>
      <c r="BG243" s="161" t="b">
        <f>EXACT(Д402[[#This Row],[Статусы CRM]],Д402[[#This Row],[Статус]])</f>
        <v>1</v>
      </c>
      <c r="BH243" s="3">
        <f>IF(Д402[[#This Row],[ПС]]=0,IF(Д402[[#This Row],[ДС]]=0,Д402[[#This Row],[ТС]],Д402[[#This Row],[ДС]]),Д402[[#This Row],[ПС]])</f>
        <v>5842900</v>
      </c>
      <c r="BI243" s="3">
        <v>5842900</v>
      </c>
      <c r="BJ243" s="3">
        <v>0</v>
      </c>
      <c r="BK243" s="3">
        <v>0</v>
      </c>
      <c r="BL243" s="273">
        <f>Д402[[#This Row],[Стоимость CRM]]-Д402[[#This Row],[Стоимость до скидки]]</f>
        <v>0</v>
      </c>
      <c r="BM243" s="161" t="s">
        <v>11</v>
      </c>
      <c r="BN243" s="161" t="b">
        <f>Д402[[#This Row],[Отделка CRM]]=Д402[[#This Row],[Отделка]]</f>
        <v>1</v>
      </c>
      <c r="BO243" s="275" t="s">
        <v>375</v>
      </c>
      <c r="BP243" s="69"/>
    </row>
    <row r="244" spans="1:68" ht="12" customHeight="1" x14ac:dyDescent="0.25">
      <c r="A244" s="140">
        <v>242</v>
      </c>
      <c r="B244" s="175">
        <v>3</v>
      </c>
      <c r="C244" s="141">
        <f t="shared" si="8"/>
        <v>12</v>
      </c>
      <c r="D244" s="142">
        <v>2</v>
      </c>
      <c r="E244" s="141">
        <v>1</v>
      </c>
      <c r="F244" s="143">
        <v>12.76</v>
      </c>
      <c r="G244" s="143"/>
      <c r="H244" s="143"/>
      <c r="I244" s="144">
        <f>SUM(Д402[[#This Row],[Комната 1]:[Комната 3]])</f>
        <v>12.76</v>
      </c>
      <c r="J244" s="145">
        <v>15.01</v>
      </c>
      <c r="K244" s="145">
        <v>4.22</v>
      </c>
      <c r="L244" s="145"/>
      <c r="M244" s="145">
        <v>3.09</v>
      </c>
      <c r="N244" s="145"/>
      <c r="O244" s="145">
        <v>2.93</v>
      </c>
      <c r="P244" s="146"/>
      <c r="Q244" s="146"/>
      <c r="R244" s="146">
        <f>SUM(Д402[[#This Row],[Лоджия 1]:[Лоджия 3]])</f>
        <v>2.93</v>
      </c>
      <c r="S244" s="10">
        <f>ROUND(SUM(Д402[[#This Row],[Площадь по проекту жилая]:[Лоджия 3]]),2)</f>
        <v>38.01</v>
      </c>
      <c r="T244" s="10">
        <f>ROUND(Д402[[#This Row],[Площадь по проекту(общая)]]-Д402[[#This Row],[Летние]],2)</f>
        <v>35.08</v>
      </c>
      <c r="U244" s="10">
        <f>ROUND(Д402[[#This Row],[Площадь по проекту(общая)]]-(SUM(Д402[[#This Row],[Лоджия 1]:[Лоджия 3]])/2),2)</f>
        <v>36.549999999999997</v>
      </c>
      <c r="V244" s="10">
        <f>VLOOKUP(Д402[[#This Row],[№]],наценка7[],COLUMN(наценка7[[#This Row],[Цена м2 с учетом всех K]]),0)</f>
        <v>126415.6</v>
      </c>
      <c r="W244" s="159">
        <f>2%*Д402[[#This Row],[м2 после К]]</f>
        <v>2528.3120000000004</v>
      </c>
      <c r="X244" s="10">
        <f>Д402[[#This Row],[м2 после К]]+Д402[[#This Row],[02.12.2024]]</f>
        <v>128943.91200000001</v>
      </c>
      <c r="Y244" s="149">
        <v>1000</v>
      </c>
      <c r="Z244" s="10">
        <f>Д402[[#This Row],[Фикс 20.12.24]]+Д402[[#This Row],[23.12.24 СП +1000]]</f>
        <v>129943.91200000001</v>
      </c>
      <c r="AA244" s="10"/>
      <c r="AB244" s="10">
        <f>Д402[[#This Row],[Фикс 23.12.24]]+Д402[[#This Row],[Повышение 20.02.25]]</f>
        <v>129943.91200000001</v>
      </c>
      <c r="AC244" s="10"/>
      <c r="AD244" s="10">
        <f>Д402[[#This Row],[Фикс 20.02.25]]+Д402[[#This Row],[Повышение 24.02.2025]]</f>
        <v>129943.91200000001</v>
      </c>
      <c r="AE244" s="10"/>
      <c r="AF244" s="10">
        <f>Д402[[#This Row],[Фикс 24.02.25]]+Д402[[#This Row],[Повышение 05.03.2025
1К: до 40м - 1,5%, 40+ 0,5%
2К - 0,5% ]]</f>
        <v>129943.91200000001</v>
      </c>
      <c r="AG244" s="10"/>
      <c r="AH244" s="10">
        <f>Д402[[#This Row],[Фикс 05.03.25]]+Д402[[#This Row],[повышение 14.03.25 1К-1%]]</f>
        <v>129943.91200000001</v>
      </c>
      <c r="AI244" s="10"/>
      <c r="AJ244" s="10">
        <f>Д402[[#This Row],[Фикс 14.03.25]]+Д402[[#This Row],[повышение 28.03.25 1К-1%]]</f>
        <v>129943.91200000001</v>
      </c>
      <c r="AK244" s="10"/>
      <c r="AL244" s="10">
        <f>Д402[[#This Row],[Фикс 28.03.25]]+Д402[[#This Row],[Повышение 23.07.25
1К 43-46м2 - 2%
2К 55-58 - 2%; 58-64 - 3%
3К 76-79 - 2%
]]</f>
        <v>129943.91200000001</v>
      </c>
      <c r="AM244" s="149">
        <f>ROUND(Д402[[#This Row],[Фикс 23.07.25]],2)</f>
        <v>129943.91</v>
      </c>
      <c r="AN244" s="149">
        <f>ROUNDUP(Д402[[#This Row],[утв цена м2]]*Д402[[#This Row],[Расчетная проектная площадь]],-2)</f>
        <v>4749500</v>
      </c>
      <c r="AO244" s="151"/>
      <c r="AP244" s="152"/>
      <c r="AQ244" s="151">
        <f>Д402[[#This Row],[Стоимость до скидки]]*Д402[[#This Row],[Скидка %]]+Д402[[#This Row],[Скидка фиксированная]]</f>
        <v>0</v>
      </c>
      <c r="AR244" s="3">
        <f>Д402[[#This Row],[Стоимость ОН без отделки со скидкой]]/Д402[[#This Row],[Расчетная проектная площадь]]</f>
        <v>129945.2804377565</v>
      </c>
      <c r="AS244" s="3">
        <f>Д402[[#This Row],[Стоимость до скидки]]-Д402[[#This Row],[Итоговая сумма скидки]]</f>
        <v>4749500</v>
      </c>
      <c r="AT24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4" s="153"/>
      <c r="AV244" s="153"/>
      <c r="AW244" s="3">
        <f>Д402[[#This Row],[Цена м2 без отделки со скидкой]]+Д402[[#This Row],[Стоимость отделки]]</f>
        <v>129945.2804377565</v>
      </c>
      <c r="AX244" s="3">
        <f>Д402[[#This Row],[Стоимость квартиры с отделкой]]-Д402[[#This Row],[Стоимость ОН без отделки со скидкой]]</f>
        <v>0</v>
      </c>
      <c r="AY244" s="3">
        <f>Д402[[#This Row],[Цена м2 с отделкой]]*Д402[[#This Row],[Расчетная проектная площадь]]</f>
        <v>4749500</v>
      </c>
      <c r="AZ244" s="161"/>
      <c r="BA244" s="269" t="s">
        <v>426</v>
      </c>
      <c r="BB244" s="269" t="str" cm="1">
        <f t="array" ref="BB24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44" s="161" t="s">
        <v>741</v>
      </c>
      <c r="BD244" s="161" t="s">
        <v>506</v>
      </c>
      <c r="BE244" s="161" t="s">
        <v>737</v>
      </c>
      <c r="BF244" s="161" t="s">
        <v>745</v>
      </c>
      <c r="BG244" s="161" t="b">
        <f>EXACT(Д402[[#This Row],[Статусы CRM]],Д402[[#This Row],[Статус]])</f>
        <v>1</v>
      </c>
      <c r="BH244" s="3">
        <f>IF(Д402[[#This Row],[ПС]]=0,IF(Д402[[#This Row],[ДС]]=0,Д402[[#This Row],[ТС]],Д402[[#This Row],[ДС]]),Д402[[#This Row],[ПС]])</f>
        <v>4749500</v>
      </c>
      <c r="BI244" s="3" t="s">
        <v>749</v>
      </c>
      <c r="BJ244" s="3">
        <v>0</v>
      </c>
      <c r="BK244" s="3">
        <v>4749500</v>
      </c>
      <c r="BL244" s="273">
        <f>Д402[[#This Row],[Стоимость CRM]]-Д402[[#This Row],[Стоимость до скидки]]</f>
        <v>0</v>
      </c>
      <c r="BM244" s="161" t="s">
        <v>9</v>
      </c>
      <c r="BN244" s="161" t="b">
        <f>Д402[[#This Row],[Отделка CRM]]=Д402[[#This Row],[Отделка]]</f>
        <v>1</v>
      </c>
      <c r="BO244" s="275" t="s">
        <v>376</v>
      </c>
      <c r="BP244" s="69"/>
    </row>
    <row r="245" spans="1:68" ht="12" customHeight="1" x14ac:dyDescent="0.25">
      <c r="A245" s="140">
        <v>243</v>
      </c>
      <c r="B245" s="175">
        <v>3</v>
      </c>
      <c r="C245" s="141">
        <f t="shared" si="8"/>
        <v>12</v>
      </c>
      <c r="D245" s="142">
        <v>3</v>
      </c>
      <c r="E245" s="141">
        <v>2</v>
      </c>
      <c r="F245" s="143">
        <v>15.36</v>
      </c>
      <c r="G245" s="143">
        <v>11.95</v>
      </c>
      <c r="H245" s="143"/>
      <c r="I245" s="144">
        <f>SUM(Д402[[#This Row],[Комната 1]:[Комната 3]])</f>
        <v>27.31</v>
      </c>
      <c r="J245" s="145">
        <v>14.61</v>
      </c>
      <c r="K245" s="145">
        <v>4.21</v>
      </c>
      <c r="L245" s="145"/>
      <c r="M245" s="145">
        <v>6.6</v>
      </c>
      <c r="N245" s="145"/>
      <c r="O245" s="145">
        <v>3.23</v>
      </c>
      <c r="P245" s="146"/>
      <c r="Q245" s="146"/>
      <c r="R245" s="146">
        <f>SUM(Д402[[#This Row],[Лоджия 1]:[Лоджия 3]])</f>
        <v>3.23</v>
      </c>
      <c r="S245" s="10">
        <f>ROUND(SUM(Д402[[#This Row],[Площадь по проекту жилая]:[Лоджия 3]]),2)</f>
        <v>55.96</v>
      </c>
      <c r="T245" s="10">
        <f>ROUND(Д402[[#This Row],[Площадь по проекту(общая)]]-Д402[[#This Row],[Летние]],2)</f>
        <v>52.73</v>
      </c>
      <c r="U245" s="10">
        <f>ROUND(Д402[[#This Row],[Площадь по проекту(общая)]]-(SUM(Д402[[#This Row],[Лоджия 1]:[Лоджия 3]])/2),2)</f>
        <v>54.35</v>
      </c>
      <c r="V245" s="10">
        <f>VLOOKUP(Д402[[#This Row],[№]],наценка7[],COLUMN(наценка7[[#This Row],[Цена м2 с учетом всех K]]),0)</f>
        <v>119811.8</v>
      </c>
      <c r="W245" s="162">
        <f>0.021*Д402[[#This Row],[м2 после К]]</f>
        <v>2516.0478000000003</v>
      </c>
      <c r="X245" s="10">
        <f>Д402[[#This Row],[м2 после К]]+Д402[[#This Row],[02.12.2024]]</f>
        <v>122327.8478</v>
      </c>
      <c r="Y245" s="149">
        <v>1000</v>
      </c>
      <c r="Z245" s="10">
        <f>Д402[[#This Row],[Фикс 20.12.24]]+Д402[[#This Row],[23.12.24 СП +1000]]</f>
        <v>123327.8478</v>
      </c>
      <c r="AA245" s="149">
        <v>215</v>
      </c>
      <c r="AB245" s="10">
        <f>Д402[[#This Row],[Фикс 23.12.24]]+Д402[[#This Row],[Повышение 20.02.25]]</f>
        <v>123542.8478</v>
      </c>
      <c r="AC245" s="149">
        <v>17.5</v>
      </c>
      <c r="AD245" s="10">
        <f>Д402[[#This Row],[Фикс 20.02.25]]+Д402[[#This Row],[Повышение 24.02.2025]]</f>
        <v>123560.3478</v>
      </c>
      <c r="AE245" s="149">
        <f>Д402[[#This Row],[Фикс 24.02.25]]*0.5%</f>
        <v>617.801739</v>
      </c>
      <c r="AF245" s="10">
        <f>Д402[[#This Row],[Фикс 24.02.25]]+Д402[[#This Row],[Повышение 05.03.2025
1К: до 40м - 1,5%, 40+ 0,5%
2К - 0,5% ]]</f>
        <v>124178.14953900001</v>
      </c>
      <c r="AG245" s="10"/>
      <c r="AH245" s="10">
        <f>Д402[[#This Row],[Фикс 05.03.25]]+Д402[[#This Row],[повышение 14.03.25 1К-1%]]</f>
        <v>124178.14953900001</v>
      </c>
      <c r="AI245" s="10"/>
      <c r="AJ245" s="10">
        <f>Д402[[#This Row],[Фикс 14.03.25]]+Д402[[#This Row],[повышение 28.03.25 1К-1%]]</f>
        <v>124178.14953900001</v>
      </c>
      <c r="AK245" s="10"/>
      <c r="AL245" s="10">
        <f>Д402[[#This Row],[Фикс 28.03.25]]+Д402[[#This Row],[Повышение 23.07.25
1К 43-46м2 - 2%
2К 55-58 - 2%; 58-64 - 3%
3К 76-79 - 2%
]]</f>
        <v>124178.14953900001</v>
      </c>
      <c r="AM245" s="149">
        <f>ROUND(Д402[[#This Row],[Фикс 23.07.25]],2)</f>
        <v>124178.15</v>
      </c>
      <c r="AN245" s="149">
        <f>ROUNDUP(Д402[[#This Row],[утв цена м2]]*Д402[[#This Row],[Расчетная проектная площадь]],-2)</f>
        <v>6749100</v>
      </c>
      <c r="AO245" s="151"/>
      <c r="AP245" s="152"/>
      <c r="AQ245" s="151">
        <f>Д402[[#This Row],[Стоимость до скидки]]*Д402[[#This Row],[Скидка %]]+Д402[[#This Row],[Скидка фиксированная]]</f>
        <v>0</v>
      </c>
      <c r="AR245" s="3">
        <f>Д402[[#This Row],[Стоимость ОН без отделки со скидкой]]/Д402[[#This Row],[Расчетная проектная площадь]]</f>
        <v>124178.47286108555</v>
      </c>
      <c r="AS245" s="3">
        <f>Д402[[#This Row],[Стоимость до скидки]]-Д402[[#This Row],[Итоговая сумма скидки]]</f>
        <v>6749100</v>
      </c>
      <c r="AT24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5" s="153"/>
      <c r="AV245" s="153"/>
      <c r="AW245" s="3">
        <f>Д402[[#This Row],[Цена м2 без отделки со скидкой]]+Д402[[#This Row],[Стоимость отделки]]</f>
        <v>124178.47286108555</v>
      </c>
      <c r="AX245" s="3">
        <f>Д402[[#This Row],[Стоимость квартиры с отделкой]]-Д402[[#This Row],[Стоимость ОН без отделки со скидкой]]</f>
        <v>0</v>
      </c>
      <c r="AY245" s="3">
        <f>Д402[[#This Row],[Цена м2 с отделкой]]*Д402[[#This Row],[Расчетная проектная площадь]]</f>
        <v>6749100</v>
      </c>
      <c r="AZ245" s="161"/>
      <c r="BA245" s="269" t="s">
        <v>12</v>
      </c>
      <c r="BB245" s="269" t="str" cm="1">
        <f t="array" ref="BB24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5" s="161" t="s">
        <v>738</v>
      </c>
      <c r="BD245" s="161" t="s">
        <v>739</v>
      </c>
      <c r="BE245" s="161" t="s">
        <v>737</v>
      </c>
      <c r="BF245" s="161" t="s">
        <v>744</v>
      </c>
      <c r="BG245" s="161" t="b">
        <f>EXACT(Д402[[#This Row],[Статусы CRM]],Д402[[#This Row],[Статус]])</f>
        <v>1</v>
      </c>
      <c r="BH245" s="3">
        <f>IF(Д402[[#This Row],[ПС]]=0,IF(Д402[[#This Row],[ДС]]=0,Д402[[#This Row],[ТС]],Д402[[#This Row],[ДС]]),Д402[[#This Row],[ПС]])</f>
        <v>6749100</v>
      </c>
      <c r="BI245" s="3">
        <v>6749100</v>
      </c>
      <c r="BJ245" s="3">
        <v>0</v>
      </c>
      <c r="BK245" s="3">
        <v>0</v>
      </c>
      <c r="BL245" s="273">
        <f>Д402[[#This Row],[Стоимость CRM]]-Д402[[#This Row],[Стоимость до скидки]]</f>
        <v>0</v>
      </c>
      <c r="BM245" s="161" t="s">
        <v>9</v>
      </c>
      <c r="BN245" s="161" t="b">
        <f>Д402[[#This Row],[Отделка CRM]]=Д402[[#This Row],[Отделка]]</f>
        <v>1</v>
      </c>
      <c r="BO245" s="275" t="s">
        <v>377</v>
      </c>
      <c r="BP245" s="69"/>
    </row>
    <row r="246" spans="1:68" ht="12" customHeight="1" x14ac:dyDescent="0.25">
      <c r="A246" s="140">
        <v>244</v>
      </c>
      <c r="B246" s="175">
        <v>3</v>
      </c>
      <c r="C246" s="141">
        <f t="shared" si="8"/>
        <v>12</v>
      </c>
      <c r="D246" s="142">
        <v>4</v>
      </c>
      <c r="E246" s="141">
        <v>2</v>
      </c>
      <c r="F246" s="143">
        <v>15.67</v>
      </c>
      <c r="G246" s="143">
        <v>12.94</v>
      </c>
      <c r="H246" s="143"/>
      <c r="I246" s="144">
        <f>SUM(Д402[[#This Row],[Комната 1]:[Комната 3]])</f>
        <v>28.61</v>
      </c>
      <c r="J246" s="145">
        <v>13.91</v>
      </c>
      <c r="K246" s="145">
        <v>4.16</v>
      </c>
      <c r="L246" s="145"/>
      <c r="M246" s="145">
        <v>7.7</v>
      </c>
      <c r="N246" s="145"/>
      <c r="O246" s="145">
        <v>3.23</v>
      </c>
      <c r="P246" s="146"/>
      <c r="Q246" s="146"/>
      <c r="R246" s="146">
        <f>SUM(Д402[[#This Row],[Лоджия 1]:[Лоджия 3]])</f>
        <v>3.23</v>
      </c>
      <c r="S246" s="10">
        <f>ROUND(SUM(Д402[[#This Row],[Площадь по проекту жилая]:[Лоджия 3]]),2)</f>
        <v>57.61</v>
      </c>
      <c r="T246" s="10">
        <f>ROUND(Д402[[#This Row],[Площадь по проекту(общая)]]-Д402[[#This Row],[Летние]],2)</f>
        <v>54.38</v>
      </c>
      <c r="U246" s="10">
        <f>ROUND(Д402[[#This Row],[Площадь по проекту(общая)]]-(SUM(Д402[[#This Row],[Лоджия 1]:[Лоджия 3]])/2),2)</f>
        <v>56</v>
      </c>
      <c r="V246" s="10">
        <f>VLOOKUP(Д402[[#This Row],[№]],наценка7[],COLUMN(наценка7[[#This Row],[Цена м2 с учетом всех K]]),0)</f>
        <v>119811.8</v>
      </c>
      <c r="W246" s="162">
        <f>2%*Д402[[#This Row],[м2 после К]]</f>
        <v>2396.2360000000003</v>
      </c>
      <c r="X246" s="10">
        <f>Д402[[#This Row],[м2 после К]]+Д402[[#This Row],[02.12.2024]]</f>
        <v>122208.03600000001</v>
      </c>
      <c r="Y246" s="149">
        <v>1000</v>
      </c>
      <c r="Z246" s="10">
        <f>Д402[[#This Row],[Фикс 20.12.24]]+Д402[[#This Row],[23.12.24 СП +1000]]</f>
        <v>123208.03600000001</v>
      </c>
      <c r="AA246" s="149">
        <v>215</v>
      </c>
      <c r="AB246" s="10">
        <f>Д402[[#This Row],[Фикс 23.12.24]]+Д402[[#This Row],[Повышение 20.02.25]]</f>
        <v>123423.03600000001</v>
      </c>
      <c r="AC246" s="149">
        <v>17.5</v>
      </c>
      <c r="AD246" s="10">
        <f>Д402[[#This Row],[Фикс 20.02.25]]+Д402[[#This Row],[Повышение 24.02.2025]]</f>
        <v>123440.53600000001</v>
      </c>
      <c r="AE246" s="149">
        <f>Д402[[#This Row],[Фикс 24.02.25]]*0.5%</f>
        <v>617.2026800000001</v>
      </c>
      <c r="AF246" s="10">
        <f>Д402[[#This Row],[Фикс 24.02.25]]+Д402[[#This Row],[Повышение 05.03.2025
1К: до 40м - 1,5%, 40+ 0,5%
2К - 0,5% ]]</f>
        <v>124057.73868000001</v>
      </c>
      <c r="AG246" s="10"/>
      <c r="AH246" s="10">
        <f>Д402[[#This Row],[Фикс 05.03.25]]+Д402[[#This Row],[повышение 14.03.25 1К-1%]]</f>
        <v>124057.73868000001</v>
      </c>
      <c r="AI246" s="10"/>
      <c r="AJ246" s="10">
        <f>Д402[[#This Row],[Фикс 14.03.25]]+Д402[[#This Row],[повышение 28.03.25 1К-1%]]</f>
        <v>124057.73868000001</v>
      </c>
      <c r="AK246" s="149">
        <f>Д402[[#This Row],[Фикс 28.03.25]]*2%</f>
        <v>2481.1547736000002</v>
      </c>
      <c r="AL246" s="10">
        <f>Д402[[#This Row],[Фикс 28.03.25]]+Д402[[#This Row],[Повышение 23.07.25
1К 43-46м2 - 2%
2К 55-58 - 2%; 58-64 - 3%
3К 76-79 - 2%
]]</f>
        <v>126538.89345360002</v>
      </c>
      <c r="AM246" s="149">
        <f>ROUND(Д402[[#This Row],[Фикс 23.07.25]],2)</f>
        <v>126538.89</v>
      </c>
      <c r="AN246" s="149">
        <f>ROUNDUP(Д402[[#This Row],[утв цена м2]]*Д402[[#This Row],[Расчетная проектная площадь]],-2)</f>
        <v>7086200</v>
      </c>
      <c r="AO246" s="151"/>
      <c r="AP246" s="152"/>
      <c r="AQ246" s="151">
        <f>Д402[[#This Row],[Стоимость до скидки]]*Д402[[#This Row],[Скидка %]]+Д402[[#This Row],[Скидка фиксированная]]</f>
        <v>0</v>
      </c>
      <c r="AR246" s="3">
        <f>Д402[[#This Row],[Стоимость ОН без отделки со скидкой]]/Д402[[#This Row],[Расчетная проектная площадь]]</f>
        <v>126539.28571428571</v>
      </c>
      <c r="AS246" s="3">
        <f>Д402[[#This Row],[Стоимость до скидки]]-Д402[[#This Row],[Итоговая сумма скидки]]</f>
        <v>7086200</v>
      </c>
      <c r="AT24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6" s="153"/>
      <c r="AV246" s="153"/>
      <c r="AW246" s="3">
        <f>Д402[[#This Row],[Цена м2 без отделки со скидкой]]+Д402[[#This Row],[Стоимость отделки]]</f>
        <v>126539.28571428571</v>
      </c>
      <c r="AX246" s="3">
        <f>Д402[[#This Row],[Стоимость квартиры с отделкой]]-Д402[[#This Row],[Стоимость ОН без отделки со скидкой]]</f>
        <v>0</v>
      </c>
      <c r="AY246" s="3">
        <f>Д402[[#This Row],[Цена м2 с отделкой]]*Д402[[#This Row],[Расчетная проектная площадь]]</f>
        <v>7086200</v>
      </c>
      <c r="AZ246" s="161"/>
      <c r="BA246" s="269" t="s">
        <v>128</v>
      </c>
      <c r="BB246" s="269" t="str" cm="1">
        <f t="array" ref="BB24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46" s="161" t="s">
        <v>740</v>
      </c>
      <c r="BD246" s="161" t="s">
        <v>506</v>
      </c>
      <c r="BE246" s="161" t="s">
        <v>737</v>
      </c>
      <c r="BF246" s="161" t="s">
        <v>747</v>
      </c>
      <c r="BG246" s="161" t="b">
        <f>EXACT(Д402[[#This Row],[Статусы CRM]],Д402[[#This Row],[Статус]])</f>
        <v>1</v>
      </c>
      <c r="BH246" s="3">
        <f>IF(Д402[[#This Row],[ПС]]=0,IF(Д402[[#This Row],[ДС]]=0,Д402[[#This Row],[ТС]],Д402[[#This Row],[ДС]]),Д402[[#This Row],[ПС]])</f>
        <v>7086200</v>
      </c>
      <c r="BI246" s="3">
        <v>7086200</v>
      </c>
      <c r="BJ246" s="3">
        <v>0</v>
      </c>
      <c r="BK246" s="3">
        <v>0</v>
      </c>
      <c r="BL246" s="273">
        <f>Д402[[#This Row],[Стоимость CRM]]-Д402[[#This Row],[Стоимость до скидки]]</f>
        <v>0</v>
      </c>
      <c r="BM246" s="161" t="s">
        <v>9</v>
      </c>
      <c r="BN246" s="161" t="b">
        <f>Д402[[#This Row],[Отделка CRM]]=Д402[[#This Row],[Отделка]]</f>
        <v>1</v>
      </c>
      <c r="BO246" s="275" t="s">
        <v>378</v>
      </c>
      <c r="BP246" s="69"/>
    </row>
    <row r="247" spans="1:68" ht="12" customHeight="1" x14ac:dyDescent="0.25">
      <c r="A247" s="140">
        <v>245</v>
      </c>
      <c r="B247" s="175">
        <v>3</v>
      </c>
      <c r="C247" s="141">
        <f t="shared" si="8"/>
        <v>12</v>
      </c>
      <c r="D247" s="142">
        <v>5</v>
      </c>
      <c r="E247" s="141">
        <v>2</v>
      </c>
      <c r="F247" s="143">
        <v>18.350000000000001</v>
      </c>
      <c r="G247" s="143">
        <v>15.96</v>
      </c>
      <c r="H247" s="143"/>
      <c r="I247" s="144">
        <f>SUM(Д402[[#This Row],[Комната 1]:[Комната 3]])</f>
        <v>34.31</v>
      </c>
      <c r="J247" s="145">
        <v>11.33</v>
      </c>
      <c r="K247" s="145">
        <v>4.41</v>
      </c>
      <c r="L247" s="145"/>
      <c r="M247" s="145">
        <v>7.57</v>
      </c>
      <c r="N247" s="145"/>
      <c r="O247" s="145">
        <v>3.1</v>
      </c>
      <c r="P247" s="146"/>
      <c r="Q247" s="146"/>
      <c r="R247" s="146">
        <f>SUM(Д402[[#This Row],[Лоджия 1]:[Лоджия 3]])</f>
        <v>3.1</v>
      </c>
      <c r="S247" s="10">
        <f>ROUND(SUM(Д402[[#This Row],[Площадь по проекту жилая]:[Лоджия 3]]),2)</f>
        <v>60.72</v>
      </c>
      <c r="T247" s="10">
        <f>ROUND(Д402[[#This Row],[Площадь по проекту(общая)]]-Д402[[#This Row],[Летние]],2)</f>
        <v>57.62</v>
      </c>
      <c r="U247" s="10">
        <f>ROUND(Д402[[#This Row],[Площадь по проекту(общая)]]-(SUM(Д402[[#This Row],[Лоджия 1]:[Лоджия 3]])/2),2)</f>
        <v>59.17</v>
      </c>
      <c r="V247" s="10">
        <f>VLOOKUP(Д402[[#This Row],[№]],наценка7[],COLUMN(наценка7[[#This Row],[Цена м2 с учетом всех K]]),0)</f>
        <v>118681.5</v>
      </c>
      <c r="W247" s="162"/>
      <c r="X247" s="10">
        <f>Д402[[#This Row],[м2 после К]]+Д402[[#This Row],[02.12.2024]]</f>
        <v>118681.5</v>
      </c>
      <c r="Y247" s="149">
        <v>1000</v>
      </c>
      <c r="Z247" s="10">
        <f>Д402[[#This Row],[Фикс 20.12.24]]+Д402[[#This Row],[23.12.24 СП +1000]]</f>
        <v>119681.5</v>
      </c>
      <c r="AA247" s="149">
        <v>215</v>
      </c>
      <c r="AB247" s="10">
        <f>Д402[[#This Row],[Фикс 23.12.24]]+Д402[[#This Row],[Повышение 20.02.25]]</f>
        <v>119896.5</v>
      </c>
      <c r="AC247" s="149">
        <v>17.5</v>
      </c>
      <c r="AD247" s="10">
        <f>Д402[[#This Row],[Фикс 20.02.25]]+Д402[[#This Row],[Повышение 24.02.2025]]</f>
        <v>119914</v>
      </c>
      <c r="AE247" s="149">
        <f>Д402[[#This Row],[Фикс 24.02.25]]*0.5%</f>
        <v>599.57000000000005</v>
      </c>
      <c r="AF247" s="10">
        <f>Д402[[#This Row],[Фикс 24.02.25]]+Д402[[#This Row],[Повышение 05.03.2025
1К: до 40м - 1,5%, 40+ 0,5%
2К - 0,5% ]]</f>
        <v>120513.57</v>
      </c>
      <c r="AG247" s="10"/>
      <c r="AH247" s="10">
        <f>Д402[[#This Row],[Фикс 05.03.25]]+Д402[[#This Row],[повышение 14.03.25 1К-1%]]</f>
        <v>120513.57</v>
      </c>
      <c r="AI247" s="10"/>
      <c r="AJ247" s="10">
        <f>Д402[[#This Row],[Фикс 14.03.25]]+Д402[[#This Row],[повышение 28.03.25 1К-1%]]</f>
        <v>120513.57</v>
      </c>
      <c r="AK247" s="10">
        <f>Д402[[#This Row],[Фикс 28.03.25]]*3%</f>
        <v>3615.4070999999999</v>
      </c>
      <c r="AL247" s="10">
        <f>Д402[[#This Row],[Фикс 28.03.25]]+Д402[[#This Row],[Повышение 23.07.25
1К 43-46м2 - 2%
2К 55-58 - 2%; 58-64 - 3%
3К 76-79 - 2%
]]</f>
        <v>124128.9771</v>
      </c>
      <c r="AM247" s="149">
        <f>ROUND(Д402[[#This Row],[Фикс 23.07.25]],2)</f>
        <v>124128.98</v>
      </c>
      <c r="AN247" s="149">
        <f>ROUNDUP(Д402[[#This Row],[утв цена м2]]*Д402[[#This Row],[Расчетная проектная площадь]],-2)</f>
        <v>7344800</v>
      </c>
      <c r="AO247" s="151"/>
      <c r="AP247" s="152"/>
      <c r="AQ247" s="151">
        <f>Д402[[#This Row],[Стоимость до скидки]]*Д402[[#This Row],[Скидка %]]+Д402[[#This Row],[Скидка фиксированная]]</f>
        <v>0</v>
      </c>
      <c r="AR247" s="3">
        <f>Д402[[#This Row],[Стоимость ОН без отделки со скидкой]]/Д402[[#This Row],[Расчетная проектная площадь]]</f>
        <v>124130.47152273111</v>
      </c>
      <c r="AS247" s="3">
        <f>Д402[[#This Row],[Стоимость до скидки]]-Д402[[#This Row],[Итоговая сумма скидки]]</f>
        <v>7344800</v>
      </c>
      <c r="AT24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7" s="153"/>
      <c r="AV247" s="153"/>
      <c r="AW247" s="3">
        <f>Д402[[#This Row],[Цена м2 без отделки со скидкой]]+Д402[[#This Row],[Стоимость отделки]]</f>
        <v>124130.47152273111</v>
      </c>
      <c r="AX247" s="3">
        <f>Д402[[#This Row],[Стоимость квартиры с отделкой]]-Д402[[#This Row],[Стоимость ОН без отделки со скидкой]]</f>
        <v>0</v>
      </c>
      <c r="AY247" s="3">
        <f>Д402[[#This Row],[Цена м2 с отделкой]]*Д402[[#This Row],[Расчетная проектная площадь]]</f>
        <v>7344800</v>
      </c>
      <c r="AZ247" s="161"/>
      <c r="BA247" s="155" t="s">
        <v>12</v>
      </c>
      <c r="BB247" s="156" t="str" cm="1">
        <f t="array" ref="BB24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7" s="161" t="s">
        <v>738</v>
      </c>
      <c r="BD247" s="161" t="s">
        <v>739</v>
      </c>
      <c r="BE247" s="161" t="s">
        <v>737</v>
      </c>
      <c r="BF247" s="161" t="s">
        <v>747</v>
      </c>
      <c r="BG247" s="161" t="b">
        <f>EXACT(Д402[[#This Row],[Статусы CRM]],Д402[[#This Row],[Статус]])</f>
        <v>1</v>
      </c>
      <c r="BH247" s="3">
        <f>IF(Д402[[#This Row],[ПС]]=0,IF(Д402[[#This Row],[ДС]]=0,Д402[[#This Row],[ТС]],Д402[[#This Row],[ДС]]),Д402[[#This Row],[ПС]])</f>
        <v>7344800</v>
      </c>
      <c r="BI247" s="3">
        <v>7344800</v>
      </c>
      <c r="BJ247" s="3">
        <v>0</v>
      </c>
      <c r="BK247" s="3">
        <v>0</v>
      </c>
      <c r="BL247" s="273">
        <f>Д402[[#This Row],[Стоимость CRM]]-Д402[[#This Row],[Стоимость до скидки]]</f>
        <v>0</v>
      </c>
      <c r="BM247" s="161" t="s">
        <v>9</v>
      </c>
      <c r="BN247" s="161" t="b">
        <f>Д402[[#This Row],[Отделка CRM]]=Д402[[#This Row],[Отделка]]</f>
        <v>1</v>
      </c>
      <c r="BO247" s="275" t="s">
        <v>379</v>
      </c>
      <c r="BP247" s="69"/>
    </row>
    <row r="248" spans="1:68" ht="12" customHeight="1" x14ac:dyDescent="0.25">
      <c r="A248" s="140">
        <v>246</v>
      </c>
      <c r="B248" s="175">
        <v>3</v>
      </c>
      <c r="C248" s="141">
        <f t="shared" si="8"/>
        <v>12</v>
      </c>
      <c r="D248" s="142">
        <v>6</v>
      </c>
      <c r="E248" s="141">
        <v>0</v>
      </c>
      <c r="F248" s="143">
        <v>16.25</v>
      </c>
      <c r="G248" s="143"/>
      <c r="H248" s="143"/>
      <c r="I248" s="144">
        <f>SUM(Д402[[#This Row],[Комната 1]:[Комната 3]])</f>
        <v>16.25</v>
      </c>
      <c r="J248" s="145">
        <v>5</v>
      </c>
      <c r="K248" s="145">
        <v>4.2</v>
      </c>
      <c r="L248" s="145"/>
      <c r="M248" s="145">
        <v>4.21</v>
      </c>
      <c r="N248" s="145"/>
      <c r="O248" s="145"/>
      <c r="P248" s="146"/>
      <c r="Q248" s="146"/>
      <c r="R248" s="146">
        <f>SUM(Д402[[#This Row],[Лоджия 1]:[Лоджия 3]])</f>
        <v>0</v>
      </c>
      <c r="S248" s="10">
        <f>ROUND(SUM(Д402[[#This Row],[Площадь по проекту жилая]:[Лоджия 3]]),2)</f>
        <v>29.66</v>
      </c>
      <c r="T248" s="10">
        <f>ROUND(Д402[[#This Row],[Площадь по проекту(общая)]]-Д402[[#This Row],[Летние]],2)</f>
        <v>29.66</v>
      </c>
      <c r="U248" s="10">
        <f>ROUND(Д402[[#This Row],[Площадь по проекту(общая)]]-(SUM(Д402[[#This Row],[Лоджия 1]:[Лоджия 3]])/2),2)</f>
        <v>29.66</v>
      </c>
      <c r="V248" s="10">
        <f>VLOOKUP(Д402[[#This Row],[№]],наценка7[],COLUMN(наценка7[[#This Row],[Цена м2 с учетом всех K]]),0)</f>
        <v>138332.70000000001</v>
      </c>
      <c r="W248" s="162"/>
      <c r="X248" s="10">
        <f>Д402[[#This Row],[м2 после К]]+Д402[[#This Row],[02.12.2024]]</f>
        <v>138332.70000000001</v>
      </c>
      <c r="Y248" s="149">
        <v>1000</v>
      </c>
      <c r="Z248" s="10">
        <f>Д402[[#This Row],[Фикс 20.12.24]]+Д402[[#This Row],[23.12.24 СП +1000]]</f>
        <v>139332.70000000001</v>
      </c>
      <c r="AA248" s="149">
        <v>215</v>
      </c>
      <c r="AB248" s="10">
        <f>Д402[[#This Row],[Фикс 23.12.24]]+Д402[[#This Row],[Повышение 20.02.25]]</f>
        <v>139547.70000000001</v>
      </c>
      <c r="AC248" s="149">
        <v>17.5</v>
      </c>
      <c r="AD248" s="10">
        <f>Д402[[#This Row],[Фикс 20.02.25]]+Д402[[#This Row],[Повышение 24.02.2025]]</f>
        <v>139565.20000000001</v>
      </c>
      <c r="AE248" s="10"/>
      <c r="AF248" s="10">
        <f>Д402[[#This Row],[Фикс 24.02.25]]+Д402[[#This Row],[Повышение 05.03.2025
1К: до 40м - 1,5%, 40+ 0,5%
2К - 0,5% ]]</f>
        <v>139565.20000000001</v>
      </c>
      <c r="AG248" s="10"/>
      <c r="AH248" s="10">
        <f>Д402[[#This Row],[Фикс 05.03.25]]+Д402[[#This Row],[повышение 14.03.25 1К-1%]]</f>
        <v>139565.20000000001</v>
      </c>
      <c r="AI248" s="10"/>
      <c r="AJ248" s="10">
        <f>Д402[[#This Row],[Фикс 14.03.25]]+Д402[[#This Row],[повышение 28.03.25 1К-1%]]</f>
        <v>139565.20000000001</v>
      </c>
      <c r="AK248" s="10"/>
      <c r="AL248" s="10">
        <f>Д402[[#This Row],[Фикс 28.03.25]]+Д402[[#This Row],[Повышение 23.07.25
1К 43-46м2 - 2%
2К 55-58 - 2%; 58-64 - 3%
3К 76-79 - 2%
]]</f>
        <v>139565.20000000001</v>
      </c>
      <c r="AM248" s="149">
        <f>ROUND(Д402[[#This Row],[Фикс 23.07.25]],2)</f>
        <v>139565.20000000001</v>
      </c>
      <c r="AN248" s="149">
        <f>ROUNDUP(Д402[[#This Row],[утв цена м2]]*Д402[[#This Row],[Расчетная проектная площадь]],-2)</f>
        <v>4139600</v>
      </c>
      <c r="AO248" s="151"/>
      <c r="AP248" s="152"/>
      <c r="AQ248" s="151">
        <f>Д402[[#This Row],[Стоимость до скидки]]*Д402[[#This Row],[Скидка %]]+Д402[[#This Row],[Скидка фиксированная]]</f>
        <v>0</v>
      </c>
      <c r="AR248" s="3">
        <f>Д402[[#This Row],[Стоимость ОН без отделки со скидкой]]/Д402[[#This Row],[Расчетная проектная площадь]]</f>
        <v>139568.44234659473</v>
      </c>
      <c r="AS248" s="3">
        <f>Д402[[#This Row],[Стоимость до скидки]]-Д402[[#This Row],[Итоговая сумма скидки]]</f>
        <v>4139600</v>
      </c>
      <c r="AT24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8" s="153"/>
      <c r="AV248" s="153"/>
      <c r="AW248" s="3">
        <f>Д402[[#This Row],[Цена м2 без отделки со скидкой]]+Д402[[#This Row],[Стоимость отделки]]</f>
        <v>139568.44234659473</v>
      </c>
      <c r="AX248" s="3">
        <f>Д402[[#This Row],[Стоимость квартиры с отделкой]]-Д402[[#This Row],[Стоимость ОН без отделки со скидкой]]</f>
        <v>0</v>
      </c>
      <c r="AY248" s="3">
        <f>Д402[[#This Row],[Цена м2 с отделкой]]*Д402[[#This Row],[Расчетная проектная площадь]]</f>
        <v>4139600</v>
      </c>
      <c r="AZ248" s="161"/>
      <c r="BA248" s="155" t="s">
        <v>12</v>
      </c>
      <c r="BB248" s="156" t="str" cm="1">
        <f t="array" ref="BB24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48" s="161" t="s">
        <v>738</v>
      </c>
      <c r="BD248" s="161" t="s">
        <v>739</v>
      </c>
      <c r="BE248" s="161" t="s">
        <v>737</v>
      </c>
      <c r="BF248" s="161" t="s">
        <v>743</v>
      </c>
      <c r="BG248" s="161" t="b">
        <f>EXACT(Д402[[#This Row],[Статусы CRM]],Д402[[#This Row],[Статус]])</f>
        <v>1</v>
      </c>
      <c r="BH248" s="3">
        <f>IF(Д402[[#This Row],[ПС]]=0,IF(Д402[[#This Row],[ДС]]=0,Д402[[#This Row],[ТС]],Д402[[#This Row],[ДС]]),Д402[[#This Row],[ПС]])</f>
        <v>4139600</v>
      </c>
      <c r="BI248" s="3">
        <v>4139600</v>
      </c>
      <c r="BJ248" s="3">
        <v>0</v>
      </c>
      <c r="BK248" s="3">
        <v>0</v>
      </c>
      <c r="BL248" s="273">
        <f>Д402[[#This Row],[Стоимость CRM]]-Д402[[#This Row],[Стоимость до скидки]]</f>
        <v>0</v>
      </c>
      <c r="BM248" s="161" t="s">
        <v>9</v>
      </c>
      <c r="BN248" s="161" t="b">
        <f>Д402[[#This Row],[Отделка CRM]]=Д402[[#This Row],[Отделка]]</f>
        <v>1</v>
      </c>
      <c r="BO248" s="275" t="s">
        <v>380</v>
      </c>
      <c r="BP248" s="69"/>
    </row>
    <row r="249" spans="1:68" ht="12" customHeight="1" x14ac:dyDescent="0.25">
      <c r="A249" s="140">
        <v>247</v>
      </c>
      <c r="B249" s="175">
        <v>3</v>
      </c>
      <c r="C249" s="141">
        <f t="shared" si="8"/>
        <v>13</v>
      </c>
      <c r="D249" s="142">
        <v>1</v>
      </c>
      <c r="E249" s="141">
        <v>1</v>
      </c>
      <c r="F249" s="143">
        <v>14.42</v>
      </c>
      <c r="G249" s="143"/>
      <c r="H249" s="143"/>
      <c r="I249" s="144">
        <f>SUM(Д402[[#This Row],[Комната 1]:[Комната 3]])</f>
        <v>14.42</v>
      </c>
      <c r="J249" s="145">
        <v>16.11</v>
      </c>
      <c r="K249" s="145">
        <v>4.09</v>
      </c>
      <c r="L249" s="145"/>
      <c r="M249" s="145">
        <v>8.0299999999999994</v>
      </c>
      <c r="N249" s="145"/>
      <c r="O249" s="145">
        <v>3.01</v>
      </c>
      <c r="P249" s="146"/>
      <c r="Q249" s="146"/>
      <c r="R249" s="146">
        <f>SUM(Д402[[#This Row],[Лоджия 1]:[Лоджия 3]])</f>
        <v>3.01</v>
      </c>
      <c r="S249" s="10">
        <f>ROUND(SUM(Д402[[#This Row],[Площадь по проекту жилая]:[Лоджия 3]]),2)</f>
        <v>45.66</v>
      </c>
      <c r="T249" s="10">
        <f>ROUND(Д402[[#This Row],[Площадь по проекту(общая)]]-Д402[[#This Row],[Летние]],2)</f>
        <v>42.65</v>
      </c>
      <c r="U249" s="10">
        <f>ROUND(Д402[[#This Row],[Площадь по проекту(общая)]]-(SUM(Д402[[#This Row],[Лоджия 1]:[Лоджия 3]])/2),2)</f>
        <v>44.16</v>
      </c>
      <c r="V249" s="10">
        <f>VLOOKUP(Д402[[#This Row],[№]],наценка7[],COLUMN(наценка7[[#This Row],[Цена м2 с учетом всех K]]),0)</f>
        <v>120452.6</v>
      </c>
      <c r="W249" s="159">
        <f>2%*Д402[[#This Row],[м2 после К]]</f>
        <v>2409.0520000000001</v>
      </c>
      <c r="X249" s="10">
        <f>Д402[[#This Row],[м2 после К]]+Д402[[#This Row],[02.12.2024]]</f>
        <v>122861.652</v>
      </c>
      <c r="Y249" s="149">
        <v>1000</v>
      </c>
      <c r="Z249" s="10">
        <f>Д402[[#This Row],[Фикс 20.12.24]]+Д402[[#This Row],[23.12.24 СП +1000]]</f>
        <v>123861.652</v>
      </c>
      <c r="AA249" s="10">
        <v>215</v>
      </c>
      <c r="AB249" s="10">
        <f>Д402[[#This Row],[Фикс 23.12.24]]+Д402[[#This Row],[Повышение 20.02.25]]</f>
        <v>124076.652</v>
      </c>
      <c r="AC249" s="10">
        <v>17.5</v>
      </c>
      <c r="AD249" s="10">
        <f>Д402[[#This Row],[Фикс 20.02.25]]+Д402[[#This Row],[Повышение 24.02.2025]]</f>
        <v>124094.152</v>
      </c>
      <c r="AE249" s="10"/>
      <c r="AF249" s="10">
        <f>Д402[[#This Row],[Фикс 24.02.25]]+Д402[[#This Row],[Повышение 05.03.2025
1К: до 40м - 1,5%, 40+ 0,5%
2К - 0,5% ]]</f>
        <v>124094.152</v>
      </c>
      <c r="AG249" s="10"/>
      <c r="AH249" s="10">
        <f>Д402[[#This Row],[Фикс 05.03.25]]+Д402[[#This Row],[повышение 14.03.25 1К-1%]]</f>
        <v>124094.152</v>
      </c>
      <c r="AI249" s="10"/>
      <c r="AJ249" s="10">
        <f>Д402[[#This Row],[Фикс 14.03.25]]+Д402[[#This Row],[повышение 28.03.25 1К-1%]]</f>
        <v>124094.152</v>
      </c>
      <c r="AK249" s="10"/>
      <c r="AL249" s="10">
        <f>Д402[[#This Row],[Фикс 28.03.25]]+Д402[[#This Row],[Повышение 23.07.25
1К 43-46м2 - 2%
2К 55-58 - 2%; 58-64 - 3%
3К 76-79 - 2%
]]</f>
        <v>124094.152</v>
      </c>
      <c r="AM249" s="149">
        <f>ROUND(Д402[[#This Row],[Фикс 23.07.25]],2)</f>
        <v>124094.15</v>
      </c>
      <c r="AN249" s="149">
        <f>ROUNDUP(Д402[[#This Row],[утв цена м2]]*Д402[[#This Row],[Расчетная проектная площадь]],-2)</f>
        <v>5480000</v>
      </c>
      <c r="AO249" s="151"/>
      <c r="AP249" s="152"/>
      <c r="AQ249" s="151">
        <f>Д402[[#This Row],[Стоимость до скидки]]*Д402[[#This Row],[Скидка %]]+Д402[[#This Row],[Скидка фиксированная]]</f>
        <v>0</v>
      </c>
      <c r="AR249" s="3">
        <f>Д402[[#This Row],[Стоимость ОН без отделки со скидкой]]/Д402[[#This Row],[Расчетная проектная площадь]]</f>
        <v>124094.20289855073</v>
      </c>
      <c r="AS249" s="3">
        <f>Д402[[#This Row],[Стоимость до скидки]]-Д402[[#This Row],[Итоговая сумма скидки]]</f>
        <v>5480000</v>
      </c>
      <c r="AT24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49" s="153"/>
      <c r="AV249" s="153"/>
      <c r="AW249" s="3">
        <f>Д402[[#This Row],[Цена м2 без отделки со скидкой]]+Д402[[#This Row],[Стоимость отделки]]</f>
        <v>124094.20289855073</v>
      </c>
      <c r="AX249" s="3">
        <f>Д402[[#This Row],[Стоимость квартиры с отделкой]]-Д402[[#This Row],[Стоимость ОН без отделки со скидкой]]</f>
        <v>0</v>
      </c>
      <c r="AY249" s="3">
        <f>Д402[[#This Row],[Цена м2 с отделкой]]*Д402[[#This Row],[Расчетная проектная площадь]]</f>
        <v>5480000</v>
      </c>
      <c r="AZ249" s="161"/>
      <c r="BA249" s="269" t="s">
        <v>426</v>
      </c>
      <c r="BB249" s="269" t="str" cm="1">
        <f t="array" ref="BB24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49" s="161" t="s">
        <v>741</v>
      </c>
      <c r="BD249" s="161" t="s">
        <v>506</v>
      </c>
      <c r="BE249" s="161" t="s">
        <v>737</v>
      </c>
      <c r="BF249" s="161" t="s">
        <v>745</v>
      </c>
      <c r="BG249" s="161" t="b">
        <f>EXACT(Д402[[#This Row],[Статусы CRM]],Д402[[#This Row],[Статус]])</f>
        <v>1</v>
      </c>
      <c r="BH249" s="3">
        <f>IF(Д402[[#This Row],[ПС]]=0,IF(Д402[[#This Row],[ДС]]=0,Д402[[#This Row],[ТС]],Д402[[#This Row],[ДС]]),Д402[[#This Row],[ПС]])</f>
        <v>5480000</v>
      </c>
      <c r="BI249" s="3" t="s">
        <v>749</v>
      </c>
      <c r="BJ249" s="3">
        <v>5480000</v>
      </c>
      <c r="BK249" s="3">
        <v>5480000</v>
      </c>
      <c r="BL249" s="273">
        <f>Д402[[#This Row],[Стоимость CRM]]-Д402[[#This Row],[Стоимость до скидки]]</f>
        <v>0</v>
      </c>
      <c r="BM249" s="161" t="s">
        <v>9</v>
      </c>
      <c r="BN249" s="161" t="b">
        <f>Д402[[#This Row],[Отделка CRM]]=Д402[[#This Row],[Отделка]]</f>
        <v>1</v>
      </c>
      <c r="BO249" s="275" t="s">
        <v>381</v>
      </c>
      <c r="BP249" s="69"/>
    </row>
    <row r="250" spans="1:68" ht="12" customHeight="1" x14ac:dyDescent="0.25">
      <c r="A250" s="140">
        <v>248</v>
      </c>
      <c r="B250" s="175">
        <v>3</v>
      </c>
      <c r="C250" s="141">
        <f t="shared" si="8"/>
        <v>13</v>
      </c>
      <c r="D250" s="142">
        <v>2</v>
      </c>
      <c r="E250" s="141">
        <v>1</v>
      </c>
      <c r="F250" s="143">
        <v>12.76</v>
      </c>
      <c r="G250" s="143"/>
      <c r="H250" s="143"/>
      <c r="I250" s="144">
        <f>SUM(Д402[[#This Row],[Комната 1]:[Комната 3]])</f>
        <v>12.76</v>
      </c>
      <c r="J250" s="145">
        <v>15.01</v>
      </c>
      <c r="K250" s="145">
        <v>4.22</v>
      </c>
      <c r="L250" s="145"/>
      <c r="M250" s="145">
        <v>3.09</v>
      </c>
      <c r="N250" s="145"/>
      <c r="O250" s="145">
        <v>2.93</v>
      </c>
      <c r="P250" s="146"/>
      <c r="Q250" s="146"/>
      <c r="R250" s="146">
        <f>SUM(Д402[[#This Row],[Лоджия 1]:[Лоджия 3]])</f>
        <v>2.93</v>
      </c>
      <c r="S250" s="10">
        <f>ROUND(SUM(Д402[[#This Row],[Площадь по проекту жилая]:[Лоджия 3]]),2)</f>
        <v>38.01</v>
      </c>
      <c r="T250" s="10">
        <f>ROUND(Д402[[#This Row],[Площадь по проекту(общая)]]-Д402[[#This Row],[Летние]],2)</f>
        <v>35.08</v>
      </c>
      <c r="U250" s="10">
        <f>ROUND(Д402[[#This Row],[Площадь по проекту(общая)]]-(SUM(Д402[[#This Row],[Лоджия 1]:[Лоджия 3]])/2),2)</f>
        <v>36.549999999999997</v>
      </c>
      <c r="V250" s="10">
        <f>VLOOKUP(Д402[[#This Row],[№]],наценка7[],COLUMN(наценка7[[#This Row],[Цена м2 с учетом всех K]]),0)</f>
        <v>124030.39999999999</v>
      </c>
      <c r="W250" s="159">
        <f>2%*Д402[[#This Row],[м2 после К]]</f>
        <v>2480.6079999999997</v>
      </c>
      <c r="X250" s="10">
        <f>Д402[[#This Row],[м2 после К]]+Д402[[#This Row],[02.12.2024]]</f>
        <v>126511.00799999999</v>
      </c>
      <c r="Y250" s="149">
        <v>1000</v>
      </c>
      <c r="Z250" s="10">
        <f>Д402[[#This Row],[Фикс 20.12.24]]+Д402[[#This Row],[23.12.24 СП +1000]]</f>
        <v>127511.00799999999</v>
      </c>
      <c r="AA250" s="149">
        <v>215</v>
      </c>
      <c r="AB250" s="10">
        <f>Д402[[#This Row],[Фикс 23.12.24]]+Д402[[#This Row],[Повышение 20.02.25]]</f>
        <v>127726.00799999999</v>
      </c>
      <c r="AC250" s="149">
        <v>17.5</v>
      </c>
      <c r="AD250" s="10">
        <f>Д402[[#This Row],[Фикс 20.02.25]]+Д402[[#This Row],[Повышение 24.02.2025]]</f>
        <v>127743.50799999999</v>
      </c>
      <c r="AE250" s="149">
        <f>Д402[[#This Row],[Фикс 24.02.25]]*1.5%</f>
        <v>1916.1526199999998</v>
      </c>
      <c r="AF250" s="10">
        <f>Д402[[#This Row],[Фикс 24.02.25]]+Д402[[#This Row],[Повышение 05.03.2025
1К: до 40м - 1,5%, 40+ 0,5%
2К - 0,5% ]]</f>
        <v>129659.66061999998</v>
      </c>
      <c r="AG250" s="149">
        <f>Д402[[#This Row],[Фикс 05.03.25]]*1%</f>
        <v>1296.5966061999998</v>
      </c>
      <c r="AH250" s="10">
        <f>Д402[[#This Row],[Фикс 05.03.25]]+Д402[[#This Row],[повышение 14.03.25 1К-1%]]</f>
        <v>130956.25722619997</v>
      </c>
      <c r="AI250" s="149">
        <f>Д402[[#This Row],[Фикс 14.03.25]]*1%</f>
        <v>1309.5625722619998</v>
      </c>
      <c r="AJ250" s="10">
        <f>Д402[[#This Row],[Фикс 14.03.25]]+Д402[[#This Row],[повышение 28.03.25 1К-1%]]</f>
        <v>132265.81979846198</v>
      </c>
      <c r="AK250" s="10"/>
      <c r="AL250" s="10">
        <f>Д402[[#This Row],[Фикс 28.03.25]]+Д402[[#This Row],[Повышение 23.07.25
1К 43-46м2 - 2%
2К 55-58 - 2%; 58-64 - 3%
3К 76-79 - 2%
]]</f>
        <v>132265.81979846198</v>
      </c>
      <c r="AM250" s="149">
        <f>ROUND(Д402[[#This Row],[Фикс 23.07.25]],2)</f>
        <v>132265.82</v>
      </c>
      <c r="AN250" s="149">
        <f>ROUNDUP(Д402[[#This Row],[утв цена м2]]*Д402[[#This Row],[Расчетная проектная площадь]],-2)</f>
        <v>4834400</v>
      </c>
      <c r="AO250" s="151"/>
      <c r="AP250" s="152">
        <v>0.02</v>
      </c>
      <c r="AQ250" s="151">
        <f>Д402[[#This Row],[Стоимость до скидки]]*Д402[[#This Row],[Скидка %]]+Д402[[#This Row],[Скидка фиксированная]]</f>
        <v>96688</v>
      </c>
      <c r="AR250" s="3">
        <f>Д402[[#This Row],[Стоимость ОН без отделки со скидкой]]/Д402[[#This Row],[Расчетная проектная площадь]]</f>
        <v>129622.76333789331</v>
      </c>
      <c r="AS250" s="3">
        <f>Д402[[#This Row],[Стоимость до скидки]]-Д402[[#This Row],[Итоговая сумма скидки]]</f>
        <v>4737712</v>
      </c>
      <c r="AT25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50" s="153">
        <v>25000</v>
      </c>
      <c r="AV250" s="153" t="s">
        <v>721</v>
      </c>
      <c r="AW250" s="3">
        <f>Д402[[#This Row],[Цена м2 без отделки со скидкой]]+Д402[[#This Row],[Стоимость отделки]]</f>
        <v>154622.7633378933</v>
      </c>
      <c r="AX250" s="3">
        <f>Д402[[#This Row],[Стоимость квартиры с отделкой]]-Д402[[#This Row],[Стоимость ОН без отделки со скидкой]]</f>
        <v>913749.99999999907</v>
      </c>
      <c r="AY250" s="3">
        <f>Д402[[#This Row],[Цена м2 с отделкой]]*Д402[[#This Row],[Расчетная проектная площадь]]</f>
        <v>5651461.9999999991</v>
      </c>
      <c r="AZ250" s="161" t="s">
        <v>436</v>
      </c>
      <c r="BA250" s="269" t="s">
        <v>426</v>
      </c>
      <c r="BB250" s="269" t="str" cm="1">
        <f t="array" ref="BB25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0" s="161" t="s">
        <v>741</v>
      </c>
      <c r="BD250" s="161" t="s">
        <v>506</v>
      </c>
      <c r="BE250" s="161" t="s">
        <v>737</v>
      </c>
      <c r="BF250" s="161" t="s">
        <v>745</v>
      </c>
      <c r="BG250" s="161" t="b">
        <f>EXACT(Д402[[#This Row],[Статусы CRM]],Д402[[#This Row],[Статус]])</f>
        <v>1</v>
      </c>
      <c r="BH250" s="3">
        <f>IF(Д402[[#This Row],[ПС]]=0,IF(Д402[[#This Row],[ДС]]=0,Д402[[#This Row],[ТС]],Д402[[#This Row],[ДС]]),Д402[[#This Row],[ПС]])</f>
        <v>4834400</v>
      </c>
      <c r="BI250" s="3" t="s">
        <v>749</v>
      </c>
      <c r="BJ250" s="3">
        <v>4834400</v>
      </c>
      <c r="BK250" s="3">
        <v>4834400</v>
      </c>
      <c r="BL250" s="273">
        <f>Д402[[#This Row],[Стоимость CRM]]-Д402[[#This Row],[Стоимость до скидки]]</f>
        <v>0</v>
      </c>
      <c r="BM250" s="161" t="s">
        <v>11</v>
      </c>
      <c r="BN250" s="161" t="b">
        <f>Д402[[#This Row],[Отделка CRM]]=Д402[[#This Row],[Отделка]]</f>
        <v>1</v>
      </c>
      <c r="BO250" s="275" t="s">
        <v>382</v>
      </c>
      <c r="BP250" s="69"/>
    </row>
    <row r="251" spans="1:68" ht="12" customHeight="1" x14ac:dyDescent="0.25">
      <c r="A251" s="140">
        <v>249</v>
      </c>
      <c r="B251" s="175">
        <v>3</v>
      </c>
      <c r="C251" s="141">
        <f t="shared" si="8"/>
        <v>13</v>
      </c>
      <c r="D251" s="142">
        <v>3</v>
      </c>
      <c r="E251" s="141">
        <v>2</v>
      </c>
      <c r="F251" s="143">
        <v>15.36</v>
      </c>
      <c r="G251" s="143">
        <v>11.95</v>
      </c>
      <c r="H251" s="143"/>
      <c r="I251" s="144">
        <f>SUM(Д402[[#This Row],[Комната 1]:[Комната 3]])</f>
        <v>27.31</v>
      </c>
      <c r="J251" s="145">
        <v>14.61</v>
      </c>
      <c r="K251" s="145">
        <v>4.21</v>
      </c>
      <c r="L251" s="145"/>
      <c r="M251" s="145">
        <v>6.6</v>
      </c>
      <c r="N251" s="145"/>
      <c r="O251" s="145">
        <v>3.23</v>
      </c>
      <c r="P251" s="146"/>
      <c r="Q251" s="146"/>
      <c r="R251" s="146">
        <f>SUM(Д402[[#This Row],[Лоджия 1]:[Лоджия 3]])</f>
        <v>3.23</v>
      </c>
      <c r="S251" s="10">
        <f>ROUND(SUM(Д402[[#This Row],[Площадь по проекту жилая]:[Лоджия 3]]),2)</f>
        <v>55.96</v>
      </c>
      <c r="T251" s="10">
        <f>ROUND(Д402[[#This Row],[Площадь по проекту(общая)]]-Д402[[#This Row],[Летние]],2)</f>
        <v>52.73</v>
      </c>
      <c r="U251" s="10">
        <f>ROUND(Д402[[#This Row],[Площадь по проекту(общая)]]-(SUM(Д402[[#This Row],[Лоджия 1]:[Лоджия 3]])/2),2)</f>
        <v>54.35</v>
      </c>
      <c r="V251" s="10">
        <f>VLOOKUP(Д402[[#This Row],[№]],наценка7[],COLUMN(наценка7[[#This Row],[Цена м2 с учетом всех K]]),0)</f>
        <v>119811.8</v>
      </c>
      <c r="W251" s="162">
        <f>0.021*Д402[[#This Row],[м2 после К]]</f>
        <v>2516.0478000000003</v>
      </c>
      <c r="X251" s="10">
        <f>Д402[[#This Row],[м2 после К]]+Д402[[#This Row],[02.12.2024]]</f>
        <v>122327.8478</v>
      </c>
      <c r="Y251" s="149">
        <v>1000</v>
      </c>
      <c r="Z251" s="10">
        <f>Д402[[#This Row],[Фикс 20.12.24]]+Д402[[#This Row],[23.12.24 СП +1000]]</f>
        <v>123327.8478</v>
      </c>
      <c r="AA251" s="149">
        <v>215</v>
      </c>
      <c r="AB251" s="10">
        <f>Д402[[#This Row],[Фикс 23.12.24]]+Д402[[#This Row],[Повышение 20.02.25]]</f>
        <v>123542.8478</v>
      </c>
      <c r="AC251" s="149">
        <v>17.5</v>
      </c>
      <c r="AD251" s="10">
        <f>Д402[[#This Row],[Фикс 20.02.25]]+Д402[[#This Row],[Повышение 24.02.2025]]</f>
        <v>123560.3478</v>
      </c>
      <c r="AE251" s="149">
        <f>Д402[[#This Row],[Фикс 24.02.25]]*0.5%</f>
        <v>617.801739</v>
      </c>
      <c r="AF251" s="10">
        <f>Д402[[#This Row],[Фикс 24.02.25]]+Д402[[#This Row],[Повышение 05.03.2025
1К: до 40м - 1,5%, 40+ 0,5%
2К - 0,5% ]]</f>
        <v>124178.14953900001</v>
      </c>
      <c r="AG251" s="10"/>
      <c r="AH251" s="10">
        <f>Д402[[#This Row],[Фикс 05.03.25]]+Д402[[#This Row],[повышение 14.03.25 1К-1%]]</f>
        <v>124178.14953900001</v>
      </c>
      <c r="AI251" s="10"/>
      <c r="AJ251" s="10">
        <f>Д402[[#This Row],[Фикс 14.03.25]]+Д402[[#This Row],[повышение 28.03.25 1К-1%]]</f>
        <v>124178.14953900001</v>
      </c>
      <c r="AK251" s="10"/>
      <c r="AL251" s="10">
        <f>Д402[[#This Row],[Фикс 28.03.25]]+Д402[[#This Row],[Повышение 23.07.25
1К 43-46м2 - 2%
2К 55-58 - 2%; 58-64 - 3%
3К 76-79 - 2%
]]</f>
        <v>124178.14953900001</v>
      </c>
      <c r="AM251" s="149">
        <f>ROUND(Д402[[#This Row],[Фикс 23.07.25]],2)</f>
        <v>124178.15</v>
      </c>
      <c r="AN251" s="149">
        <f>ROUNDUP(Д402[[#This Row],[утв цена м2]]*Д402[[#This Row],[Расчетная проектная площадь]],-2)</f>
        <v>6749100</v>
      </c>
      <c r="AO251" s="151"/>
      <c r="AP251" s="152"/>
      <c r="AQ251" s="151">
        <f>Д402[[#This Row],[Стоимость до скидки]]*Д402[[#This Row],[Скидка %]]+Д402[[#This Row],[Скидка фиксированная]]</f>
        <v>0</v>
      </c>
      <c r="AR251" s="3">
        <f>Д402[[#This Row],[Стоимость ОН без отделки со скидкой]]/Д402[[#This Row],[Расчетная проектная площадь]]</f>
        <v>124178.47286108555</v>
      </c>
      <c r="AS251" s="3">
        <f>Д402[[#This Row],[Стоимость до скидки]]-Д402[[#This Row],[Итоговая сумма скидки]]</f>
        <v>6749100</v>
      </c>
      <c r="AT25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51" s="153"/>
      <c r="AV251" s="153"/>
      <c r="AW251" s="3">
        <f>Д402[[#This Row],[Цена м2 без отделки со скидкой]]+Д402[[#This Row],[Стоимость отделки]]</f>
        <v>124178.47286108555</v>
      </c>
      <c r="AX251" s="3">
        <f>Д402[[#This Row],[Стоимость квартиры с отделкой]]-Д402[[#This Row],[Стоимость ОН без отделки со скидкой]]</f>
        <v>0</v>
      </c>
      <c r="AY251" s="3">
        <f>Д402[[#This Row],[Цена м2 с отделкой]]*Д402[[#This Row],[Расчетная проектная площадь]]</f>
        <v>6749100</v>
      </c>
      <c r="AZ251" s="161"/>
      <c r="BA251" s="269" t="s">
        <v>426</v>
      </c>
      <c r="BB251" s="269" t="str" cm="1">
        <f t="array" ref="BB25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1" s="161" t="s">
        <v>741</v>
      </c>
      <c r="BD251" s="161" t="s">
        <v>506</v>
      </c>
      <c r="BE251" s="161" t="s">
        <v>737</v>
      </c>
      <c r="BF251" s="161" t="s">
        <v>744</v>
      </c>
      <c r="BG251" s="161" t="b">
        <f>EXACT(Д402[[#This Row],[Статусы CRM]],Д402[[#This Row],[Статус]])</f>
        <v>1</v>
      </c>
      <c r="BH251" s="3">
        <f>IF(Д402[[#This Row],[ПС]]=0,IF(Д402[[#This Row],[ДС]]=0,Д402[[#This Row],[ТС]],Д402[[#This Row],[ДС]]),Д402[[#This Row],[ПС]])</f>
        <v>6749100</v>
      </c>
      <c r="BI251" s="3" t="s">
        <v>749</v>
      </c>
      <c r="BJ251" s="3">
        <v>0</v>
      </c>
      <c r="BK251" s="3">
        <v>6749100</v>
      </c>
      <c r="BL251" s="273">
        <f>Д402[[#This Row],[Стоимость CRM]]-Д402[[#This Row],[Стоимость до скидки]]</f>
        <v>0</v>
      </c>
      <c r="BM251" s="161" t="s">
        <v>9</v>
      </c>
      <c r="BN251" s="161" t="b">
        <f>Д402[[#This Row],[Отделка CRM]]=Д402[[#This Row],[Отделка]]</f>
        <v>1</v>
      </c>
      <c r="BO251" s="275" t="s">
        <v>383</v>
      </c>
      <c r="BP251" s="69"/>
    </row>
    <row r="252" spans="1:68" ht="12" customHeight="1" x14ac:dyDescent="0.25">
      <c r="A252" s="140">
        <v>250</v>
      </c>
      <c r="B252" s="175">
        <v>3</v>
      </c>
      <c r="C252" s="141">
        <f t="shared" si="8"/>
        <v>13</v>
      </c>
      <c r="D252" s="142">
        <v>4</v>
      </c>
      <c r="E252" s="141">
        <v>2</v>
      </c>
      <c r="F252" s="143">
        <v>15.67</v>
      </c>
      <c r="G252" s="143">
        <v>12.94</v>
      </c>
      <c r="H252" s="143"/>
      <c r="I252" s="144">
        <f>SUM(Д402[[#This Row],[Комната 1]:[Комната 3]])</f>
        <v>28.61</v>
      </c>
      <c r="J252" s="145">
        <v>13.91</v>
      </c>
      <c r="K252" s="145">
        <v>4.16</v>
      </c>
      <c r="L252" s="145"/>
      <c r="M252" s="145">
        <v>7.7</v>
      </c>
      <c r="N252" s="145"/>
      <c r="O252" s="145">
        <v>3.23</v>
      </c>
      <c r="P252" s="146"/>
      <c r="Q252" s="146"/>
      <c r="R252" s="146">
        <f>SUM(Д402[[#This Row],[Лоджия 1]:[Лоджия 3]])</f>
        <v>3.23</v>
      </c>
      <c r="S252" s="10">
        <f>ROUND(SUM(Д402[[#This Row],[Площадь по проекту жилая]:[Лоджия 3]]),2)</f>
        <v>57.61</v>
      </c>
      <c r="T252" s="10">
        <f>ROUND(Д402[[#This Row],[Площадь по проекту(общая)]]-Д402[[#This Row],[Летние]],2)</f>
        <v>54.38</v>
      </c>
      <c r="U252" s="10">
        <f>ROUND(Д402[[#This Row],[Площадь по проекту(общая)]]-(SUM(Д402[[#This Row],[Лоджия 1]:[Лоджия 3]])/2),2)</f>
        <v>56</v>
      </c>
      <c r="V252" s="10">
        <f>VLOOKUP(Д402[[#This Row],[№]],наценка7[],COLUMN(наценка7[[#This Row],[Цена м2 с учетом всех K]]),0)</f>
        <v>119811.8</v>
      </c>
      <c r="W252" s="162">
        <f>2%*Д402[[#This Row],[м2 после К]]</f>
        <v>2396.2360000000003</v>
      </c>
      <c r="X252" s="10">
        <f>Д402[[#This Row],[м2 после К]]+Д402[[#This Row],[02.12.2024]]</f>
        <v>122208.03600000001</v>
      </c>
      <c r="Y252" s="149">
        <v>1000</v>
      </c>
      <c r="Z252" s="10">
        <f>Д402[[#This Row],[Фикс 20.12.24]]+Д402[[#This Row],[23.12.24 СП +1000]]</f>
        <v>123208.03600000001</v>
      </c>
      <c r="AA252" s="149">
        <v>215</v>
      </c>
      <c r="AB252" s="10">
        <f>Д402[[#This Row],[Фикс 23.12.24]]+Д402[[#This Row],[Повышение 20.02.25]]</f>
        <v>123423.03600000001</v>
      </c>
      <c r="AC252" s="149">
        <v>17.5</v>
      </c>
      <c r="AD252" s="10">
        <f>Д402[[#This Row],[Фикс 20.02.25]]+Д402[[#This Row],[Повышение 24.02.2025]]</f>
        <v>123440.53600000001</v>
      </c>
      <c r="AE252" s="149">
        <f>Д402[[#This Row],[Фикс 24.02.25]]*0.5%</f>
        <v>617.2026800000001</v>
      </c>
      <c r="AF252" s="10">
        <f>Д402[[#This Row],[Фикс 24.02.25]]+Д402[[#This Row],[Повышение 05.03.2025
1К: до 40м - 1,5%, 40+ 0,5%
2К - 0,5% ]]</f>
        <v>124057.73868000001</v>
      </c>
      <c r="AG252" s="10"/>
      <c r="AH252" s="10">
        <f>Д402[[#This Row],[Фикс 05.03.25]]+Д402[[#This Row],[повышение 14.03.25 1К-1%]]</f>
        <v>124057.73868000001</v>
      </c>
      <c r="AI252" s="10"/>
      <c r="AJ252" s="10">
        <f>Д402[[#This Row],[Фикс 14.03.25]]+Д402[[#This Row],[повышение 28.03.25 1К-1%]]</f>
        <v>124057.73868000001</v>
      </c>
      <c r="AK252" s="149">
        <f>Д402[[#This Row],[Фикс 28.03.25]]*2%</f>
        <v>2481.1547736000002</v>
      </c>
      <c r="AL252" s="10">
        <f>Д402[[#This Row],[Фикс 28.03.25]]+Д402[[#This Row],[Повышение 23.07.25
1К 43-46м2 - 2%
2К 55-58 - 2%; 58-64 - 3%
3К 76-79 - 2%
]]</f>
        <v>126538.89345360002</v>
      </c>
      <c r="AM252" s="149">
        <f>ROUND(Д402[[#This Row],[Фикс 23.07.25]],2)</f>
        <v>126538.89</v>
      </c>
      <c r="AN252" s="149">
        <f>ROUNDUP(Д402[[#This Row],[утв цена м2]]*Д402[[#This Row],[Расчетная проектная площадь]],-2)</f>
        <v>7086200</v>
      </c>
      <c r="AO252" s="151"/>
      <c r="AP252" s="152"/>
      <c r="AQ252" s="151">
        <f>Д402[[#This Row],[Стоимость до скидки]]*Д402[[#This Row],[Скидка %]]+Д402[[#This Row],[Скидка фиксированная]]</f>
        <v>0</v>
      </c>
      <c r="AR252" s="3">
        <f>Д402[[#This Row],[Стоимость ОН без отделки со скидкой]]/Д402[[#This Row],[Расчетная проектная площадь]]</f>
        <v>126539.28571428571</v>
      </c>
      <c r="AS252" s="3">
        <f>Д402[[#This Row],[Стоимость до скидки]]-Д402[[#This Row],[Итоговая сумма скидки]]</f>
        <v>7086200</v>
      </c>
      <c r="AT25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52" s="153">
        <v>30000</v>
      </c>
      <c r="AV252" s="153" t="s">
        <v>722</v>
      </c>
      <c r="AW252" s="3">
        <f>Д402[[#This Row],[Цена м2 без отделки со скидкой]]+Д402[[#This Row],[Стоимость отделки]]</f>
        <v>156539.28571428571</v>
      </c>
      <c r="AX252" s="3">
        <f>Д402[[#This Row],[Стоимость квартиры с отделкой]]-Д402[[#This Row],[Стоимость ОН без отделки со скидкой]]</f>
        <v>1680000</v>
      </c>
      <c r="AY252" s="3">
        <f>Д402[[#This Row],[Цена м2 с отделкой]]*Д402[[#This Row],[Расчетная проектная площадь]]</f>
        <v>8766200</v>
      </c>
      <c r="AZ252" s="161"/>
      <c r="BA252" s="269" t="s">
        <v>12</v>
      </c>
      <c r="BB252" s="269" t="str" cm="1">
        <f t="array" ref="BB25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52" s="161" t="s">
        <v>738</v>
      </c>
      <c r="BD252" s="161" t="s">
        <v>739</v>
      </c>
      <c r="BE252" s="161" t="s">
        <v>737</v>
      </c>
      <c r="BF252" s="161" t="s">
        <v>747</v>
      </c>
      <c r="BG252" s="161" t="b">
        <f>EXACT(Д402[[#This Row],[Статусы CRM]],Д402[[#This Row],[Статус]])</f>
        <v>1</v>
      </c>
      <c r="BH252" s="3">
        <f>IF(Д402[[#This Row],[ПС]]=0,IF(Д402[[#This Row],[ДС]]=0,Д402[[#This Row],[ТС]],Д402[[#This Row],[ДС]]),Д402[[#This Row],[ПС]])</f>
        <v>7086200</v>
      </c>
      <c r="BI252" s="3">
        <v>7086200</v>
      </c>
      <c r="BJ252" s="3">
        <v>0</v>
      </c>
      <c r="BK252" s="3">
        <v>0</v>
      </c>
      <c r="BL252" s="273">
        <f>Д402[[#This Row],[Стоимость CRM]]-Д402[[#This Row],[Стоимость до скидки]]</f>
        <v>0</v>
      </c>
      <c r="BM252" s="161" t="s">
        <v>11</v>
      </c>
      <c r="BN252" s="161" t="b">
        <f>Д402[[#This Row],[Отделка CRM]]=Д402[[#This Row],[Отделка]]</f>
        <v>1</v>
      </c>
      <c r="BO252" s="275" t="s">
        <v>384</v>
      </c>
      <c r="BP252" s="69"/>
    </row>
    <row r="253" spans="1:68" ht="12" customHeight="1" x14ac:dyDescent="0.25">
      <c r="A253" s="140">
        <v>251</v>
      </c>
      <c r="B253" s="175">
        <v>3</v>
      </c>
      <c r="C253" s="141">
        <f t="shared" ref="C253:C284" si="9">C247+1</f>
        <v>13</v>
      </c>
      <c r="D253" s="142">
        <v>5</v>
      </c>
      <c r="E253" s="141">
        <v>2</v>
      </c>
      <c r="F253" s="143">
        <v>18.350000000000001</v>
      </c>
      <c r="G253" s="143">
        <v>15.96</v>
      </c>
      <c r="H253" s="143"/>
      <c r="I253" s="144">
        <f>SUM(Д402[[#This Row],[Комната 1]:[Комната 3]])</f>
        <v>34.31</v>
      </c>
      <c r="J253" s="145">
        <v>11.33</v>
      </c>
      <c r="K253" s="145">
        <v>4.41</v>
      </c>
      <c r="L253" s="145"/>
      <c r="M253" s="145">
        <v>7.57</v>
      </c>
      <c r="N253" s="145"/>
      <c r="O253" s="145">
        <v>3.1</v>
      </c>
      <c r="P253" s="146"/>
      <c r="Q253" s="146"/>
      <c r="R253" s="146">
        <f>SUM(Д402[[#This Row],[Лоджия 1]:[Лоджия 3]])</f>
        <v>3.1</v>
      </c>
      <c r="S253" s="10">
        <f>ROUND(SUM(Д402[[#This Row],[Площадь по проекту жилая]:[Лоджия 3]]),2)</f>
        <v>60.72</v>
      </c>
      <c r="T253" s="10">
        <f>ROUND(Д402[[#This Row],[Площадь по проекту(общая)]]-Д402[[#This Row],[Летние]],2)</f>
        <v>57.62</v>
      </c>
      <c r="U253" s="10">
        <f>ROUND(Д402[[#This Row],[Площадь по проекту(общая)]]-(SUM(Д402[[#This Row],[Лоджия 1]:[Лоджия 3]])/2),2)</f>
        <v>59.17</v>
      </c>
      <c r="V253" s="10">
        <f>VLOOKUP(Д402[[#This Row],[№]],наценка7[],COLUMN(наценка7[[#This Row],[Цена м2 с учетом всех K]]),0)</f>
        <v>116420.9</v>
      </c>
      <c r="W253" s="162"/>
      <c r="X253" s="10">
        <f>Д402[[#This Row],[м2 после К]]+Д402[[#This Row],[02.12.2024]]</f>
        <v>116420.9</v>
      </c>
      <c r="Y253" s="149">
        <v>1000</v>
      </c>
      <c r="Z253" s="10">
        <f>Д402[[#This Row],[Фикс 20.12.24]]+Д402[[#This Row],[23.12.24 СП +1000]]</f>
        <v>117420.9</v>
      </c>
      <c r="AA253" s="149">
        <v>215</v>
      </c>
      <c r="AB253" s="10">
        <f>Д402[[#This Row],[Фикс 23.12.24]]+Д402[[#This Row],[Повышение 20.02.25]]</f>
        <v>117635.9</v>
      </c>
      <c r="AC253" s="149">
        <v>17.5</v>
      </c>
      <c r="AD253" s="10">
        <f>Д402[[#This Row],[Фикс 20.02.25]]+Д402[[#This Row],[Повышение 24.02.2025]]</f>
        <v>117653.4</v>
      </c>
      <c r="AE253" s="149">
        <f>Д402[[#This Row],[Фикс 24.02.25]]*0.5%</f>
        <v>588.26699999999994</v>
      </c>
      <c r="AF253" s="10">
        <f>Д402[[#This Row],[Фикс 24.02.25]]+Д402[[#This Row],[Повышение 05.03.2025
1К: до 40м - 1,5%, 40+ 0,5%
2К - 0,5% ]]</f>
        <v>118241.667</v>
      </c>
      <c r="AG253" s="10"/>
      <c r="AH253" s="10">
        <f>Д402[[#This Row],[Фикс 05.03.25]]+Д402[[#This Row],[повышение 14.03.25 1К-1%]]</f>
        <v>118241.667</v>
      </c>
      <c r="AI253" s="10"/>
      <c r="AJ253" s="10">
        <f>Д402[[#This Row],[Фикс 14.03.25]]+Д402[[#This Row],[повышение 28.03.25 1К-1%]]</f>
        <v>118241.667</v>
      </c>
      <c r="AK253" s="10">
        <f>Д402[[#This Row],[Фикс 28.03.25]]*3%</f>
        <v>3547.2500099999997</v>
      </c>
      <c r="AL253" s="10">
        <f>Д402[[#This Row],[Фикс 28.03.25]]+Д402[[#This Row],[Повышение 23.07.25
1К 43-46м2 - 2%
2К 55-58 - 2%; 58-64 - 3%
3К 76-79 - 2%
]]</f>
        <v>121788.91701</v>
      </c>
      <c r="AM253" s="149">
        <f>ROUND(Д402[[#This Row],[Фикс 23.07.25]],2)</f>
        <v>121788.92</v>
      </c>
      <c r="AN253" s="149">
        <f>ROUNDUP(Д402[[#This Row],[утв цена м2]]*Д402[[#This Row],[Расчетная проектная площадь]],-2)</f>
        <v>7206300</v>
      </c>
      <c r="AO253" s="151"/>
      <c r="AP253" s="152"/>
      <c r="AQ253" s="151">
        <f>Д402[[#This Row],[Стоимость до скидки]]*Д402[[#This Row],[Скидка %]]+Д402[[#This Row],[Скидка фиксированная]]</f>
        <v>0</v>
      </c>
      <c r="AR253" s="3">
        <f>Д402[[#This Row],[Стоимость ОН без отделки со скидкой]]/Д402[[#This Row],[Расчетная проектная площадь]]</f>
        <v>121789.75832347473</v>
      </c>
      <c r="AS253" s="3">
        <f>Д402[[#This Row],[Стоимость до скидки]]-Д402[[#This Row],[Итоговая сумма скидки]]</f>
        <v>7206300</v>
      </c>
      <c r="AT25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53" s="153"/>
      <c r="AV253" s="153"/>
      <c r="AW253" s="3">
        <f>Д402[[#This Row],[Цена м2 без отделки со скидкой]]+Д402[[#This Row],[Стоимость отделки]]</f>
        <v>121789.75832347473</v>
      </c>
      <c r="AX253" s="3">
        <f>Д402[[#This Row],[Стоимость квартиры с отделкой]]-Д402[[#This Row],[Стоимость ОН без отделки со скидкой]]</f>
        <v>0</v>
      </c>
      <c r="AY253" s="3">
        <f>Д402[[#This Row],[Цена м2 с отделкой]]*Д402[[#This Row],[Расчетная проектная площадь]]</f>
        <v>7206300</v>
      </c>
      <c r="AZ253" s="161"/>
      <c r="BA253" s="155" t="s">
        <v>12</v>
      </c>
      <c r="BB253" s="156" t="str" cm="1">
        <f t="array" ref="BB25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53" s="161" t="s">
        <v>738</v>
      </c>
      <c r="BD253" s="161" t="s">
        <v>739</v>
      </c>
      <c r="BE253" s="161" t="s">
        <v>737</v>
      </c>
      <c r="BF253" s="161" t="s">
        <v>747</v>
      </c>
      <c r="BG253" s="161" t="b">
        <f>EXACT(Д402[[#This Row],[Статусы CRM]],Д402[[#This Row],[Статус]])</f>
        <v>1</v>
      </c>
      <c r="BH253" s="3">
        <f>IF(Д402[[#This Row],[ПС]]=0,IF(Д402[[#This Row],[ДС]]=0,Д402[[#This Row],[ТС]],Д402[[#This Row],[ДС]]),Д402[[#This Row],[ПС]])</f>
        <v>7206300</v>
      </c>
      <c r="BI253" s="3">
        <v>7206300</v>
      </c>
      <c r="BJ253" s="3">
        <v>0</v>
      </c>
      <c r="BK253" s="3">
        <v>0</v>
      </c>
      <c r="BL253" s="273">
        <f>Д402[[#This Row],[Стоимость CRM]]-Д402[[#This Row],[Стоимость до скидки]]</f>
        <v>0</v>
      </c>
      <c r="BM253" s="161" t="s">
        <v>9</v>
      </c>
      <c r="BN253" s="161" t="b">
        <f>Д402[[#This Row],[Отделка CRM]]=Д402[[#This Row],[Отделка]]</f>
        <v>1</v>
      </c>
      <c r="BO253" s="275" t="s">
        <v>385</v>
      </c>
      <c r="BP253" s="69"/>
    </row>
    <row r="254" spans="1:68" ht="12" customHeight="1" x14ac:dyDescent="0.25">
      <c r="A254" s="140">
        <v>252</v>
      </c>
      <c r="B254" s="175">
        <v>3</v>
      </c>
      <c r="C254" s="141">
        <f t="shared" si="9"/>
        <v>13</v>
      </c>
      <c r="D254" s="142">
        <v>6</v>
      </c>
      <c r="E254" s="141">
        <v>0</v>
      </c>
      <c r="F254" s="143">
        <v>16.25</v>
      </c>
      <c r="G254" s="143"/>
      <c r="H254" s="143"/>
      <c r="I254" s="144">
        <f>SUM(Д402[[#This Row],[Комната 1]:[Комната 3]])</f>
        <v>16.25</v>
      </c>
      <c r="J254" s="145">
        <v>5</v>
      </c>
      <c r="K254" s="145">
        <v>4.2</v>
      </c>
      <c r="L254" s="145"/>
      <c r="M254" s="145">
        <v>4.21</v>
      </c>
      <c r="N254" s="145"/>
      <c r="O254" s="145"/>
      <c r="P254" s="146"/>
      <c r="Q254" s="146"/>
      <c r="R254" s="146">
        <f>SUM(Д402[[#This Row],[Лоджия 1]:[Лоджия 3]])</f>
        <v>0</v>
      </c>
      <c r="S254" s="10">
        <f>ROUND(SUM(Д402[[#This Row],[Площадь по проекту жилая]:[Лоджия 3]]),2)</f>
        <v>29.66</v>
      </c>
      <c r="T254" s="10">
        <f>ROUND(Д402[[#This Row],[Площадь по проекту(общая)]]-Д402[[#This Row],[Летние]],2)</f>
        <v>29.66</v>
      </c>
      <c r="U254" s="10">
        <f>ROUND(Д402[[#This Row],[Площадь по проекту(общая)]]-(SUM(Д402[[#This Row],[Лоджия 1]:[Лоджия 3]])/2),2)</f>
        <v>29.66</v>
      </c>
      <c r="V254" s="10">
        <f>VLOOKUP(Д402[[#This Row],[№]],наценка7[],COLUMN(наценка7[[#This Row],[Цена м2 с учетом всех K]]),0)</f>
        <v>138332.70000000001</v>
      </c>
      <c r="W254" s="162"/>
      <c r="X254" s="10">
        <f>Д402[[#This Row],[м2 после К]]+Д402[[#This Row],[02.12.2024]]</f>
        <v>138332.70000000001</v>
      </c>
      <c r="Y254" s="149">
        <v>1000</v>
      </c>
      <c r="Z254" s="10">
        <f>Д402[[#This Row],[Фикс 20.12.24]]+Д402[[#This Row],[23.12.24 СП +1000]]</f>
        <v>139332.70000000001</v>
      </c>
      <c r="AA254" s="149">
        <v>215</v>
      </c>
      <c r="AB254" s="10">
        <f>Д402[[#This Row],[Фикс 23.12.24]]+Д402[[#This Row],[Повышение 20.02.25]]</f>
        <v>139547.70000000001</v>
      </c>
      <c r="AC254" s="149">
        <v>17.5</v>
      </c>
      <c r="AD254" s="10">
        <f>Д402[[#This Row],[Фикс 20.02.25]]+Д402[[#This Row],[Повышение 24.02.2025]]</f>
        <v>139565.20000000001</v>
      </c>
      <c r="AE254" s="10"/>
      <c r="AF254" s="10">
        <f>Д402[[#This Row],[Фикс 24.02.25]]+Д402[[#This Row],[Повышение 05.03.2025
1К: до 40м - 1,5%, 40+ 0,5%
2К - 0,5% ]]</f>
        <v>139565.20000000001</v>
      </c>
      <c r="AG254" s="10"/>
      <c r="AH254" s="10">
        <f>Д402[[#This Row],[Фикс 05.03.25]]+Д402[[#This Row],[повышение 14.03.25 1К-1%]]</f>
        <v>139565.20000000001</v>
      </c>
      <c r="AI254" s="10"/>
      <c r="AJ254" s="10">
        <f>Д402[[#This Row],[Фикс 14.03.25]]+Д402[[#This Row],[повышение 28.03.25 1К-1%]]</f>
        <v>139565.20000000001</v>
      </c>
      <c r="AK254" s="10"/>
      <c r="AL254" s="10">
        <f>Д402[[#This Row],[Фикс 28.03.25]]+Д402[[#This Row],[Повышение 23.07.25
1К 43-46м2 - 2%
2К 55-58 - 2%; 58-64 - 3%
3К 76-79 - 2%
]]</f>
        <v>139565.20000000001</v>
      </c>
      <c r="AM254" s="149">
        <f>ROUND(Д402[[#This Row],[Фикс 23.07.25]],2)</f>
        <v>139565.20000000001</v>
      </c>
      <c r="AN254" s="149">
        <f>ROUNDUP(Д402[[#This Row],[утв цена м2]]*Д402[[#This Row],[Расчетная проектная площадь]],-2)</f>
        <v>4139600</v>
      </c>
      <c r="AO254" s="151"/>
      <c r="AP254" s="152"/>
      <c r="AQ254" s="151">
        <f>Д402[[#This Row],[Стоимость до скидки]]*Д402[[#This Row],[Скидка %]]+Д402[[#This Row],[Скидка фиксированная]]</f>
        <v>0</v>
      </c>
      <c r="AR254" s="3">
        <f>Д402[[#This Row],[Стоимость ОН без отделки со скидкой]]/Д402[[#This Row],[Расчетная проектная площадь]]</f>
        <v>139568.44234659473</v>
      </c>
      <c r="AS254" s="3">
        <f>Д402[[#This Row],[Стоимость до скидки]]-Д402[[#This Row],[Итоговая сумма скидки]]</f>
        <v>4139600</v>
      </c>
      <c r="AT25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54" s="153"/>
      <c r="AV254" s="153"/>
      <c r="AW254" s="3">
        <f>Д402[[#This Row],[Цена м2 без отделки со скидкой]]+Д402[[#This Row],[Стоимость отделки]]</f>
        <v>139568.44234659473</v>
      </c>
      <c r="AX254" s="3">
        <f>Д402[[#This Row],[Стоимость квартиры с отделкой]]-Д402[[#This Row],[Стоимость ОН без отделки со скидкой]]</f>
        <v>0</v>
      </c>
      <c r="AY254" s="3">
        <f>Д402[[#This Row],[Цена м2 с отделкой]]*Д402[[#This Row],[Расчетная проектная площадь]]</f>
        <v>4139600</v>
      </c>
      <c r="AZ254" s="161"/>
      <c r="BA254" s="155" t="s">
        <v>12</v>
      </c>
      <c r="BB254" s="156" t="str" cm="1">
        <f t="array" ref="BB25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54" s="161" t="s">
        <v>738</v>
      </c>
      <c r="BD254" s="161" t="s">
        <v>739</v>
      </c>
      <c r="BE254" s="161" t="s">
        <v>737</v>
      </c>
      <c r="BF254" s="161" t="s">
        <v>743</v>
      </c>
      <c r="BG254" s="161" t="b">
        <f>EXACT(Д402[[#This Row],[Статусы CRM]],Д402[[#This Row],[Статус]])</f>
        <v>1</v>
      </c>
      <c r="BH254" s="3">
        <f>IF(Д402[[#This Row],[ПС]]=0,IF(Д402[[#This Row],[ДС]]=0,Д402[[#This Row],[ТС]],Д402[[#This Row],[ДС]]),Д402[[#This Row],[ПС]])</f>
        <v>4139600</v>
      </c>
      <c r="BI254" s="3">
        <v>4139600</v>
      </c>
      <c r="BJ254" s="3">
        <v>0</v>
      </c>
      <c r="BK254" s="3">
        <v>0</v>
      </c>
      <c r="BL254" s="273">
        <f>Д402[[#This Row],[Стоимость CRM]]-Д402[[#This Row],[Стоимость до скидки]]</f>
        <v>0</v>
      </c>
      <c r="BM254" s="161" t="s">
        <v>9</v>
      </c>
      <c r="BN254" s="161" t="b">
        <f>Д402[[#This Row],[Отделка CRM]]=Д402[[#This Row],[Отделка]]</f>
        <v>1</v>
      </c>
      <c r="BO254" s="275" t="s">
        <v>386</v>
      </c>
      <c r="BP254" s="69"/>
    </row>
    <row r="255" spans="1:68" ht="12" customHeight="1" x14ac:dyDescent="0.25">
      <c r="A255" s="140">
        <v>253</v>
      </c>
      <c r="B255" s="15">
        <v>3</v>
      </c>
      <c r="C255" s="141">
        <f t="shared" si="9"/>
        <v>14</v>
      </c>
      <c r="D255" s="142">
        <v>1</v>
      </c>
      <c r="E255" s="141">
        <v>1</v>
      </c>
      <c r="F255" s="143">
        <v>14.42</v>
      </c>
      <c r="G255" s="143"/>
      <c r="H255" s="143"/>
      <c r="I255" s="144">
        <f>SUM(Д402[[#This Row],[Комната 1]:[Комната 3]])</f>
        <v>14.42</v>
      </c>
      <c r="J255" s="145">
        <v>15.83</v>
      </c>
      <c r="K255" s="145">
        <v>4.09</v>
      </c>
      <c r="L255" s="145"/>
      <c r="M255" s="145">
        <v>8.0299999999999994</v>
      </c>
      <c r="N255" s="145"/>
      <c r="O255" s="145">
        <v>3.01</v>
      </c>
      <c r="P255" s="146"/>
      <c r="Q255" s="146"/>
      <c r="R255" s="146">
        <f>SUM(Д402[[#This Row],[Лоджия 1]:[Лоджия 3]])</f>
        <v>3.01</v>
      </c>
      <c r="S255" s="10">
        <f>ROUND(SUM(Д402[[#This Row],[Площадь по проекту жилая]:[Лоджия 3]]),2)</f>
        <v>45.38</v>
      </c>
      <c r="T255" s="10">
        <f>ROUND(Д402[[#This Row],[Площадь по проекту(общая)]]-Д402[[#This Row],[Летние]],2)</f>
        <v>42.37</v>
      </c>
      <c r="U255" s="10">
        <f>ROUND(Д402[[#This Row],[Площадь по проекту(общая)]]-(SUM(Д402[[#This Row],[Лоджия 1]:[Лоджия 3]])/2),2)</f>
        <v>43.88</v>
      </c>
      <c r="V255" s="10">
        <f>VLOOKUP(Д402[[#This Row],[№]],наценка7[],COLUMN(наценка7[[#This Row],[Цена м2 с учетом всех K]]),0)</f>
        <v>122837.8</v>
      </c>
      <c r="W255" s="159">
        <f>2%*Д402[[#This Row],[м2 после К]]</f>
        <v>2456.7560000000003</v>
      </c>
      <c r="X255" s="10">
        <f>Д402[[#This Row],[м2 после К]]+Д402[[#This Row],[02.12.2024]]</f>
        <v>125294.556</v>
      </c>
      <c r="Y255" s="149">
        <v>1000</v>
      </c>
      <c r="Z255" s="10">
        <f>Д402[[#This Row],[Фикс 20.12.24]]+Д402[[#This Row],[23.12.24 СП +1000]]</f>
        <v>126294.556</v>
      </c>
      <c r="AA255" s="149">
        <v>215</v>
      </c>
      <c r="AB255" s="10">
        <f>Д402[[#This Row],[Фикс 23.12.24]]+Д402[[#This Row],[Повышение 20.02.25]]</f>
        <v>126509.556</v>
      </c>
      <c r="AC255" s="149">
        <v>17.5</v>
      </c>
      <c r="AD255" s="10">
        <f>Д402[[#This Row],[Фикс 20.02.25]]+Д402[[#This Row],[Повышение 24.02.2025]]</f>
        <v>126527.056</v>
      </c>
      <c r="AE255" s="149">
        <f>Д402[[#This Row],[Фикс 24.02.25]]*0.5%</f>
        <v>632.63527999999997</v>
      </c>
      <c r="AF255" s="10">
        <f>Д402[[#This Row],[Фикс 24.02.25]]+Д402[[#This Row],[Повышение 05.03.2025
1К: до 40м - 1,5%, 40+ 0,5%
2К - 0,5% ]]</f>
        <v>127159.69128</v>
      </c>
      <c r="AG255" s="149">
        <f>Д402[[#This Row],[Фикс 05.03.25]]*1%</f>
        <v>1271.5969127999999</v>
      </c>
      <c r="AH255" s="10">
        <f>Д402[[#This Row],[Фикс 05.03.25]]+Д402[[#This Row],[повышение 14.03.25 1К-1%]]</f>
        <v>128431.2881928</v>
      </c>
      <c r="AI255" s="149">
        <f>Д402[[#This Row],[Фикс 14.03.25]]*1%</f>
        <v>1284.312881928</v>
      </c>
      <c r="AJ255" s="10">
        <f>Д402[[#This Row],[Фикс 14.03.25]]+Д402[[#This Row],[повышение 28.03.25 1К-1%]]</f>
        <v>129715.60107472799</v>
      </c>
      <c r="AK255" s="10"/>
      <c r="AL255" s="10">
        <f>Д402[[#This Row],[Фикс 28.03.25]]+Д402[[#This Row],[Повышение 23.07.25
1К 43-46м2 - 2%
2К 55-58 - 2%; 58-64 - 3%
3К 76-79 - 2%
]]</f>
        <v>129715.60107472799</v>
      </c>
      <c r="AM255" s="149">
        <f>ROUND(Д402[[#This Row],[Фикс 23.07.25]],2)</f>
        <v>129715.6</v>
      </c>
      <c r="AN255" s="149">
        <f>ROUNDUP(Д402[[#This Row],[утв цена м2]]*Д402[[#This Row],[Расчетная проектная площадь]],-2)</f>
        <v>5692000</v>
      </c>
      <c r="AO255" s="151"/>
      <c r="AP255" s="152">
        <v>0.02</v>
      </c>
      <c r="AQ255" s="151">
        <f>Д402[[#This Row],[Стоимость до скидки]]*Д402[[#This Row],[Скидка %]]+Д402[[#This Row],[Скидка фиксированная]]</f>
        <v>113840</v>
      </c>
      <c r="AR255" s="3">
        <f>Д402[[#This Row],[Стоимость ОН без отделки со скидкой]]/Д402[[#This Row],[Расчетная проектная площадь]]</f>
        <v>127123.06289881494</v>
      </c>
      <c r="AS255" s="3">
        <f>Д402[[#This Row],[Стоимость до скидки]]-Д402[[#This Row],[Итоговая сумма скидки]]</f>
        <v>5578160</v>
      </c>
      <c r="AT25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55" s="153">
        <v>10000</v>
      </c>
      <c r="AV255" s="153"/>
      <c r="AW255" s="3">
        <f>Д402[[#This Row],[Цена м2 без отделки со скидкой]]+Д402[[#This Row],[Стоимость отделки]]</f>
        <v>137123.06289881494</v>
      </c>
      <c r="AX255" s="3">
        <f>Д402[[#This Row],[Стоимость квартиры с отделкой]]-Д402[[#This Row],[Стоимость ОН без отделки со скидкой]]</f>
        <v>438800</v>
      </c>
      <c r="AY255" s="3">
        <f>Д402[[#This Row],[Цена м2 с отделкой]]*Д402[[#This Row],[Расчетная проектная площадь]]</f>
        <v>6016960</v>
      </c>
      <c r="AZ255" s="161" t="s">
        <v>424</v>
      </c>
      <c r="BA255" s="269" t="s">
        <v>426</v>
      </c>
      <c r="BB255" s="269" t="str" cm="1">
        <f t="array" ref="BB25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5" s="161" t="s">
        <v>741</v>
      </c>
      <c r="BD255" s="161" t="s">
        <v>506</v>
      </c>
      <c r="BE255" s="161" t="s">
        <v>737</v>
      </c>
      <c r="BF255" s="161" t="s">
        <v>745</v>
      </c>
      <c r="BG255" s="161" t="b">
        <f>EXACT(Д402[[#This Row],[Статусы CRM]],Д402[[#This Row],[Статус]])</f>
        <v>1</v>
      </c>
      <c r="BH255" s="3">
        <f>IF(Д402[[#This Row],[ПС]]=0,IF(Д402[[#This Row],[ДС]]=0,Д402[[#This Row],[ТС]],Д402[[#This Row],[ДС]]),Д402[[#This Row],[ПС]])</f>
        <v>5692000</v>
      </c>
      <c r="BI255" s="3" t="s">
        <v>749</v>
      </c>
      <c r="BJ255" s="3">
        <v>0</v>
      </c>
      <c r="BK255" s="3">
        <v>5692000</v>
      </c>
      <c r="BL255" s="273">
        <f>Д402[[#This Row],[Стоимость CRM]]-Д402[[#This Row],[Стоимость до скидки]]</f>
        <v>0</v>
      </c>
      <c r="BM255" s="161" t="s">
        <v>718</v>
      </c>
      <c r="BN255" s="161" t="b">
        <f>Д402[[#This Row],[Отделка CRM]]=Д402[[#This Row],[Отделка]]</f>
        <v>1</v>
      </c>
      <c r="BO255" s="275" t="s">
        <v>387</v>
      </c>
      <c r="BP255" s="69"/>
    </row>
    <row r="256" spans="1:68" ht="12" customHeight="1" x14ac:dyDescent="0.25">
      <c r="A256" s="140">
        <v>254</v>
      </c>
      <c r="B256" s="15">
        <v>3</v>
      </c>
      <c r="C256" s="141">
        <f t="shared" si="9"/>
        <v>14</v>
      </c>
      <c r="D256" s="142">
        <v>2</v>
      </c>
      <c r="E256" s="141">
        <v>1</v>
      </c>
      <c r="F256" s="143">
        <v>12.76</v>
      </c>
      <c r="G256" s="143"/>
      <c r="H256" s="143"/>
      <c r="I256" s="144">
        <f>SUM(Д402[[#This Row],[Комната 1]:[Комната 3]])</f>
        <v>12.76</v>
      </c>
      <c r="J256" s="145">
        <v>14.81</v>
      </c>
      <c r="K256" s="145">
        <v>4.22</v>
      </c>
      <c r="L256" s="145"/>
      <c r="M256" s="145">
        <v>3.09</v>
      </c>
      <c r="N256" s="145"/>
      <c r="O256" s="145">
        <v>2.93</v>
      </c>
      <c r="P256" s="146"/>
      <c r="Q256" s="146"/>
      <c r="R256" s="146">
        <f>SUM(Д402[[#This Row],[Лоджия 1]:[Лоджия 3]])</f>
        <v>2.93</v>
      </c>
      <c r="S256" s="10">
        <f>ROUND(SUM(Д402[[#This Row],[Площадь по проекту жилая]:[Лоджия 3]]),2)</f>
        <v>37.81</v>
      </c>
      <c r="T256" s="10">
        <f>ROUND(Д402[[#This Row],[Площадь по проекту(общая)]]-Д402[[#This Row],[Летние]],2)</f>
        <v>34.880000000000003</v>
      </c>
      <c r="U256" s="10">
        <f>ROUND(Д402[[#This Row],[Площадь по проекту(общая)]]-(SUM(Д402[[#This Row],[Лоджия 1]:[Лоджия 3]])/2),2)</f>
        <v>36.35</v>
      </c>
      <c r="V256" s="10">
        <f>VLOOKUP(Д402[[#This Row],[№]],наценка7[],COLUMN(наценка7[[#This Row],[Цена м2 с учетом всех K]]),0)</f>
        <v>126415.6</v>
      </c>
      <c r="W256" s="159">
        <f>2%*Д402[[#This Row],[м2 после К]]</f>
        <v>2528.3120000000004</v>
      </c>
      <c r="X256" s="10">
        <f>Д402[[#This Row],[м2 после К]]+Д402[[#This Row],[02.12.2024]]</f>
        <v>128943.91200000001</v>
      </c>
      <c r="Y256" s="149">
        <v>1000</v>
      </c>
      <c r="Z256" s="10">
        <f>Д402[[#This Row],[Фикс 20.12.24]]+Д402[[#This Row],[23.12.24 СП +1000]]</f>
        <v>129943.91200000001</v>
      </c>
      <c r="AA256" s="149">
        <v>215</v>
      </c>
      <c r="AB256" s="10">
        <f>Д402[[#This Row],[Фикс 23.12.24]]+Д402[[#This Row],[Повышение 20.02.25]]</f>
        <v>130158.91200000001</v>
      </c>
      <c r="AC256" s="149">
        <v>17.5</v>
      </c>
      <c r="AD256" s="10">
        <f>Д402[[#This Row],[Фикс 20.02.25]]+Д402[[#This Row],[Повышение 24.02.2025]]</f>
        <v>130176.41200000001</v>
      </c>
      <c r="AE256" s="10"/>
      <c r="AF256" s="10">
        <f>Д402[[#This Row],[Фикс 24.02.25]]+Д402[[#This Row],[Повышение 05.03.2025
1К: до 40м - 1,5%, 40+ 0,5%
2К - 0,5% ]]</f>
        <v>130176.41200000001</v>
      </c>
      <c r="AG256" s="10"/>
      <c r="AH256" s="10">
        <f>Д402[[#This Row],[Фикс 05.03.25]]+Д402[[#This Row],[повышение 14.03.25 1К-1%]]</f>
        <v>130176.41200000001</v>
      </c>
      <c r="AI256" s="10"/>
      <c r="AJ256" s="10">
        <f>Д402[[#This Row],[Фикс 14.03.25]]+Д402[[#This Row],[повышение 28.03.25 1К-1%]]</f>
        <v>130176.41200000001</v>
      </c>
      <c r="AK256" s="10"/>
      <c r="AL256" s="10">
        <f>Д402[[#This Row],[Фикс 28.03.25]]+Д402[[#This Row],[Повышение 23.07.25
1К 43-46м2 - 2%
2К 55-58 - 2%; 58-64 - 3%
3К 76-79 - 2%
]]</f>
        <v>130176.41200000001</v>
      </c>
      <c r="AM256" s="149">
        <f>ROUND(Д402[[#This Row],[Фикс 23.07.25]],2)</f>
        <v>130176.41</v>
      </c>
      <c r="AN256" s="149">
        <f>ROUNDUP(Д402[[#This Row],[утв цена м2]]*Д402[[#This Row],[Расчетная проектная площадь]],-2)</f>
        <v>4732000</v>
      </c>
      <c r="AO256" s="151"/>
      <c r="AP256" s="152">
        <v>0.03</v>
      </c>
      <c r="AQ256" s="151">
        <f>Д402[[#This Row],[Стоимость до скидки]]*Д402[[#This Row],[Скидка %]]+Д402[[#This Row],[Скидка фиксированная]]</f>
        <v>141960</v>
      </c>
      <c r="AR256" s="3">
        <f>Д402[[#This Row],[Стоимость ОН без отделки со скидкой]]/Д402[[#This Row],[Расчетная проектная площадь]]</f>
        <v>126273.45254470425</v>
      </c>
      <c r="AS256" s="3">
        <f>Д402[[#This Row],[Стоимость до скидки]]-Д402[[#This Row],[Итоговая сумма скидки]]</f>
        <v>4590040</v>
      </c>
      <c r="AT25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56" s="153">
        <v>25000</v>
      </c>
      <c r="AV256" s="153" t="s">
        <v>722</v>
      </c>
      <c r="AW256" s="3">
        <f>Д402[[#This Row],[Цена м2 без отделки со скидкой]]+Д402[[#This Row],[Стоимость отделки]]</f>
        <v>151273.45254470425</v>
      </c>
      <c r="AX256" s="3">
        <f>Д402[[#This Row],[Стоимость квартиры с отделкой]]-Д402[[#This Row],[Стоимость ОН без отделки со скидкой]]</f>
        <v>908750</v>
      </c>
      <c r="AY256" s="3">
        <f>Д402[[#This Row],[Цена м2 с отделкой]]*Д402[[#This Row],[Расчетная проектная площадь]]</f>
        <v>5498790</v>
      </c>
      <c r="AZ256" s="161" t="s">
        <v>435</v>
      </c>
      <c r="BA256" s="269" t="s">
        <v>426</v>
      </c>
      <c r="BB256" s="269" t="str" cm="1">
        <f t="array" ref="BB25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6" s="161" t="s">
        <v>741</v>
      </c>
      <c r="BD256" s="161" t="s">
        <v>506</v>
      </c>
      <c r="BE256" s="161" t="s">
        <v>737</v>
      </c>
      <c r="BF256" s="161" t="s">
        <v>745</v>
      </c>
      <c r="BG256" s="161" t="b">
        <f>EXACT(Д402[[#This Row],[Статусы CRM]],Д402[[#This Row],[Статус]])</f>
        <v>1</v>
      </c>
      <c r="BH256" s="3">
        <f>IF(Д402[[#This Row],[ПС]]=0,IF(Д402[[#This Row],[ДС]]=0,Д402[[#This Row],[ТС]],Д402[[#This Row],[ДС]]),Д402[[#This Row],[ПС]])</f>
        <v>4732000</v>
      </c>
      <c r="BI256" s="3" t="s">
        <v>749</v>
      </c>
      <c r="BJ256" s="3">
        <v>0</v>
      </c>
      <c r="BK256" s="3">
        <v>4732000</v>
      </c>
      <c r="BL256" s="273">
        <f>Д402[[#This Row],[Стоимость CRM]]-Д402[[#This Row],[Стоимость до скидки]]</f>
        <v>0</v>
      </c>
      <c r="BM256" s="161" t="s">
        <v>11</v>
      </c>
      <c r="BN256" s="161" t="b">
        <f>Д402[[#This Row],[Отделка CRM]]=Д402[[#This Row],[Отделка]]</f>
        <v>1</v>
      </c>
      <c r="BO256" s="275" t="s">
        <v>388</v>
      </c>
      <c r="BP256" s="69"/>
    </row>
    <row r="257" spans="1:68" ht="12" customHeight="1" x14ac:dyDescent="0.25">
      <c r="A257" s="140">
        <v>255</v>
      </c>
      <c r="B257" s="15">
        <v>3</v>
      </c>
      <c r="C257" s="141">
        <f t="shared" si="9"/>
        <v>14</v>
      </c>
      <c r="D257" s="142">
        <v>3</v>
      </c>
      <c r="E257" s="141">
        <v>2</v>
      </c>
      <c r="F257" s="143">
        <v>15.36</v>
      </c>
      <c r="G257" s="143">
        <v>11.95</v>
      </c>
      <c r="H257" s="143"/>
      <c r="I257" s="144">
        <f>SUM(Д402[[#This Row],[Комната 1]:[Комната 3]])</f>
        <v>27.31</v>
      </c>
      <c r="J257" s="145">
        <v>14.34</v>
      </c>
      <c r="K257" s="145">
        <v>4.21</v>
      </c>
      <c r="L257" s="145"/>
      <c r="M257" s="145">
        <v>6.6</v>
      </c>
      <c r="N257" s="145"/>
      <c r="O257" s="145">
        <v>3.23</v>
      </c>
      <c r="P257" s="146"/>
      <c r="Q257" s="146"/>
      <c r="R257" s="146">
        <f>SUM(Д402[[#This Row],[Лоджия 1]:[Лоджия 3]])</f>
        <v>3.23</v>
      </c>
      <c r="S257" s="10">
        <f>ROUND(SUM(Д402[[#This Row],[Площадь по проекту жилая]:[Лоджия 3]]),2)</f>
        <v>55.69</v>
      </c>
      <c r="T257" s="10">
        <f>ROUND(Д402[[#This Row],[Площадь по проекту(общая)]]-Д402[[#This Row],[Летние]],2)</f>
        <v>52.46</v>
      </c>
      <c r="U257" s="10">
        <f>ROUND(Д402[[#This Row],[Площадь по проекту(общая)]]-(SUM(Д402[[#This Row],[Лоджия 1]:[Лоджия 3]])/2),2)</f>
        <v>54.08</v>
      </c>
      <c r="V257" s="10">
        <f>VLOOKUP(Д402[[#This Row],[№]],наценка7[],COLUMN(наценка7[[#This Row],[Цена м2 с учетом всех K]]),0)</f>
        <v>117551.2</v>
      </c>
      <c r="W257" s="162">
        <f>0.021*Д402[[#This Row],[м2 после К]]</f>
        <v>2468.5752000000002</v>
      </c>
      <c r="X257" s="10">
        <f>Д402[[#This Row],[м2 после К]]+Д402[[#This Row],[02.12.2024]]</f>
        <v>120019.7752</v>
      </c>
      <c r="Y257" s="10"/>
      <c r="Z257" s="10">
        <f>Д402[[#This Row],[Фикс 20.12.24]]+Д402[[#This Row],[23.12.24 СП +1000]]</f>
        <v>120019.7752</v>
      </c>
      <c r="AA257" s="10"/>
      <c r="AB257" s="10">
        <f>Д402[[#This Row],[Фикс 23.12.24]]+Д402[[#This Row],[Повышение 20.02.25]]</f>
        <v>120019.7752</v>
      </c>
      <c r="AC257" s="10"/>
      <c r="AD257" s="10">
        <f>Д402[[#This Row],[Фикс 20.02.25]]+Д402[[#This Row],[Повышение 24.02.2025]]</f>
        <v>120019.7752</v>
      </c>
      <c r="AE257" s="10"/>
      <c r="AF257" s="10">
        <f>Д402[[#This Row],[Фикс 24.02.25]]+Д402[[#This Row],[Повышение 05.03.2025
1К: до 40м - 1,5%, 40+ 0,5%
2К - 0,5% ]]</f>
        <v>120019.7752</v>
      </c>
      <c r="AG257" s="10"/>
      <c r="AH257" s="10">
        <f>Д402[[#This Row],[Фикс 05.03.25]]+Д402[[#This Row],[повышение 14.03.25 1К-1%]]</f>
        <v>120019.7752</v>
      </c>
      <c r="AI257" s="10"/>
      <c r="AJ257" s="10">
        <f>Д402[[#This Row],[Фикс 14.03.25]]+Д402[[#This Row],[повышение 28.03.25 1К-1%]]</f>
        <v>120019.7752</v>
      </c>
      <c r="AK257" s="10"/>
      <c r="AL257" s="10">
        <f>Д402[[#This Row],[Фикс 28.03.25]]+Д402[[#This Row],[Повышение 23.07.25
1К 43-46м2 - 2%
2К 55-58 - 2%; 58-64 - 3%
3К 76-79 - 2%
]]</f>
        <v>120019.7752</v>
      </c>
      <c r="AM257" s="149">
        <f>ROUND(Д402[[#This Row],[Фикс 23.07.25]],2)</f>
        <v>120019.78</v>
      </c>
      <c r="AN257" s="149">
        <f>ROUNDUP(Д402[[#This Row],[утв цена м2]]*Д402[[#This Row],[Расчетная проектная площадь]],-2)</f>
        <v>6490700</v>
      </c>
      <c r="AO257" s="151"/>
      <c r="AP257" s="152">
        <v>0.03</v>
      </c>
      <c r="AQ257" s="151">
        <f>Д402[[#This Row],[Стоимость до скидки]]*Д402[[#This Row],[Скидка %]]+Д402[[#This Row],[Скидка фиксированная]]</f>
        <v>194721</v>
      </c>
      <c r="AR257" s="3">
        <f>Д402[[#This Row],[Стоимость ОН без отделки со скидкой]]/Д402[[#This Row],[Расчетная проектная площадь]]</f>
        <v>116419.7300295858</v>
      </c>
      <c r="AS257" s="3">
        <f>Д402[[#This Row],[Стоимость до скидки]]-Д402[[#This Row],[Итоговая сумма скидки]]</f>
        <v>6295979</v>
      </c>
      <c r="AT25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57" s="153"/>
      <c r="AV257" s="153"/>
      <c r="AW257" s="3">
        <f>Д402[[#This Row],[Цена м2 без отделки со скидкой]]+Д402[[#This Row],[Стоимость отделки]]</f>
        <v>116419.7300295858</v>
      </c>
      <c r="AX257" s="3">
        <f>Д402[[#This Row],[Стоимость квартиры с отделкой]]-Д402[[#This Row],[Стоимость ОН без отделки со скидкой]]</f>
        <v>0</v>
      </c>
      <c r="AY257" s="3">
        <f>Д402[[#This Row],[Цена м2 с отделкой]]*Д402[[#This Row],[Расчетная проектная площадь]]</f>
        <v>6295979</v>
      </c>
      <c r="AZ257" s="161" t="s">
        <v>133</v>
      </c>
      <c r="BA257" s="269" t="s">
        <v>426</v>
      </c>
      <c r="BB257" s="269" t="str" cm="1">
        <f t="array" ref="BB25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7" s="161" t="s">
        <v>741</v>
      </c>
      <c r="BD257" s="161" t="s">
        <v>506</v>
      </c>
      <c r="BE257" s="161" t="s">
        <v>737</v>
      </c>
      <c r="BF257" s="161" t="s">
        <v>744</v>
      </c>
      <c r="BG257" s="161" t="b">
        <f>EXACT(Д402[[#This Row],[Статусы CRM]],Д402[[#This Row],[Статус]])</f>
        <v>1</v>
      </c>
      <c r="BH257" s="3">
        <f>IF(Д402[[#This Row],[ПС]]=0,IF(Д402[[#This Row],[ДС]]=0,Д402[[#This Row],[ТС]],Д402[[#This Row],[ДС]]),Д402[[#This Row],[ПС]])</f>
        <v>6490700</v>
      </c>
      <c r="BI257" s="3" t="s">
        <v>749</v>
      </c>
      <c r="BJ257" s="3">
        <v>0</v>
      </c>
      <c r="BK257" s="3">
        <v>6490700</v>
      </c>
      <c r="BL257" s="273">
        <f>Д402[[#This Row],[Стоимость CRM]]-Д402[[#This Row],[Стоимость до скидки]]</f>
        <v>0</v>
      </c>
      <c r="BM257" s="161" t="s">
        <v>9</v>
      </c>
      <c r="BN257" s="161" t="b">
        <f>Д402[[#This Row],[Отделка CRM]]=Д402[[#This Row],[Отделка]]</f>
        <v>1</v>
      </c>
      <c r="BO257" s="275" t="s">
        <v>389</v>
      </c>
      <c r="BP257" s="69"/>
    </row>
    <row r="258" spans="1:68" ht="12" customHeight="1" x14ac:dyDescent="0.25">
      <c r="A258" s="140">
        <v>256</v>
      </c>
      <c r="B258" s="15">
        <v>3</v>
      </c>
      <c r="C258" s="141">
        <f t="shared" si="9"/>
        <v>14</v>
      </c>
      <c r="D258" s="142">
        <v>4</v>
      </c>
      <c r="E258" s="141">
        <v>2</v>
      </c>
      <c r="F258" s="143">
        <v>15.67</v>
      </c>
      <c r="G258" s="143">
        <v>12.94</v>
      </c>
      <c r="H258" s="143"/>
      <c r="I258" s="144">
        <f>SUM(Д402[[#This Row],[Комната 1]:[Комната 3]])</f>
        <v>28.61</v>
      </c>
      <c r="J258" s="145">
        <v>13.64</v>
      </c>
      <c r="K258" s="145">
        <v>4.16</v>
      </c>
      <c r="L258" s="145"/>
      <c r="M258" s="145">
        <v>7.7</v>
      </c>
      <c r="N258" s="145"/>
      <c r="O258" s="145">
        <v>3.23</v>
      </c>
      <c r="P258" s="146"/>
      <c r="Q258" s="146"/>
      <c r="R258" s="146">
        <f>SUM(Д402[[#This Row],[Лоджия 1]:[Лоджия 3]])</f>
        <v>3.23</v>
      </c>
      <c r="S258" s="10">
        <f>ROUND(SUM(Д402[[#This Row],[Площадь по проекту жилая]:[Лоджия 3]]),2)</f>
        <v>57.34</v>
      </c>
      <c r="T258" s="10">
        <f>ROUND(Д402[[#This Row],[Площадь по проекту(общая)]]-Д402[[#This Row],[Летние]],2)</f>
        <v>54.11</v>
      </c>
      <c r="U258" s="10">
        <f>ROUND(Д402[[#This Row],[Площадь по проекту(общая)]]-(SUM(Д402[[#This Row],[Лоджия 1]:[Лоджия 3]])/2),2)</f>
        <v>55.73</v>
      </c>
      <c r="V258" s="10">
        <f>VLOOKUP(Д402[[#This Row],[№]],наценка7[],COLUMN(наценка7[[#This Row],[Цена м2 с учетом всех K]]),0)</f>
        <v>117551.2</v>
      </c>
      <c r="W258" s="162">
        <f>2%*Д402[[#This Row],[м2 после К]]</f>
        <v>2351.0239999999999</v>
      </c>
      <c r="X258" s="10">
        <f>Д402[[#This Row],[м2 после К]]+Д402[[#This Row],[02.12.2024]]</f>
        <v>119902.224</v>
      </c>
      <c r="Y258" s="149">
        <v>1000</v>
      </c>
      <c r="Z258" s="10">
        <f>Д402[[#This Row],[Фикс 20.12.24]]+Д402[[#This Row],[23.12.24 СП +1000]]</f>
        <v>120902.224</v>
      </c>
      <c r="AA258" s="149">
        <v>215</v>
      </c>
      <c r="AB258" s="10">
        <f>Д402[[#This Row],[Фикс 23.12.24]]+Д402[[#This Row],[Повышение 20.02.25]]</f>
        <v>121117.224</v>
      </c>
      <c r="AC258" s="149">
        <v>17.5</v>
      </c>
      <c r="AD258" s="10">
        <f>Д402[[#This Row],[Фикс 20.02.25]]+Д402[[#This Row],[Повышение 24.02.2025]]</f>
        <v>121134.724</v>
      </c>
      <c r="AE258" s="149">
        <f>Д402[[#This Row],[Фикс 24.02.25]]*0.5%</f>
        <v>605.67362000000003</v>
      </c>
      <c r="AF258" s="10">
        <f>Д402[[#This Row],[Фикс 24.02.25]]+Д402[[#This Row],[Повышение 05.03.2025
1К: до 40м - 1,5%, 40+ 0,5%
2К - 0,5% ]]</f>
        <v>121740.39762</v>
      </c>
      <c r="AG258" s="10"/>
      <c r="AH258" s="10">
        <f>Д402[[#This Row],[Фикс 05.03.25]]+Д402[[#This Row],[повышение 14.03.25 1К-1%]]</f>
        <v>121740.39762</v>
      </c>
      <c r="AI258" s="10"/>
      <c r="AJ258" s="10">
        <f>Д402[[#This Row],[Фикс 14.03.25]]+Д402[[#This Row],[повышение 28.03.25 1К-1%]]</f>
        <v>121740.39762</v>
      </c>
      <c r="AK258" s="10"/>
      <c r="AL258" s="10">
        <f>Д402[[#This Row],[Фикс 28.03.25]]+Д402[[#This Row],[Повышение 23.07.25
1К 43-46м2 - 2%
2К 55-58 - 2%; 58-64 - 3%
3К 76-79 - 2%
]]</f>
        <v>121740.39762</v>
      </c>
      <c r="AM258" s="149">
        <f>ROUND(Д402[[#This Row],[Фикс 23.07.25]],2)</f>
        <v>121740.4</v>
      </c>
      <c r="AN258" s="149">
        <f>ROUNDUP(Д402[[#This Row],[утв цена м2]]*Д402[[#This Row],[Расчетная проектная площадь]],-2)</f>
        <v>6784600</v>
      </c>
      <c r="AO258" s="151"/>
      <c r="AP258" s="152"/>
      <c r="AQ258" s="151">
        <f>Д402[[#This Row],[Стоимость до скидки]]*Д402[[#This Row],[Скидка %]]+Д402[[#This Row],[Скидка фиксированная]]</f>
        <v>0</v>
      </c>
      <c r="AR258" s="3">
        <f>Д402[[#This Row],[Стоимость ОН без отделки со скидкой]]/Д402[[#This Row],[Расчетная проектная площадь]]</f>
        <v>121740.53472097614</v>
      </c>
      <c r="AS258" s="3">
        <f>Д402[[#This Row],[Стоимость до скидки]]-Д402[[#This Row],[Итоговая сумма скидки]]</f>
        <v>6784600</v>
      </c>
      <c r="AT25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58" s="153"/>
      <c r="AV258" s="153"/>
      <c r="AW258" s="3">
        <f>Д402[[#This Row],[Цена м2 без отделки со скидкой]]+Д402[[#This Row],[Стоимость отделки]]</f>
        <v>121740.53472097614</v>
      </c>
      <c r="AX258" s="3">
        <f>Д402[[#This Row],[Стоимость квартиры с отделкой]]-Д402[[#This Row],[Стоимость ОН без отделки со скидкой]]</f>
        <v>0</v>
      </c>
      <c r="AY258" s="3">
        <f>Д402[[#This Row],[Цена м2 с отделкой]]*Д402[[#This Row],[Расчетная проектная площадь]]</f>
        <v>6784600</v>
      </c>
      <c r="AZ258" s="161"/>
      <c r="BA258" s="269" t="s">
        <v>426</v>
      </c>
      <c r="BB258" s="269" t="str" cm="1">
        <f t="array" ref="BB25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58" s="161" t="s">
        <v>741</v>
      </c>
      <c r="BD258" s="161" t="s">
        <v>506</v>
      </c>
      <c r="BE258" s="161" t="s">
        <v>737</v>
      </c>
      <c r="BF258" s="161" t="s">
        <v>747</v>
      </c>
      <c r="BG258" s="161" t="b">
        <f>EXACT(Д402[[#This Row],[Статусы CRM]],Д402[[#This Row],[Статус]])</f>
        <v>1</v>
      </c>
      <c r="BH258" s="3">
        <f>IF(Д402[[#This Row],[ПС]]=0,IF(Д402[[#This Row],[ДС]]=0,Д402[[#This Row],[ТС]],Д402[[#This Row],[ДС]]),Д402[[#This Row],[ПС]])</f>
        <v>6784600</v>
      </c>
      <c r="BI258" s="3" t="s">
        <v>749</v>
      </c>
      <c r="BJ258" s="3">
        <v>0</v>
      </c>
      <c r="BK258" s="3">
        <v>6784600</v>
      </c>
      <c r="BL258" s="273">
        <f>Д402[[#This Row],[Стоимость CRM]]-Д402[[#This Row],[Стоимость до скидки]]</f>
        <v>0</v>
      </c>
      <c r="BM258" s="161" t="s">
        <v>9</v>
      </c>
      <c r="BN258" s="161" t="b">
        <f>Д402[[#This Row],[Отделка CRM]]=Д402[[#This Row],[Отделка]]</f>
        <v>1</v>
      </c>
      <c r="BO258" s="275" t="s">
        <v>390</v>
      </c>
      <c r="BP258" s="69"/>
    </row>
    <row r="259" spans="1:68" ht="12" customHeight="1" x14ac:dyDescent="0.25">
      <c r="A259" s="140">
        <v>257</v>
      </c>
      <c r="B259" s="15">
        <v>3</v>
      </c>
      <c r="C259" s="141">
        <f t="shared" si="9"/>
        <v>14</v>
      </c>
      <c r="D259" s="142">
        <v>5</v>
      </c>
      <c r="E259" s="141">
        <v>2</v>
      </c>
      <c r="F259" s="143">
        <v>18.350000000000001</v>
      </c>
      <c r="G259" s="143">
        <v>15.96</v>
      </c>
      <c r="H259" s="143"/>
      <c r="I259" s="144">
        <f>SUM(Д402[[#This Row],[Комната 1]:[Комната 3]])</f>
        <v>34.31</v>
      </c>
      <c r="J259" s="145">
        <v>11.11</v>
      </c>
      <c r="K259" s="145">
        <v>4.41</v>
      </c>
      <c r="L259" s="145"/>
      <c r="M259" s="145">
        <v>7.65</v>
      </c>
      <c r="N259" s="145"/>
      <c r="O259" s="145">
        <v>3.1</v>
      </c>
      <c r="P259" s="146"/>
      <c r="Q259" s="146"/>
      <c r="R259" s="146">
        <f>SUM(Д402[[#This Row],[Лоджия 1]:[Лоджия 3]])</f>
        <v>3.1</v>
      </c>
      <c r="S259" s="10">
        <f>ROUND(SUM(Д402[[#This Row],[Площадь по проекту жилая]:[Лоджия 3]]),2)</f>
        <v>60.58</v>
      </c>
      <c r="T259" s="10">
        <f>ROUND(Д402[[#This Row],[Площадь по проекту(общая)]]-Д402[[#This Row],[Летние]],2)</f>
        <v>57.48</v>
      </c>
      <c r="U259" s="10">
        <f>ROUND(Д402[[#This Row],[Площадь по проекту(общая)]]-(SUM(Д402[[#This Row],[Лоджия 1]:[Лоджия 3]])/2),2)</f>
        <v>59.03</v>
      </c>
      <c r="V259" s="10">
        <f>VLOOKUP(Д402[[#This Row],[№]],наценка7[],COLUMN(наценка7[[#This Row],[Цена м2 с учетом всех K]]),0)</f>
        <v>118681.5</v>
      </c>
      <c r="W259" s="162"/>
      <c r="X259" s="10">
        <f>Д402[[#This Row],[м2 после К]]+Д402[[#This Row],[02.12.2024]]</f>
        <v>118681.5</v>
      </c>
      <c r="Y259" s="149">
        <v>1000</v>
      </c>
      <c r="Z259" s="10">
        <f>Д402[[#This Row],[Фикс 20.12.24]]+Д402[[#This Row],[23.12.24 СП +1000]]</f>
        <v>119681.5</v>
      </c>
      <c r="AA259" s="149">
        <v>215</v>
      </c>
      <c r="AB259" s="10">
        <f>Д402[[#This Row],[Фикс 23.12.24]]+Д402[[#This Row],[Повышение 20.02.25]]</f>
        <v>119896.5</v>
      </c>
      <c r="AC259" s="149">
        <v>17.5</v>
      </c>
      <c r="AD259" s="10">
        <f>Д402[[#This Row],[Фикс 20.02.25]]+Д402[[#This Row],[Повышение 24.02.2025]]</f>
        <v>119914</v>
      </c>
      <c r="AE259" s="149">
        <f>Д402[[#This Row],[Фикс 24.02.25]]*0.5%</f>
        <v>599.57000000000005</v>
      </c>
      <c r="AF259" s="10">
        <f>Д402[[#This Row],[Фикс 24.02.25]]+Д402[[#This Row],[Повышение 05.03.2025
1К: до 40м - 1,5%, 40+ 0,5%
2К - 0,5% ]]</f>
        <v>120513.57</v>
      </c>
      <c r="AG259" s="10"/>
      <c r="AH259" s="10">
        <f>Д402[[#This Row],[Фикс 05.03.25]]+Д402[[#This Row],[повышение 14.03.25 1К-1%]]</f>
        <v>120513.57</v>
      </c>
      <c r="AI259" s="10"/>
      <c r="AJ259" s="10">
        <f>Д402[[#This Row],[Фикс 14.03.25]]+Д402[[#This Row],[повышение 28.03.25 1К-1%]]</f>
        <v>120513.57</v>
      </c>
      <c r="AK259" s="10">
        <f>Д402[[#This Row],[Фикс 28.03.25]]*3%</f>
        <v>3615.4070999999999</v>
      </c>
      <c r="AL259" s="10">
        <f>Д402[[#This Row],[Фикс 28.03.25]]+Д402[[#This Row],[Повышение 23.07.25
1К 43-46м2 - 2%
2К 55-58 - 2%; 58-64 - 3%
3К 76-79 - 2%
]]</f>
        <v>124128.9771</v>
      </c>
      <c r="AM259" s="149">
        <f>ROUND(Д402[[#This Row],[Фикс 23.07.25]],2)</f>
        <v>124128.98</v>
      </c>
      <c r="AN259" s="149">
        <f>ROUNDUP(Д402[[#This Row],[утв цена м2]]*Д402[[#This Row],[Расчетная проектная площадь]],-2)</f>
        <v>7327400</v>
      </c>
      <c r="AO259" s="151"/>
      <c r="AP259" s="152"/>
      <c r="AQ259" s="151">
        <f>Д402[[#This Row],[Стоимость до скидки]]*Д402[[#This Row],[Скидка %]]+Д402[[#This Row],[Скидка фиксированная]]</f>
        <v>0</v>
      </c>
      <c r="AR259" s="3">
        <f>Д402[[#This Row],[Стоимость ОН без отделки со скидкой]]/Д402[[#This Row],[Расчетная проектная площадь]]</f>
        <v>124130.10333728613</v>
      </c>
      <c r="AS259" s="3">
        <f>Д402[[#This Row],[Стоимость до скидки]]-Д402[[#This Row],[Итоговая сумма скидки]]</f>
        <v>7327400</v>
      </c>
      <c r="AT25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59" s="153"/>
      <c r="AV259" s="153"/>
      <c r="AW259" s="3">
        <f>Д402[[#This Row],[Цена м2 без отделки со скидкой]]+Д402[[#This Row],[Стоимость отделки]]</f>
        <v>124130.10333728613</v>
      </c>
      <c r="AX259" s="3">
        <f>Д402[[#This Row],[Стоимость квартиры с отделкой]]-Д402[[#This Row],[Стоимость ОН без отделки со скидкой]]</f>
        <v>0</v>
      </c>
      <c r="AY259" s="3">
        <f>Д402[[#This Row],[Цена м2 с отделкой]]*Д402[[#This Row],[Расчетная проектная площадь]]</f>
        <v>7327400</v>
      </c>
      <c r="AZ259" s="161"/>
      <c r="BA259" s="155" t="s">
        <v>12</v>
      </c>
      <c r="BB259" s="156" t="str" cm="1">
        <f t="array" ref="BB25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59" s="161" t="s">
        <v>738</v>
      </c>
      <c r="BD259" s="161" t="s">
        <v>739</v>
      </c>
      <c r="BE259" s="161" t="s">
        <v>737</v>
      </c>
      <c r="BF259" s="161" t="s">
        <v>747</v>
      </c>
      <c r="BG259" s="161" t="b">
        <f>EXACT(Д402[[#This Row],[Статусы CRM]],Д402[[#This Row],[Статус]])</f>
        <v>1</v>
      </c>
      <c r="BH259" s="3">
        <f>IF(Д402[[#This Row],[ПС]]=0,IF(Д402[[#This Row],[ДС]]=0,Д402[[#This Row],[ТС]],Д402[[#This Row],[ДС]]),Д402[[#This Row],[ПС]])</f>
        <v>7327400</v>
      </c>
      <c r="BI259" s="3">
        <v>7327400</v>
      </c>
      <c r="BJ259" s="3">
        <v>0</v>
      </c>
      <c r="BK259" s="3">
        <v>0</v>
      </c>
      <c r="BL259" s="273">
        <f>Д402[[#This Row],[Стоимость CRM]]-Д402[[#This Row],[Стоимость до скидки]]</f>
        <v>0</v>
      </c>
      <c r="BM259" s="161" t="s">
        <v>9</v>
      </c>
      <c r="BN259" s="161" t="b">
        <f>Д402[[#This Row],[Отделка CRM]]=Д402[[#This Row],[Отделка]]</f>
        <v>1</v>
      </c>
      <c r="BO259" s="275" t="s">
        <v>391</v>
      </c>
      <c r="BP259" s="69"/>
    </row>
    <row r="260" spans="1:68" ht="12" customHeight="1" x14ac:dyDescent="0.25">
      <c r="A260" s="140">
        <v>258</v>
      </c>
      <c r="B260" s="15">
        <v>3</v>
      </c>
      <c r="C260" s="141">
        <f t="shared" si="9"/>
        <v>14</v>
      </c>
      <c r="D260" s="142">
        <v>6</v>
      </c>
      <c r="E260" s="141">
        <v>0</v>
      </c>
      <c r="F260" s="143">
        <v>16.25</v>
      </c>
      <c r="G260" s="143"/>
      <c r="H260" s="143"/>
      <c r="I260" s="144">
        <f>SUM(Д402[[#This Row],[Комната 1]:[Комната 3]])</f>
        <v>16.25</v>
      </c>
      <c r="J260" s="145">
        <v>5</v>
      </c>
      <c r="K260" s="145">
        <v>3.97</v>
      </c>
      <c r="L260" s="145"/>
      <c r="M260" s="145">
        <v>4.21</v>
      </c>
      <c r="N260" s="145"/>
      <c r="O260" s="145"/>
      <c r="P260" s="146"/>
      <c r="Q260" s="146"/>
      <c r="R260" s="146">
        <f>SUM(Д402[[#This Row],[Лоджия 1]:[Лоджия 3]])</f>
        <v>0</v>
      </c>
      <c r="S260" s="10">
        <f>ROUND(SUM(Д402[[#This Row],[Площадь по проекту жилая]:[Лоджия 3]]),2)</f>
        <v>29.43</v>
      </c>
      <c r="T260" s="10">
        <f>ROUND(Д402[[#This Row],[Площадь по проекту(общая)]]-Д402[[#This Row],[Летние]],2)</f>
        <v>29.43</v>
      </c>
      <c r="U260" s="10">
        <f>ROUND(Д402[[#This Row],[Площадь по проекту(общая)]]-(SUM(Д402[[#This Row],[Лоджия 1]:[Лоджия 3]])/2),2)</f>
        <v>29.43</v>
      </c>
      <c r="V260" s="10">
        <f>VLOOKUP(Д402[[#This Row],[№]],наценка7[],COLUMN(наценка7[[#This Row],[Цена м2 с учетом всех K]]),0)</f>
        <v>138332.70000000001</v>
      </c>
      <c r="W260" s="162"/>
      <c r="X260" s="10">
        <f>Д402[[#This Row],[м2 после К]]+Д402[[#This Row],[02.12.2024]]</f>
        <v>138332.70000000001</v>
      </c>
      <c r="Y260" s="149">
        <v>1000</v>
      </c>
      <c r="Z260" s="10">
        <f>Д402[[#This Row],[Фикс 20.12.24]]+Д402[[#This Row],[23.12.24 СП +1000]]</f>
        <v>139332.70000000001</v>
      </c>
      <c r="AA260" s="149">
        <v>215</v>
      </c>
      <c r="AB260" s="10">
        <f>Д402[[#This Row],[Фикс 23.12.24]]+Д402[[#This Row],[Повышение 20.02.25]]</f>
        <v>139547.70000000001</v>
      </c>
      <c r="AC260" s="149">
        <v>17.5</v>
      </c>
      <c r="AD260" s="10">
        <f>Д402[[#This Row],[Фикс 20.02.25]]+Д402[[#This Row],[Повышение 24.02.2025]]</f>
        <v>139565.20000000001</v>
      </c>
      <c r="AE260" s="10"/>
      <c r="AF260" s="10">
        <f>Д402[[#This Row],[Фикс 24.02.25]]+Д402[[#This Row],[Повышение 05.03.2025
1К: до 40м - 1,5%, 40+ 0,5%
2К - 0,5% ]]</f>
        <v>139565.20000000001</v>
      </c>
      <c r="AG260" s="10"/>
      <c r="AH260" s="10">
        <f>Д402[[#This Row],[Фикс 05.03.25]]+Д402[[#This Row],[повышение 14.03.25 1К-1%]]</f>
        <v>139565.20000000001</v>
      </c>
      <c r="AI260" s="10"/>
      <c r="AJ260" s="10">
        <f>Д402[[#This Row],[Фикс 14.03.25]]+Д402[[#This Row],[повышение 28.03.25 1К-1%]]</f>
        <v>139565.20000000001</v>
      </c>
      <c r="AK260" s="10"/>
      <c r="AL260" s="10">
        <f>Д402[[#This Row],[Фикс 28.03.25]]+Д402[[#This Row],[Повышение 23.07.25
1К 43-46м2 - 2%
2К 55-58 - 2%; 58-64 - 3%
3К 76-79 - 2%
]]</f>
        <v>139565.20000000001</v>
      </c>
      <c r="AM260" s="149">
        <f>ROUND(Д402[[#This Row],[Фикс 23.07.25]],2)</f>
        <v>139565.20000000001</v>
      </c>
      <c r="AN260" s="149">
        <f>ROUNDUP(Д402[[#This Row],[утв цена м2]]*Д402[[#This Row],[Расчетная проектная площадь]],-2)</f>
        <v>4107500</v>
      </c>
      <c r="AO260" s="151"/>
      <c r="AP260" s="152"/>
      <c r="AQ260" s="151">
        <f>Д402[[#This Row],[Стоимость до скидки]]*Д402[[#This Row],[Скидка %]]+Д402[[#This Row],[Скидка фиксированная]]</f>
        <v>0</v>
      </c>
      <c r="AR260" s="3">
        <f>Д402[[#This Row],[Стоимость ОН без отделки со скидкой]]/Д402[[#This Row],[Расчетная проектная площадь]]</f>
        <v>139568.46755011892</v>
      </c>
      <c r="AS260" s="3">
        <f>Д402[[#This Row],[Стоимость до скидки]]-Д402[[#This Row],[Итоговая сумма скидки]]</f>
        <v>4107500</v>
      </c>
      <c r="AT26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0" s="153"/>
      <c r="AV260" s="153"/>
      <c r="AW260" s="3">
        <f>Д402[[#This Row],[Цена м2 без отделки со скидкой]]+Д402[[#This Row],[Стоимость отделки]]</f>
        <v>139568.46755011892</v>
      </c>
      <c r="AX260" s="3">
        <f>Д402[[#This Row],[Стоимость квартиры с отделкой]]-Д402[[#This Row],[Стоимость ОН без отделки со скидкой]]</f>
        <v>0</v>
      </c>
      <c r="AY260" s="3">
        <f>Д402[[#This Row],[Цена м2 с отделкой]]*Д402[[#This Row],[Расчетная проектная площадь]]</f>
        <v>4107499.9999999995</v>
      </c>
      <c r="AZ260" s="161"/>
      <c r="BA260" s="155" t="s">
        <v>12</v>
      </c>
      <c r="BB260" s="156" t="str" cm="1">
        <f t="array" ref="BB26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60" s="161" t="s">
        <v>738</v>
      </c>
      <c r="BD260" s="161" t="s">
        <v>739</v>
      </c>
      <c r="BE260" s="161" t="s">
        <v>737</v>
      </c>
      <c r="BF260" s="161" t="s">
        <v>743</v>
      </c>
      <c r="BG260" s="161" t="b">
        <f>EXACT(Д402[[#This Row],[Статусы CRM]],Д402[[#This Row],[Статус]])</f>
        <v>1</v>
      </c>
      <c r="BH260" s="3">
        <f>IF(Д402[[#This Row],[ПС]]=0,IF(Д402[[#This Row],[ДС]]=0,Д402[[#This Row],[ТС]],Д402[[#This Row],[ДС]]),Д402[[#This Row],[ПС]])</f>
        <v>4107500</v>
      </c>
      <c r="BI260" s="3">
        <v>4107500</v>
      </c>
      <c r="BJ260" s="3">
        <v>0</v>
      </c>
      <c r="BK260" s="3">
        <v>0</v>
      </c>
      <c r="BL260" s="273">
        <f>Д402[[#This Row],[Стоимость CRM]]-Д402[[#This Row],[Стоимость до скидки]]</f>
        <v>0</v>
      </c>
      <c r="BM260" s="161" t="s">
        <v>9</v>
      </c>
      <c r="BN260" s="161" t="b">
        <f>Д402[[#This Row],[Отделка CRM]]=Д402[[#This Row],[Отделка]]</f>
        <v>1</v>
      </c>
      <c r="BO260" s="275" t="s">
        <v>392</v>
      </c>
      <c r="BP260" s="69"/>
    </row>
    <row r="261" spans="1:68" ht="12" customHeight="1" x14ac:dyDescent="0.25">
      <c r="A261" s="140">
        <v>259</v>
      </c>
      <c r="B261" s="15">
        <v>3</v>
      </c>
      <c r="C261" s="141">
        <f t="shared" si="9"/>
        <v>15</v>
      </c>
      <c r="D261" s="142">
        <v>1</v>
      </c>
      <c r="E261" s="141">
        <v>1</v>
      </c>
      <c r="F261" s="143">
        <v>14.42</v>
      </c>
      <c r="G261" s="143"/>
      <c r="H261" s="143"/>
      <c r="I261" s="144">
        <f>SUM(Д402[[#This Row],[Комната 1]:[Комната 3]])</f>
        <v>14.42</v>
      </c>
      <c r="J261" s="145">
        <v>15.83</v>
      </c>
      <c r="K261" s="145">
        <v>4.09</v>
      </c>
      <c r="L261" s="145"/>
      <c r="M261" s="145">
        <v>8.0299999999999994</v>
      </c>
      <c r="N261" s="145"/>
      <c r="O261" s="145">
        <v>3.01</v>
      </c>
      <c r="P261" s="146"/>
      <c r="Q261" s="146"/>
      <c r="R261" s="146">
        <f>SUM(Д402[[#This Row],[Лоджия 1]:[Лоджия 3]])</f>
        <v>3.01</v>
      </c>
      <c r="S261" s="10">
        <f>ROUND(SUM(Д402[[#This Row],[Площадь по проекту жилая]:[Лоджия 3]]),2)</f>
        <v>45.38</v>
      </c>
      <c r="T261" s="10">
        <f>ROUND(Д402[[#This Row],[Площадь по проекту(общая)]]-Д402[[#This Row],[Летние]],2)</f>
        <v>42.37</v>
      </c>
      <c r="U261" s="10">
        <f>ROUND(Д402[[#This Row],[Площадь по проекту(общая)]]-(SUM(Д402[[#This Row],[Лоджия 1]:[Лоджия 3]])/2),2)</f>
        <v>43.88</v>
      </c>
      <c r="V261" s="10">
        <f>VLOOKUP(Д402[[#This Row],[№]],наценка7[],COLUMN(наценка7[[#This Row],[Цена м2 с учетом всех K]]),0)</f>
        <v>122837.8</v>
      </c>
      <c r="W261" s="159">
        <f>2%*Д402[[#This Row],[м2 после К]]</f>
        <v>2456.7560000000003</v>
      </c>
      <c r="X261" s="10">
        <f>Д402[[#This Row],[м2 после К]]+Д402[[#This Row],[02.12.2024]]</f>
        <v>125294.556</v>
      </c>
      <c r="Y261" s="149">
        <v>1000</v>
      </c>
      <c r="Z261" s="10">
        <f>Д402[[#This Row],[Фикс 20.12.24]]+Д402[[#This Row],[23.12.24 СП +1000]]</f>
        <v>126294.556</v>
      </c>
      <c r="AA261" s="149">
        <v>215</v>
      </c>
      <c r="AB261" s="10">
        <f>Д402[[#This Row],[Фикс 23.12.24]]+Д402[[#This Row],[Повышение 20.02.25]]</f>
        <v>126509.556</v>
      </c>
      <c r="AC261" s="149">
        <v>17.5</v>
      </c>
      <c r="AD261" s="10">
        <f>Д402[[#This Row],[Фикс 20.02.25]]+Д402[[#This Row],[Повышение 24.02.2025]]</f>
        <v>126527.056</v>
      </c>
      <c r="AE261" s="149">
        <f>Д402[[#This Row],[Фикс 24.02.25]]*0.5%</f>
        <v>632.63527999999997</v>
      </c>
      <c r="AF261" s="10">
        <f>Д402[[#This Row],[Фикс 24.02.25]]+Д402[[#This Row],[Повышение 05.03.2025
1К: до 40м - 1,5%, 40+ 0,5%
2К - 0,5% ]]</f>
        <v>127159.69128</v>
      </c>
      <c r="AG261" s="10"/>
      <c r="AH261" s="10">
        <f>Д402[[#This Row],[Фикс 05.03.25]]+Д402[[#This Row],[повышение 14.03.25 1К-1%]]</f>
        <v>127159.69128</v>
      </c>
      <c r="AI261" s="10"/>
      <c r="AJ261" s="10">
        <f>Д402[[#This Row],[Фикс 14.03.25]]+Д402[[#This Row],[повышение 28.03.25 1К-1%]]</f>
        <v>127159.69128</v>
      </c>
      <c r="AK261" s="10"/>
      <c r="AL261" s="10">
        <f>Д402[[#This Row],[Фикс 28.03.25]]+Д402[[#This Row],[Повышение 23.07.25
1К 43-46м2 - 2%
2К 55-58 - 2%; 58-64 - 3%
3К 76-79 - 2%
]]</f>
        <v>127159.69128</v>
      </c>
      <c r="AM261" s="149">
        <f>ROUND(Д402[[#This Row],[Фикс 23.07.25]],2)</f>
        <v>127159.69</v>
      </c>
      <c r="AN261" s="149">
        <f>ROUNDUP(Д402[[#This Row],[утв цена м2]]*Д402[[#This Row],[Расчетная проектная площадь]],-2)</f>
        <v>5579800</v>
      </c>
      <c r="AO261" s="151"/>
      <c r="AP261" s="152">
        <v>0.02</v>
      </c>
      <c r="AQ261" s="151">
        <f>Д402[[#This Row],[Стоимость до скидки]]*Д402[[#This Row],[Скидка %]]+Д402[[#This Row],[Скидка фиксированная]]</f>
        <v>111596</v>
      </c>
      <c r="AR261" s="3">
        <f>Д402[[#This Row],[Стоимость ОН без отделки со скидкой]]/Д402[[#This Row],[Расчетная проектная площадь]]</f>
        <v>124617.22880583409</v>
      </c>
      <c r="AS261" s="3">
        <f>Д402[[#This Row],[Стоимость до скидки]]-Д402[[#This Row],[Итоговая сумма скидки]]</f>
        <v>5468204</v>
      </c>
      <c r="AT26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1" s="153"/>
      <c r="AV261" s="153"/>
      <c r="AW261" s="3">
        <f>Д402[[#This Row],[Цена м2 без отделки со скидкой]]+Д402[[#This Row],[Стоимость отделки]]</f>
        <v>124617.22880583409</v>
      </c>
      <c r="AX261" s="3">
        <f>Д402[[#This Row],[Стоимость квартиры с отделкой]]-Д402[[#This Row],[Стоимость ОН без отделки со скидкой]]</f>
        <v>0</v>
      </c>
      <c r="AY261" s="3">
        <f>Д402[[#This Row],[Цена м2 с отделкой]]*Д402[[#This Row],[Расчетная проектная площадь]]</f>
        <v>5468204</v>
      </c>
      <c r="AZ261" s="161" t="s">
        <v>707</v>
      </c>
      <c r="BA261" s="277" t="s">
        <v>426</v>
      </c>
      <c r="BB261" s="269" t="str" cm="1">
        <f t="array" ref="BB26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61" s="161" t="s">
        <v>741</v>
      </c>
      <c r="BD261" s="161" t="s">
        <v>506</v>
      </c>
      <c r="BE261" s="161" t="s">
        <v>737</v>
      </c>
      <c r="BF261" s="161" t="s">
        <v>745</v>
      </c>
      <c r="BG261" s="161" t="b">
        <f>EXACT(Д402[[#This Row],[Статусы CRM]],Д402[[#This Row],[Статус]])</f>
        <v>1</v>
      </c>
      <c r="BH261" s="3">
        <f>IF(Д402[[#This Row],[ПС]]=0,IF(Д402[[#This Row],[ДС]]=0,Д402[[#This Row],[ТС]],Д402[[#This Row],[ДС]]),Д402[[#This Row],[ПС]])</f>
        <v>5579800</v>
      </c>
      <c r="BI261" s="3" t="s">
        <v>749</v>
      </c>
      <c r="BJ261" s="3">
        <v>0</v>
      </c>
      <c r="BK261" s="3">
        <v>5579800</v>
      </c>
      <c r="BL261" s="273">
        <f>Д402[[#This Row],[Стоимость CRM]]-Д402[[#This Row],[Стоимость до скидки]]</f>
        <v>0</v>
      </c>
      <c r="BM261" s="161" t="s">
        <v>9</v>
      </c>
      <c r="BN261" s="161" t="b">
        <f>Д402[[#This Row],[Отделка CRM]]=Д402[[#This Row],[Отделка]]</f>
        <v>1</v>
      </c>
      <c r="BO261" s="275" t="s">
        <v>393</v>
      </c>
      <c r="BP261" s="69"/>
    </row>
    <row r="262" spans="1:68" ht="12" customHeight="1" x14ac:dyDescent="0.25">
      <c r="A262" s="140">
        <v>260</v>
      </c>
      <c r="B262" s="15">
        <v>3</v>
      </c>
      <c r="C262" s="141">
        <f t="shared" si="9"/>
        <v>15</v>
      </c>
      <c r="D262" s="142">
        <v>2</v>
      </c>
      <c r="E262" s="141">
        <v>1</v>
      </c>
      <c r="F262" s="143">
        <v>12.76</v>
      </c>
      <c r="G262" s="143"/>
      <c r="H262" s="143"/>
      <c r="I262" s="144">
        <f>SUM(Д402[[#This Row],[Комната 1]:[Комната 3]])</f>
        <v>12.76</v>
      </c>
      <c r="J262" s="145">
        <v>14.81</v>
      </c>
      <c r="K262" s="145">
        <v>4.22</v>
      </c>
      <c r="L262" s="145"/>
      <c r="M262" s="145">
        <v>3.09</v>
      </c>
      <c r="N262" s="145"/>
      <c r="O262" s="145">
        <v>2.93</v>
      </c>
      <c r="P262" s="146"/>
      <c r="Q262" s="146"/>
      <c r="R262" s="146">
        <f>SUM(Д402[[#This Row],[Лоджия 1]:[Лоджия 3]])</f>
        <v>2.93</v>
      </c>
      <c r="S262" s="10">
        <f>ROUND(SUM(Д402[[#This Row],[Площадь по проекту жилая]:[Лоджия 3]]),2)</f>
        <v>37.81</v>
      </c>
      <c r="T262" s="10">
        <f>ROUND(Д402[[#This Row],[Площадь по проекту(общая)]]-Д402[[#This Row],[Летние]],2)</f>
        <v>34.880000000000003</v>
      </c>
      <c r="U262" s="10">
        <f>ROUND(Д402[[#This Row],[Площадь по проекту(общая)]]-(SUM(Д402[[#This Row],[Лоджия 1]:[Лоджия 3]])/2),2)</f>
        <v>36.35</v>
      </c>
      <c r="V262" s="10">
        <f>VLOOKUP(Д402[[#This Row],[№]],наценка7[],COLUMN(наценка7[[#This Row],[Цена м2 с учетом всех K]]),0)</f>
        <v>126415.6</v>
      </c>
      <c r="W262" s="159">
        <f>2%*Д402[[#This Row],[м2 после К]]</f>
        <v>2528.3120000000004</v>
      </c>
      <c r="X262" s="10">
        <f>Д402[[#This Row],[м2 после К]]+Д402[[#This Row],[02.12.2024]]</f>
        <v>128943.91200000001</v>
      </c>
      <c r="Y262" s="149">
        <v>1000</v>
      </c>
      <c r="Z262" s="10">
        <f>Д402[[#This Row],[Фикс 20.12.24]]+Д402[[#This Row],[23.12.24 СП +1000]]</f>
        <v>129943.91200000001</v>
      </c>
      <c r="AA262" s="149">
        <v>215</v>
      </c>
      <c r="AB262" s="10">
        <f>Д402[[#This Row],[Фикс 23.12.24]]+Д402[[#This Row],[Повышение 20.02.25]]</f>
        <v>130158.91200000001</v>
      </c>
      <c r="AC262" s="149">
        <v>17.5</v>
      </c>
      <c r="AD262" s="10">
        <f>Д402[[#This Row],[Фикс 20.02.25]]+Д402[[#This Row],[Повышение 24.02.2025]]</f>
        <v>130176.41200000001</v>
      </c>
      <c r="AE262" s="149">
        <f>Д402[[#This Row],[Фикс 24.02.25]]*1.5%</f>
        <v>1952.6461800000002</v>
      </c>
      <c r="AF262" s="10">
        <f>Д402[[#This Row],[Фикс 24.02.25]]+Д402[[#This Row],[Повышение 05.03.2025
1К: до 40м - 1,5%, 40+ 0,5%
2К - 0,5% ]]</f>
        <v>132129.05818000002</v>
      </c>
      <c r="AG262" s="149">
        <f>Д402[[#This Row],[Фикс 05.03.25]]*1%</f>
        <v>1321.2905818000002</v>
      </c>
      <c r="AH262" s="10">
        <f>Д402[[#This Row],[Фикс 05.03.25]]+Д402[[#This Row],[повышение 14.03.25 1К-1%]]</f>
        <v>133450.34876180004</v>
      </c>
      <c r="AI262" s="10"/>
      <c r="AJ262" s="10">
        <f>Д402[[#This Row],[Фикс 14.03.25]]+Д402[[#This Row],[повышение 28.03.25 1К-1%]]</f>
        <v>133450.34876180004</v>
      </c>
      <c r="AK262" s="10"/>
      <c r="AL262" s="10">
        <f>Д402[[#This Row],[Фикс 28.03.25]]+Д402[[#This Row],[Повышение 23.07.25
1К 43-46м2 - 2%
2К 55-58 - 2%; 58-64 - 3%
3К 76-79 - 2%
]]</f>
        <v>133450.34876180004</v>
      </c>
      <c r="AM262" s="149">
        <f>ROUND(Д402[[#This Row],[Фикс 23.07.25]],2)</f>
        <v>133450.35</v>
      </c>
      <c r="AN262" s="149">
        <f>ROUNDUP(Д402[[#This Row],[утв цена м2]]*Д402[[#This Row],[Расчетная проектная площадь]],-2)</f>
        <v>4851000</v>
      </c>
      <c r="AO262" s="151"/>
      <c r="AP262" s="152"/>
      <c r="AQ262" s="151">
        <f>Д402[[#This Row],[Стоимость до скидки]]*Д402[[#This Row],[Скидка %]]+Д402[[#This Row],[Скидка фиксированная]]</f>
        <v>0</v>
      </c>
      <c r="AR262" s="3">
        <f>Д402[[#This Row],[Стоимость ОН без отделки со скидкой]]/Д402[[#This Row],[Расчетная проектная площадь]]</f>
        <v>133452.54470426409</v>
      </c>
      <c r="AS262" s="3">
        <f>Д402[[#This Row],[Стоимость до скидки]]-Д402[[#This Row],[Итоговая сумма скидки]]</f>
        <v>4851000</v>
      </c>
      <c r="AT26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2" s="153"/>
      <c r="AV262" s="153"/>
      <c r="AW262" s="3">
        <f>Д402[[#This Row],[Цена м2 без отделки со скидкой]]+Д402[[#This Row],[Стоимость отделки]]</f>
        <v>133452.54470426409</v>
      </c>
      <c r="AX262" s="3">
        <f>Д402[[#This Row],[Стоимость квартиры с отделкой]]-Д402[[#This Row],[Стоимость ОН без отделки со скидкой]]</f>
        <v>0</v>
      </c>
      <c r="AY262" s="3">
        <f>Д402[[#This Row],[Цена м2 с отделкой]]*Д402[[#This Row],[Расчетная проектная площадь]]</f>
        <v>4851000</v>
      </c>
      <c r="AZ262" s="161"/>
      <c r="BA262" s="269" t="s">
        <v>426</v>
      </c>
      <c r="BB262" s="269" t="str" cm="1">
        <f t="array" ref="BB26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62" s="161" t="s">
        <v>741</v>
      </c>
      <c r="BD262" s="161" t="s">
        <v>506</v>
      </c>
      <c r="BE262" s="161" t="s">
        <v>737</v>
      </c>
      <c r="BF262" s="161" t="s">
        <v>745</v>
      </c>
      <c r="BG262" s="161" t="b">
        <f>EXACT(Д402[[#This Row],[Статусы CRM]],Д402[[#This Row],[Статус]])</f>
        <v>1</v>
      </c>
      <c r="BH262" s="3">
        <f>IF(Д402[[#This Row],[ПС]]=0,IF(Д402[[#This Row],[ДС]]=0,Д402[[#This Row],[ТС]],Д402[[#This Row],[ДС]]),Д402[[#This Row],[ПС]])</f>
        <v>4851000</v>
      </c>
      <c r="BI262" s="3" t="s">
        <v>749</v>
      </c>
      <c r="BJ262" s="3">
        <v>0</v>
      </c>
      <c r="BK262" s="3">
        <v>4851000</v>
      </c>
      <c r="BL262" s="273">
        <f>Д402[[#This Row],[Стоимость CRM]]-Д402[[#This Row],[Стоимость до скидки]]</f>
        <v>0</v>
      </c>
      <c r="BM262" s="161" t="s">
        <v>9</v>
      </c>
      <c r="BN262" s="161" t="b">
        <f>Д402[[#This Row],[Отделка CRM]]=Д402[[#This Row],[Отделка]]</f>
        <v>1</v>
      </c>
      <c r="BO262" s="275" t="s">
        <v>394</v>
      </c>
      <c r="BP262" s="69"/>
    </row>
    <row r="263" spans="1:68" ht="12" customHeight="1" x14ac:dyDescent="0.25">
      <c r="A263" s="140">
        <v>261</v>
      </c>
      <c r="B263" s="15">
        <v>3</v>
      </c>
      <c r="C263" s="141">
        <f t="shared" si="9"/>
        <v>15</v>
      </c>
      <c r="D263" s="142">
        <v>3</v>
      </c>
      <c r="E263" s="141">
        <v>2</v>
      </c>
      <c r="F263" s="143">
        <v>15.36</v>
      </c>
      <c r="G263" s="143">
        <v>11.95</v>
      </c>
      <c r="H263" s="143"/>
      <c r="I263" s="144">
        <f>SUM(Д402[[#This Row],[Комната 1]:[Комната 3]])</f>
        <v>27.31</v>
      </c>
      <c r="J263" s="145">
        <v>14.34</v>
      </c>
      <c r="K263" s="145">
        <v>4.21</v>
      </c>
      <c r="L263" s="145"/>
      <c r="M263" s="145">
        <v>6.6</v>
      </c>
      <c r="N263" s="145"/>
      <c r="O263" s="145">
        <v>3.23</v>
      </c>
      <c r="P263" s="146"/>
      <c r="Q263" s="146"/>
      <c r="R263" s="146">
        <f>SUM(Д402[[#This Row],[Лоджия 1]:[Лоджия 3]])</f>
        <v>3.23</v>
      </c>
      <c r="S263" s="10">
        <f>ROUND(SUM(Д402[[#This Row],[Площадь по проекту жилая]:[Лоджия 3]]),2)</f>
        <v>55.69</v>
      </c>
      <c r="T263" s="10">
        <f>ROUND(Д402[[#This Row],[Площадь по проекту(общая)]]-Д402[[#This Row],[Летние]],2)</f>
        <v>52.46</v>
      </c>
      <c r="U263" s="10">
        <f>ROUND(Д402[[#This Row],[Площадь по проекту(общая)]]-(SUM(Д402[[#This Row],[Лоджия 1]:[Лоджия 3]])/2),2)</f>
        <v>54.08</v>
      </c>
      <c r="V263" s="10">
        <f>VLOOKUP(Д402[[#This Row],[№]],наценка7[],COLUMN(наценка7[[#This Row],[Цена м2 с учетом всех K]]),0)</f>
        <v>119811.8</v>
      </c>
      <c r="W263" s="162">
        <f>0.021*Д402[[#This Row],[м2 после К]]</f>
        <v>2516.0478000000003</v>
      </c>
      <c r="X263" s="10">
        <f>Д402[[#This Row],[м2 после К]]+Д402[[#This Row],[02.12.2024]]</f>
        <v>122327.8478</v>
      </c>
      <c r="Y263" s="149">
        <v>1000</v>
      </c>
      <c r="Z263" s="10">
        <f>Д402[[#This Row],[Фикс 20.12.24]]+Д402[[#This Row],[23.12.24 СП +1000]]</f>
        <v>123327.8478</v>
      </c>
      <c r="AA263" s="10"/>
      <c r="AB263" s="10">
        <f>Д402[[#This Row],[Фикс 23.12.24]]+Д402[[#This Row],[Повышение 20.02.25]]</f>
        <v>123327.8478</v>
      </c>
      <c r="AC263" s="10"/>
      <c r="AD263" s="10">
        <f>Д402[[#This Row],[Фикс 20.02.25]]+Д402[[#This Row],[Повышение 24.02.2025]]</f>
        <v>123327.8478</v>
      </c>
      <c r="AE263" s="10"/>
      <c r="AF263" s="10">
        <f>Д402[[#This Row],[Фикс 24.02.25]]+Д402[[#This Row],[Повышение 05.03.2025
1К: до 40м - 1,5%, 40+ 0,5%
2К - 0,5% ]]</f>
        <v>123327.8478</v>
      </c>
      <c r="AG263" s="10"/>
      <c r="AH263" s="10">
        <f>Д402[[#This Row],[Фикс 05.03.25]]+Д402[[#This Row],[повышение 14.03.25 1К-1%]]</f>
        <v>123327.8478</v>
      </c>
      <c r="AI263" s="10"/>
      <c r="AJ263" s="10">
        <f>Д402[[#This Row],[Фикс 14.03.25]]+Д402[[#This Row],[повышение 28.03.25 1К-1%]]</f>
        <v>123327.8478</v>
      </c>
      <c r="AK263" s="10"/>
      <c r="AL263" s="10">
        <f>Д402[[#This Row],[Фикс 28.03.25]]+Д402[[#This Row],[Повышение 23.07.25
1К 43-46м2 - 2%
2К 55-58 - 2%; 58-64 - 3%
3К 76-79 - 2%
]]</f>
        <v>123327.8478</v>
      </c>
      <c r="AM263" s="149">
        <f>ROUND(Д402[[#This Row],[Фикс 23.07.25]],2)</f>
        <v>123327.85</v>
      </c>
      <c r="AN263" s="149">
        <f>ROUNDUP(Д402[[#This Row],[утв цена м2]]*Д402[[#This Row],[Расчетная проектная площадь]],-2)</f>
        <v>6669600</v>
      </c>
      <c r="AO263" s="151"/>
      <c r="AP263" s="152">
        <v>0.03</v>
      </c>
      <c r="AQ263" s="151">
        <f>Д402[[#This Row],[Стоимость до скидки]]*Д402[[#This Row],[Скидка %]]+Д402[[#This Row],[Скидка фиксированная]]</f>
        <v>200088</v>
      </c>
      <c r="AR263" s="3">
        <f>Д402[[#This Row],[Стоимость ОН без отделки со скидкой]]/Д402[[#This Row],[Расчетная проектная площадь]]</f>
        <v>119628.55029585799</v>
      </c>
      <c r="AS263" s="3">
        <f>Д402[[#This Row],[Стоимость до скидки]]-Д402[[#This Row],[Итоговая сумма скидки]]</f>
        <v>6469512</v>
      </c>
      <c r="AT26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3" s="153"/>
      <c r="AV263" s="153"/>
      <c r="AW263" s="3">
        <f>Д402[[#This Row],[Цена м2 без отделки со скидкой]]+Д402[[#This Row],[Стоимость отделки]]</f>
        <v>119628.55029585799</v>
      </c>
      <c r="AX263" s="3">
        <f>Д402[[#This Row],[Стоимость квартиры с отделкой]]-Д402[[#This Row],[Стоимость ОН без отделки со скидкой]]</f>
        <v>0</v>
      </c>
      <c r="AY263" s="3">
        <f>Д402[[#This Row],[Цена м2 с отделкой]]*Д402[[#This Row],[Расчетная проектная площадь]]</f>
        <v>6469512</v>
      </c>
      <c r="AZ263" s="161" t="s">
        <v>133</v>
      </c>
      <c r="BA263" s="269" t="s">
        <v>426</v>
      </c>
      <c r="BB263" s="269" t="str" cm="1">
        <f t="array" ref="BB26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63" s="161" t="s">
        <v>741</v>
      </c>
      <c r="BD263" s="161" t="s">
        <v>506</v>
      </c>
      <c r="BE263" s="161" t="s">
        <v>737</v>
      </c>
      <c r="BF263" s="161" t="s">
        <v>744</v>
      </c>
      <c r="BG263" s="161" t="b">
        <f>EXACT(Д402[[#This Row],[Статусы CRM]],Д402[[#This Row],[Статус]])</f>
        <v>1</v>
      </c>
      <c r="BH263" s="3">
        <f>IF(Д402[[#This Row],[ПС]]=0,IF(Д402[[#This Row],[ДС]]=0,Д402[[#This Row],[ТС]],Д402[[#This Row],[ДС]]),Д402[[#This Row],[ПС]])</f>
        <v>6669600</v>
      </c>
      <c r="BI263" s="3" t="s">
        <v>749</v>
      </c>
      <c r="BJ263" s="3">
        <v>0</v>
      </c>
      <c r="BK263" s="3">
        <v>6669600</v>
      </c>
      <c r="BL263" s="273">
        <f>Д402[[#This Row],[Стоимость CRM]]-Д402[[#This Row],[Стоимость до скидки]]</f>
        <v>0</v>
      </c>
      <c r="BM263" s="161" t="s">
        <v>9</v>
      </c>
      <c r="BN263" s="161" t="b">
        <f>Д402[[#This Row],[Отделка CRM]]=Д402[[#This Row],[Отделка]]</f>
        <v>1</v>
      </c>
      <c r="BO263" s="275" t="s">
        <v>395</v>
      </c>
      <c r="BP263" s="69"/>
    </row>
    <row r="264" spans="1:68" ht="12" customHeight="1" x14ac:dyDescent="0.25">
      <c r="A264" s="140">
        <v>262</v>
      </c>
      <c r="B264" s="15">
        <v>3</v>
      </c>
      <c r="C264" s="141">
        <f t="shared" si="9"/>
        <v>15</v>
      </c>
      <c r="D264" s="142">
        <v>4</v>
      </c>
      <c r="E264" s="141">
        <v>2</v>
      </c>
      <c r="F264" s="143">
        <v>15.67</v>
      </c>
      <c r="G264" s="143">
        <v>12.94</v>
      </c>
      <c r="H264" s="143"/>
      <c r="I264" s="144">
        <f>SUM(Д402[[#This Row],[Комната 1]:[Комната 3]])</f>
        <v>28.61</v>
      </c>
      <c r="J264" s="145">
        <v>13.64</v>
      </c>
      <c r="K264" s="145">
        <v>4.16</v>
      </c>
      <c r="L264" s="145"/>
      <c r="M264" s="145">
        <v>7.7</v>
      </c>
      <c r="N264" s="145"/>
      <c r="O264" s="145">
        <v>3.23</v>
      </c>
      <c r="P264" s="146"/>
      <c r="Q264" s="146"/>
      <c r="R264" s="146">
        <f>SUM(Д402[[#This Row],[Лоджия 1]:[Лоджия 3]])</f>
        <v>3.23</v>
      </c>
      <c r="S264" s="10">
        <f>ROUND(SUM(Д402[[#This Row],[Площадь по проекту жилая]:[Лоджия 3]]),2)</f>
        <v>57.34</v>
      </c>
      <c r="T264" s="10">
        <f>ROUND(Д402[[#This Row],[Площадь по проекту(общая)]]-Д402[[#This Row],[Летние]],2)</f>
        <v>54.11</v>
      </c>
      <c r="U264" s="10">
        <f>ROUND(Д402[[#This Row],[Площадь по проекту(общая)]]-(SUM(Д402[[#This Row],[Лоджия 1]:[Лоджия 3]])/2),2)</f>
        <v>55.73</v>
      </c>
      <c r="V264" s="10">
        <f>VLOOKUP(Д402[[#This Row],[№]],наценка7[],COLUMN(наценка7[[#This Row],[Цена м2 с учетом всех K]]),0)</f>
        <v>119811.8</v>
      </c>
      <c r="W264" s="162">
        <f>2%*Д402[[#This Row],[м2 после К]]</f>
        <v>2396.2360000000003</v>
      </c>
      <c r="X264" s="10">
        <f>Д402[[#This Row],[м2 после К]]+Д402[[#This Row],[02.12.2024]]</f>
        <v>122208.03600000001</v>
      </c>
      <c r="Y264" s="149">
        <v>1000</v>
      </c>
      <c r="Z264" s="10">
        <f>Д402[[#This Row],[Фикс 20.12.24]]+Д402[[#This Row],[23.12.24 СП +1000]]</f>
        <v>123208.03600000001</v>
      </c>
      <c r="AA264" s="149">
        <v>215</v>
      </c>
      <c r="AB264" s="10">
        <f>Д402[[#This Row],[Фикс 23.12.24]]+Д402[[#This Row],[Повышение 20.02.25]]</f>
        <v>123423.03600000001</v>
      </c>
      <c r="AC264" s="149">
        <v>17.5</v>
      </c>
      <c r="AD264" s="10">
        <f>Д402[[#This Row],[Фикс 20.02.25]]+Д402[[#This Row],[Повышение 24.02.2025]]</f>
        <v>123440.53600000001</v>
      </c>
      <c r="AE264" s="149">
        <f>Д402[[#This Row],[Фикс 24.02.25]]*0.5%</f>
        <v>617.2026800000001</v>
      </c>
      <c r="AF264" s="10">
        <f>Д402[[#This Row],[Фикс 24.02.25]]+Д402[[#This Row],[Повышение 05.03.2025
1К: до 40м - 1,5%, 40+ 0,5%
2К - 0,5% ]]</f>
        <v>124057.73868000001</v>
      </c>
      <c r="AG264" s="10"/>
      <c r="AH264" s="10">
        <f>Д402[[#This Row],[Фикс 05.03.25]]+Д402[[#This Row],[повышение 14.03.25 1К-1%]]</f>
        <v>124057.73868000001</v>
      </c>
      <c r="AI264" s="10"/>
      <c r="AJ264" s="10">
        <f>Д402[[#This Row],[Фикс 14.03.25]]+Д402[[#This Row],[повышение 28.03.25 1К-1%]]</f>
        <v>124057.73868000001</v>
      </c>
      <c r="AK264" s="149">
        <f>Д402[[#This Row],[Фикс 28.03.25]]*2%</f>
        <v>2481.1547736000002</v>
      </c>
      <c r="AL264" s="10">
        <f>Д402[[#This Row],[Фикс 28.03.25]]+Д402[[#This Row],[Повышение 23.07.25
1К 43-46м2 - 2%
2К 55-58 - 2%; 58-64 - 3%
3К 76-79 - 2%
]]</f>
        <v>126538.89345360002</v>
      </c>
      <c r="AM264" s="149">
        <f>ROUND(Д402[[#This Row],[Фикс 23.07.25]],2)</f>
        <v>126538.89</v>
      </c>
      <c r="AN264" s="149">
        <f>ROUNDUP(Д402[[#This Row],[утв цена м2]]*Д402[[#This Row],[Расчетная проектная площадь]],-2)</f>
        <v>7052100</v>
      </c>
      <c r="AO264" s="151"/>
      <c r="AP264" s="152"/>
      <c r="AQ264" s="151">
        <f>Д402[[#This Row],[Стоимость до скидки]]*Д402[[#This Row],[Скидка %]]+Д402[[#This Row],[Скидка фиксированная]]</f>
        <v>0</v>
      </c>
      <c r="AR264" s="3">
        <f>Д402[[#This Row],[Стоимость ОН без отделки со скидкой]]/Д402[[#This Row],[Расчетная проектная площадь]]</f>
        <v>126540.46294634847</v>
      </c>
      <c r="AS264" s="3">
        <f>Д402[[#This Row],[Стоимость до скидки]]-Д402[[#This Row],[Итоговая сумма скидки]]</f>
        <v>7052100</v>
      </c>
      <c r="AT26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4" s="153"/>
      <c r="AV264" s="153"/>
      <c r="AW264" s="3">
        <f>Д402[[#This Row],[Цена м2 без отделки со скидкой]]+Д402[[#This Row],[Стоимость отделки]]</f>
        <v>126540.46294634847</v>
      </c>
      <c r="AX264" s="3">
        <f>Д402[[#This Row],[Стоимость квартиры с отделкой]]-Д402[[#This Row],[Стоимость ОН без отделки со скидкой]]</f>
        <v>0</v>
      </c>
      <c r="AY264" s="3">
        <f>Д402[[#This Row],[Цена м2 с отделкой]]*Д402[[#This Row],[Расчетная проектная площадь]]</f>
        <v>7052100</v>
      </c>
      <c r="AZ264" s="161"/>
      <c r="BA264" s="269" t="s">
        <v>12</v>
      </c>
      <c r="BB264" s="269" t="str" cm="1">
        <f t="array" ref="BB26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64" s="161" t="s">
        <v>738</v>
      </c>
      <c r="BD264" s="161" t="s">
        <v>739</v>
      </c>
      <c r="BE264" s="161" t="s">
        <v>737</v>
      </c>
      <c r="BF264" s="161" t="s">
        <v>747</v>
      </c>
      <c r="BG264" s="161" t="b">
        <f>EXACT(Д402[[#This Row],[Статусы CRM]],Д402[[#This Row],[Статус]])</f>
        <v>1</v>
      </c>
      <c r="BH264" s="3">
        <f>IF(Д402[[#This Row],[ПС]]=0,IF(Д402[[#This Row],[ДС]]=0,Д402[[#This Row],[ТС]],Д402[[#This Row],[ДС]]),Д402[[#This Row],[ПС]])</f>
        <v>7052100</v>
      </c>
      <c r="BI264" s="3">
        <v>7052100</v>
      </c>
      <c r="BJ264" s="3">
        <v>0</v>
      </c>
      <c r="BK264" s="3">
        <v>0</v>
      </c>
      <c r="BL264" s="273">
        <f>Д402[[#This Row],[Стоимость CRM]]-Д402[[#This Row],[Стоимость до скидки]]</f>
        <v>0</v>
      </c>
      <c r="BM264" s="161" t="s">
        <v>9</v>
      </c>
      <c r="BN264" s="161" t="b">
        <f>Д402[[#This Row],[Отделка CRM]]=Д402[[#This Row],[Отделка]]</f>
        <v>1</v>
      </c>
      <c r="BO264" s="275" t="s">
        <v>396</v>
      </c>
      <c r="BP264" s="69"/>
    </row>
    <row r="265" spans="1:68" ht="12" customHeight="1" x14ac:dyDescent="0.25">
      <c r="A265" s="140">
        <v>263</v>
      </c>
      <c r="B265" s="15">
        <v>3</v>
      </c>
      <c r="C265" s="141">
        <f t="shared" si="9"/>
        <v>15</v>
      </c>
      <c r="D265" s="142">
        <v>5</v>
      </c>
      <c r="E265" s="141">
        <v>2</v>
      </c>
      <c r="F265" s="143">
        <v>18.350000000000001</v>
      </c>
      <c r="G265" s="143">
        <v>15.96</v>
      </c>
      <c r="H265" s="143"/>
      <c r="I265" s="144">
        <f>SUM(Д402[[#This Row],[Комната 1]:[Комната 3]])</f>
        <v>34.31</v>
      </c>
      <c r="J265" s="145">
        <v>11.11</v>
      </c>
      <c r="K265" s="145">
        <v>4.41</v>
      </c>
      <c r="L265" s="145"/>
      <c r="M265" s="145">
        <v>7.65</v>
      </c>
      <c r="N265" s="145"/>
      <c r="O265" s="145">
        <v>3.1</v>
      </c>
      <c r="P265" s="146"/>
      <c r="Q265" s="146"/>
      <c r="R265" s="146">
        <f>SUM(Д402[[#This Row],[Лоджия 1]:[Лоджия 3]])</f>
        <v>3.1</v>
      </c>
      <c r="S265" s="10">
        <f>ROUND(SUM(Д402[[#This Row],[Площадь по проекту жилая]:[Лоджия 3]]),2)</f>
        <v>60.58</v>
      </c>
      <c r="T265" s="10">
        <f>ROUND(Д402[[#This Row],[Площадь по проекту(общая)]]-Д402[[#This Row],[Летние]],2)</f>
        <v>57.48</v>
      </c>
      <c r="U265" s="10">
        <f>ROUND(Д402[[#This Row],[Площадь по проекту(общая)]]-(SUM(Д402[[#This Row],[Лоджия 1]:[Лоджия 3]])/2),2)</f>
        <v>59.03</v>
      </c>
      <c r="V265" s="10">
        <f>VLOOKUP(Д402[[#This Row],[№]],наценка7[],COLUMN(наценка7[[#This Row],[Цена м2 с учетом всех K]]),0)</f>
        <v>118681.5</v>
      </c>
      <c r="W265" s="162"/>
      <c r="X265" s="10">
        <f>Д402[[#This Row],[м2 после К]]+Д402[[#This Row],[02.12.2024]]</f>
        <v>118681.5</v>
      </c>
      <c r="Y265" s="149">
        <v>1000</v>
      </c>
      <c r="Z265" s="10">
        <f>Д402[[#This Row],[Фикс 20.12.24]]+Д402[[#This Row],[23.12.24 СП +1000]]</f>
        <v>119681.5</v>
      </c>
      <c r="AA265" s="149">
        <v>215</v>
      </c>
      <c r="AB265" s="10">
        <f>Д402[[#This Row],[Фикс 23.12.24]]+Д402[[#This Row],[Повышение 20.02.25]]</f>
        <v>119896.5</v>
      </c>
      <c r="AC265" s="149">
        <v>17.5</v>
      </c>
      <c r="AD265" s="10">
        <f>Д402[[#This Row],[Фикс 20.02.25]]+Д402[[#This Row],[Повышение 24.02.2025]]</f>
        <v>119914</v>
      </c>
      <c r="AE265" s="149">
        <f>Д402[[#This Row],[Фикс 24.02.25]]*0.5%</f>
        <v>599.57000000000005</v>
      </c>
      <c r="AF265" s="10">
        <f>Д402[[#This Row],[Фикс 24.02.25]]+Д402[[#This Row],[Повышение 05.03.2025
1К: до 40м - 1,5%, 40+ 0,5%
2К - 0,5% ]]</f>
        <v>120513.57</v>
      </c>
      <c r="AG265" s="10"/>
      <c r="AH265" s="10">
        <f>Д402[[#This Row],[Фикс 05.03.25]]+Д402[[#This Row],[повышение 14.03.25 1К-1%]]</f>
        <v>120513.57</v>
      </c>
      <c r="AI265" s="10"/>
      <c r="AJ265" s="10">
        <f>Д402[[#This Row],[Фикс 14.03.25]]+Д402[[#This Row],[повышение 28.03.25 1К-1%]]</f>
        <v>120513.57</v>
      </c>
      <c r="AK265" s="10">
        <f>Д402[[#This Row],[Фикс 28.03.25]]*3%</f>
        <v>3615.4070999999999</v>
      </c>
      <c r="AL265" s="10">
        <f>Д402[[#This Row],[Фикс 28.03.25]]+Д402[[#This Row],[Повышение 23.07.25
1К 43-46м2 - 2%
2К 55-58 - 2%; 58-64 - 3%
3К 76-79 - 2%
]]</f>
        <v>124128.9771</v>
      </c>
      <c r="AM265" s="149">
        <f>ROUND(Д402[[#This Row],[Фикс 23.07.25]],2)</f>
        <v>124128.98</v>
      </c>
      <c r="AN265" s="149">
        <f>ROUNDUP(Д402[[#This Row],[утв цена м2]]*Д402[[#This Row],[Расчетная проектная площадь]],-2)</f>
        <v>7327400</v>
      </c>
      <c r="AO265" s="151"/>
      <c r="AP265" s="152"/>
      <c r="AQ265" s="151">
        <f>Д402[[#This Row],[Стоимость до скидки]]*Д402[[#This Row],[Скидка %]]+Д402[[#This Row],[Скидка фиксированная]]</f>
        <v>0</v>
      </c>
      <c r="AR265" s="3">
        <f>Д402[[#This Row],[Стоимость ОН без отделки со скидкой]]/Д402[[#This Row],[Расчетная проектная площадь]]</f>
        <v>124130.10333728613</v>
      </c>
      <c r="AS265" s="3">
        <f>Д402[[#This Row],[Стоимость до скидки]]-Д402[[#This Row],[Итоговая сумма скидки]]</f>
        <v>7327400</v>
      </c>
      <c r="AT26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65" s="153">
        <v>30000</v>
      </c>
      <c r="AV265" s="153" t="s">
        <v>722</v>
      </c>
      <c r="AW265" s="3">
        <f>Д402[[#This Row],[Цена м2 без отделки со скидкой]]+Д402[[#This Row],[Стоимость отделки]]</f>
        <v>154130.10333728613</v>
      </c>
      <c r="AX265" s="3">
        <f>Д402[[#This Row],[Стоимость квартиры с отделкой]]-Д402[[#This Row],[Стоимость ОН без отделки со скидкой]]</f>
        <v>1770900</v>
      </c>
      <c r="AY265" s="3">
        <f>Д402[[#This Row],[Цена м2 с отделкой]]*Д402[[#This Row],[Расчетная проектная площадь]]</f>
        <v>9098300</v>
      </c>
      <c r="AZ265" s="161"/>
      <c r="BA265" s="155" t="s">
        <v>12</v>
      </c>
      <c r="BB265" s="156" t="str" cm="1">
        <f t="array" ref="BB26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65" s="161" t="s">
        <v>738</v>
      </c>
      <c r="BD265" s="161" t="s">
        <v>739</v>
      </c>
      <c r="BE265" s="161" t="s">
        <v>737</v>
      </c>
      <c r="BF265" s="161" t="s">
        <v>747</v>
      </c>
      <c r="BG265" s="161" t="b">
        <f>EXACT(Д402[[#This Row],[Статусы CRM]],Д402[[#This Row],[Статус]])</f>
        <v>1</v>
      </c>
      <c r="BH265" s="3">
        <f>IF(Д402[[#This Row],[ПС]]=0,IF(Д402[[#This Row],[ДС]]=0,Д402[[#This Row],[ТС]],Д402[[#This Row],[ДС]]),Д402[[#This Row],[ПС]])</f>
        <v>7327400</v>
      </c>
      <c r="BI265" s="3">
        <v>7327400</v>
      </c>
      <c r="BJ265" s="3">
        <v>0</v>
      </c>
      <c r="BK265" s="3">
        <v>0</v>
      </c>
      <c r="BL265" s="273">
        <f>Д402[[#This Row],[Стоимость CRM]]-Д402[[#This Row],[Стоимость до скидки]]</f>
        <v>0</v>
      </c>
      <c r="BM265" s="161" t="s">
        <v>11</v>
      </c>
      <c r="BN265" s="161" t="b">
        <f>Д402[[#This Row],[Отделка CRM]]=Д402[[#This Row],[Отделка]]</f>
        <v>1</v>
      </c>
      <c r="BO265" s="275" t="s">
        <v>397</v>
      </c>
      <c r="BP265" s="69"/>
    </row>
    <row r="266" spans="1:68" ht="12" customHeight="1" x14ac:dyDescent="0.25">
      <c r="A266" s="140">
        <v>264</v>
      </c>
      <c r="B266" s="15">
        <v>3</v>
      </c>
      <c r="C266" s="141">
        <f t="shared" si="9"/>
        <v>15</v>
      </c>
      <c r="D266" s="142">
        <v>6</v>
      </c>
      <c r="E266" s="141">
        <v>0</v>
      </c>
      <c r="F266" s="143">
        <v>16.25</v>
      </c>
      <c r="G266" s="143"/>
      <c r="H266" s="143"/>
      <c r="I266" s="144">
        <f>SUM(Д402[[#This Row],[Комната 1]:[Комната 3]])</f>
        <v>16.25</v>
      </c>
      <c r="J266" s="145">
        <v>5</v>
      </c>
      <c r="K266" s="145">
        <v>3.97</v>
      </c>
      <c r="L266" s="145"/>
      <c r="M266" s="145">
        <v>4.21</v>
      </c>
      <c r="N266" s="145"/>
      <c r="O266" s="145"/>
      <c r="P266" s="146"/>
      <c r="Q266" s="146"/>
      <c r="R266" s="146">
        <f>SUM(Д402[[#This Row],[Лоджия 1]:[Лоджия 3]])</f>
        <v>0</v>
      </c>
      <c r="S266" s="10">
        <f>ROUND(SUM(Д402[[#This Row],[Площадь по проекту жилая]:[Лоджия 3]]),2)</f>
        <v>29.43</v>
      </c>
      <c r="T266" s="10">
        <f>ROUND(Д402[[#This Row],[Площадь по проекту(общая)]]-Д402[[#This Row],[Летние]],2)</f>
        <v>29.43</v>
      </c>
      <c r="U266" s="10">
        <f>ROUND(Д402[[#This Row],[Площадь по проекту(общая)]]-(SUM(Д402[[#This Row],[Лоджия 1]:[Лоджия 3]])/2),2)</f>
        <v>29.43</v>
      </c>
      <c r="V266" s="10">
        <f>VLOOKUP(Д402[[#This Row],[№]],наценка7[],COLUMN(наценка7[[#This Row],[Цена м2 с учетом всех K]]),0)</f>
        <v>136935.4</v>
      </c>
      <c r="W266" s="162"/>
      <c r="X266" s="10">
        <f>Д402[[#This Row],[м2 после К]]+Д402[[#This Row],[02.12.2024]]</f>
        <v>136935.4</v>
      </c>
      <c r="Y266" s="149">
        <v>1000</v>
      </c>
      <c r="Z266" s="10">
        <f>Д402[[#This Row],[Фикс 20.12.24]]+Д402[[#This Row],[23.12.24 СП +1000]]</f>
        <v>137935.4</v>
      </c>
      <c r="AA266" s="149">
        <v>215</v>
      </c>
      <c r="AB266" s="10">
        <f>Д402[[#This Row],[Фикс 23.12.24]]+Д402[[#This Row],[Повышение 20.02.25]]</f>
        <v>138150.39999999999</v>
      </c>
      <c r="AC266" s="149">
        <v>17.5</v>
      </c>
      <c r="AD266" s="10">
        <f>Д402[[#This Row],[Фикс 20.02.25]]+Д402[[#This Row],[Повышение 24.02.2025]]</f>
        <v>138167.9</v>
      </c>
      <c r="AE266" s="10"/>
      <c r="AF266" s="10">
        <f>Д402[[#This Row],[Фикс 24.02.25]]+Д402[[#This Row],[Повышение 05.03.2025
1К: до 40м - 1,5%, 40+ 0,5%
2К - 0,5% ]]</f>
        <v>138167.9</v>
      </c>
      <c r="AG266" s="10"/>
      <c r="AH266" s="10">
        <f>Д402[[#This Row],[Фикс 05.03.25]]+Д402[[#This Row],[повышение 14.03.25 1К-1%]]</f>
        <v>138167.9</v>
      </c>
      <c r="AI266" s="10"/>
      <c r="AJ266" s="10">
        <f>Д402[[#This Row],[Фикс 14.03.25]]+Д402[[#This Row],[повышение 28.03.25 1К-1%]]</f>
        <v>138167.9</v>
      </c>
      <c r="AK266" s="10"/>
      <c r="AL266" s="10">
        <f>Д402[[#This Row],[Фикс 28.03.25]]+Д402[[#This Row],[Повышение 23.07.25
1К 43-46м2 - 2%
2К 55-58 - 2%; 58-64 - 3%
3К 76-79 - 2%
]]</f>
        <v>138167.9</v>
      </c>
      <c r="AM266" s="149">
        <f>ROUND(Д402[[#This Row],[Фикс 23.07.25]],2)</f>
        <v>138167.9</v>
      </c>
      <c r="AN266" s="149">
        <f>ROUNDUP(Д402[[#This Row],[утв цена м2]]*Д402[[#This Row],[Расчетная проектная площадь]],-2)</f>
        <v>4066300</v>
      </c>
      <c r="AO266" s="151"/>
      <c r="AP266" s="152"/>
      <c r="AQ266" s="151">
        <f>Д402[[#This Row],[Стоимость до скидки]]*Д402[[#This Row],[Скидка %]]+Д402[[#This Row],[Скидка фиксированная]]</f>
        <v>0</v>
      </c>
      <c r="AR266" s="3">
        <f>Д402[[#This Row],[Стоимость ОН без отделки со скидкой]]/Д402[[#This Row],[Расчетная проектная площадь]]</f>
        <v>138168.53550798504</v>
      </c>
      <c r="AS266" s="3">
        <f>Д402[[#This Row],[Стоимость до скидки]]-Д402[[#This Row],[Итоговая сумма скидки]]</f>
        <v>4066300</v>
      </c>
      <c r="AT26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6" s="153"/>
      <c r="AV266" s="153"/>
      <c r="AW266" s="3">
        <f>Д402[[#This Row],[Цена м2 без отделки со скидкой]]+Д402[[#This Row],[Стоимость отделки]]</f>
        <v>138168.53550798504</v>
      </c>
      <c r="AX266" s="3">
        <f>Д402[[#This Row],[Стоимость квартиры с отделкой]]-Д402[[#This Row],[Стоимость ОН без отделки со скидкой]]</f>
        <v>0</v>
      </c>
      <c r="AY266" s="3">
        <f>Д402[[#This Row],[Цена м2 с отделкой]]*Д402[[#This Row],[Расчетная проектная площадь]]</f>
        <v>4066299.9999999995</v>
      </c>
      <c r="AZ266" s="161"/>
      <c r="BA266" s="155" t="s">
        <v>12</v>
      </c>
      <c r="BB266" s="156" t="str" cm="1">
        <f t="array" ref="BB26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66" s="161" t="s">
        <v>738</v>
      </c>
      <c r="BD266" s="161" t="s">
        <v>739</v>
      </c>
      <c r="BE266" s="161" t="s">
        <v>737</v>
      </c>
      <c r="BF266" s="161" t="s">
        <v>743</v>
      </c>
      <c r="BG266" s="161" t="b">
        <f>EXACT(Д402[[#This Row],[Статусы CRM]],Д402[[#This Row],[Статус]])</f>
        <v>1</v>
      </c>
      <c r="BH266" s="3">
        <f>IF(Д402[[#This Row],[ПС]]=0,IF(Д402[[#This Row],[ДС]]=0,Д402[[#This Row],[ТС]],Д402[[#This Row],[ДС]]),Д402[[#This Row],[ПС]])</f>
        <v>4066300</v>
      </c>
      <c r="BI266" s="3">
        <v>4066300</v>
      </c>
      <c r="BJ266" s="3">
        <v>0</v>
      </c>
      <c r="BK266" s="3">
        <v>0</v>
      </c>
      <c r="BL266" s="273">
        <f>Д402[[#This Row],[Стоимость CRM]]-Д402[[#This Row],[Стоимость до скидки]]</f>
        <v>0</v>
      </c>
      <c r="BM266" s="161" t="s">
        <v>9</v>
      </c>
      <c r="BN266" s="161" t="b">
        <f>Д402[[#This Row],[Отделка CRM]]=Д402[[#This Row],[Отделка]]</f>
        <v>1</v>
      </c>
      <c r="BO266" s="275" t="s">
        <v>398</v>
      </c>
      <c r="BP266" s="69"/>
    </row>
    <row r="267" spans="1:68" ht="12" customHeight="1" x14ac:dyDescent="0.25">
      <c r="A267" s="140">
        <v>265</v>
      </c>
      <c r="B267" s="15">
        <v>3</v>
      </c>
      <c r="C267" s="141">
        <f t="shared" si="9"/>
        <v>16</v>
      </c>
      <c r="D267" s="142">
        <v>1</v>
      </c>
      <c r="E267" s="141">
        <v>1</v>
      </c>
      <c r="F267" s="143">
        <v>14.42</v>
      </c>
      <c r="G267" s="143"/>
      <c r="H267" s="143"/>
      <c r="I267" s="144">
        <f>SUM(Д402[[#This Row],[Комната 1]:[Комната 3]])</f>
        <v>14.42</v>
      </c>
      <c r="J267" s="145">
        <v>15.83</v>
      </c>
      <c r="K267" s="145">
        <v>4.09</v>
      </c>
      <c r="L267" s="145"/>
      <c r="M267" s="145">
        <v>8.0299999999999994</v>
      </c>
      <c r="N267" s="145"/>
      <c r="O267" s="145">
        <v>3.01</v>
      </c>
      <c r="P267" s="146"/>
      <c r="Q267" s="146"/>
      <c r="R267" s="146">
        <f>SUM(Д402[[#This Row],[Лоджия 1]:[Лоджия 3]])</f>
        <v>3.01</v>
      </c>
      <c r="S267" s="10">
        <f>ROUND(SUM(Д402[[#This Row],[Площадь по проекту жилая]:[Лоджия 3]]),2)</f>
        <v>45.38</v>
      </c>
      <c r="T267" s="10">
        <f>ROUND(Д402[[#This Row],[Площадь по проекту(общая)]]-Д402[[#This Row],[Летние]],2)</f>
        <v>42.37</v>
      </c>
      <c r="U267" s="10">
        <f>ROUND(Д402[[#This Row],[Площадь по проекту(общая)]]-(SUM(Д402[[#This Row],[Лоджия 1]:[Лоджия 3]])/2),2)</f>
        <v>43.88</v>
      </c>
      <c r="V267" s="10">
        <f>VLOOKUP(Д402[[#This Row],[№]],наценка7[],COLUMN(наценка7[[#This Row],[Цена м2 с учетом всех K]]),0)</f>
        <v>122837.8</v>
      </c>
      <c r="W267" s="159">
        <f>2%*Д402[[#This Row],[м2 после К]]</f>
        <v>2456.7560000000003</v>
      </c>
      <c r="X267" s="10">
        <f>Д402[[#This Row],[м2 после К]]+Д402[[#This Row],[02.12.2024]]</f>
        <v>125294.556</v>
      </c>
      <c r="Y267" s="149">
        <v>1000</v>
      </c>
      <c r="Z267" s="10">
        <f>Д402[[#This Row],[Фикс 20.12.24]]+Д402[[#This Row],[23.12.24 СП +1000]]</f>
        <v>126294.556</v>
      </c>
      <c r="AA267" s="149">
        <v>215</v>
      </c>
      <c r="AB267" s="10">
        <f>Д402[[#This Row],[Фикс 23.12.24]]+Д402[[#This Row],[Повышение 20.02.25]]</f>
        <v>126509.556</v>
      </c>
      <c r="AC267" s="149">
        <v>17.5</v>
      </c>
      <c r="AD267" s="10">
        <f>Д402[[#This Row],[Фикс 20.02.25]]+Д402[[#This Row],[Повышение 24.02.2025]]</f>
        <v>126527.056</v>
      </c>
      <c r="AE267" s="149">
        <f>Д402[[#This Row],[Фикс 24.02.25]]*0.5%</f>
        <v>632.63527999999997</v>
      </c>
      <c r="AF267" s="10">
        <f>Д402[[#This Row],[Фикс 24.02.25]]+Д402[[#This Row],[Повышение 05.03.2025
1К: до 40м - 1,5%, 40+ 0,5%
2К - 0,5% ]]</f>
        <v>127159.69128</v>
      </c>
      <c r="AG267" s="149">
        <f>Д402[[#This Row],[Фикс 05.03.25]]*1%</f>
        <v>1271.5969127999999</v>
      </c>
      <c r="AH267" s="10">
        <f>Д402[[#This Row],[Фикс 05.03.25]]+Д402[[#This Row],[повышение 14.03.25 1К-1%]]</f>
        <v>128431.2881928</v>
      </c>
      <c r="AI267" s="149">
        <f>Д402[[#This Row],[Фикс 14.03.25]]*1%</f>
        <v>1284.312881928</v>
      </c>
      <c r="AJ267" s="10">
        <f>Д402[[#This Row],[Фикс 14.03.25]]+Д402[[#This Row],[повышение 28.03.25 1К-1%]]</f>
        <v>129715.60107472799</v>
      </c>
      <c r="AK267" s="149">
        <f>Д402[[#This Row],[Фикс 28.03.25]]*2%</f>
        <v>2594.3120214945598</v>
      </c>
      <c r="AL267" s="10">
        <f>Д402[[#This Row],[Фикс 28.03.25]]+Д402[[#This Row],[Повышение 23.07.25
1К 43-46м2 - 2%
2К 55-58 - 2%; 58-64 - 3%
3К 76-79 - 2%
]]</f>
        <v>132309.91309622256</v>
      </c>
      <c r="AM267" s="149">
        <f>ROUND(Д402[[#This Row],[Фикс 23.07.25]],2)</f>
        <v>132309.91</v>
      </c>
      <c r="AN267" s="149">
        <f>ROUNDUP(Д402[[#This Row],[утв цена м2]]*Д402[[#This Row],[Расчетная проектная площадь]],-2)</f>
        <v>5805800</v>
      </c>
      <c r="AO267" s="151"/>
      <c r="AP267" s="152"/>
      <c r="AQ267" s="151">
        <f>Д402[[#This Row],[Стоимость до скидки]]*Д402[[#This Row],[Скидка %]]+Д402[[#This Row],[Скидка фиксированная]]</f>
        <v>0</v>
      </c>
      <c r="AR267" s="3">
        <f>Д402[[#This Row],[Стоимость ОН без отделки со скидкой]]/Д402[[#This Row],[Расчетная проектная площадь]]</f>
        <v>132310.84776663626</v>
      </c>
      <c r="AS267" s="3">
        <f>Д402[[#This Row],[Стоимость до скидки]]-Д402[[#This Row],[Итоговая сумма скидки]]</f>
        <v>5805800</v>
      </c>
      <c r="AT26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7" s="153"/>
      <c r="AV267" s="153"/>
      <c r="AW267" s="3">
        <f>Д402[[#This Row],[Цена м2 без отделки со скидкой]]+Д402[[#This Row],[Стоимость отделки]]</f>
        <v>132310.84776663626</v>
      </c>
      <c r="AX267" s="3">
        <f>Д402[[#This Row],[Стоимость квартиры с отделкой]]-Д402[[#This Row],[Стоимость ОН без отделки со скидкой]]</f>
        <v>0</v>
      </c>
      <c r="AY267" s="3">
        <f>Д402[[#This Row],[Цена м2 с отделкой]]*Д402[[#This Row],[Расчетная проектная площадь]]</f>
        <v>5805799.9999999991</v>
      </c>
      <c r="AZ267" s="161"/>
      <c r="BA267" s="269" t="s">
        <v>12</v>
      </c>
      <c r="BB267" s="269" t="str" cm="1">
        <f t="array" ref="BB26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67" s="161" t="s">
        <v>738</v>
      </c>
      <c r="BD267" s="161" t="s">
        <v>739</v>
      </c>
      <c r="BE267" s="161" t="s">
        <v>737</v>
      </c>
      <c r="BF267" s="161" t="s">
        <v>745</v>
      </c>
      <c r="BG267" s="161" t="b">
        <f>EXACT(Д402[[#This Row],[Статусы CRM]],Д402[[#This Row],[Статус]])</f>
        <v>1</v>
      </c>
      <c r="BH267" s="3">
        <f>IF(Д402[[#This Row],[ПС]]=0,IF(Д402[[#This Row],[ДС]]=0,Д402[[#This Row],[ТС]],Д402[[#This Row],[ДС]]),Д402[[#This Row],[ПС]])</f>
        <v>5805800</v>
      </c>
      <c r="BI267" s="3">
        <v>5805800</v>
      </c>
      <c r="BJ267" s="3">
        <v>0</v>
      </c>
      <c r="BK267" s="3">
        <v>0</v>
      </c>
      <c r="BL267" s="273">
        <f>Д402[[#This Row],[Стоимость CRM]]-Д402[[#This Row],[Стоимость до скидки]]</f>
        <v>0</v>
      </c>
      <c r="BM267" s="161" t="s">
        <v>9</v>
      </c>
      <c r="BN267" s="161" t="b">
        <f>Д402[[#This Row],[Отделка CRM]]=Д402[[#This Row],[Отделка]]</f>
        <v>1</v>
      </c>
      <c r="BO267" s="275" t="s">
        <v>399</v>
      </c>
      <c r="BP267" s="69"/>
    </row>
    <row r="268" spans="1:68" ht="12" customHeight="1" x14ac:dyDescent="0.25">
      <c r="A268" s="140">
        <v>266</v>
      </c>
      <c r="B268" s="15">
        <v>3</v>
      </c>
      <c r="C268" s="141">
        <f t="shared" si="9"/>
        <v>16</v>
      </c>
      <c r="D268" s="142">
        <v>2</v>
      </c>
      <c r="E268" s="141">
        <v>1</v>
      </c>
      <c r="F268" s="143">
        <v>12.76</v>
      </c>
      <c r="G268" s="143"/>
      <c r="H268" s="143"/>
      <c r="I268" s="144">
        <f>SUM(Д402[[#This Row],[Комната 1]:[Комната 3]])</f>
        <v>12.76</v>
      </c>
      <c r="J268" s="145">
        <v>14.81</v>
      </c>
      <c r="K268" s="145">
        <v>4.22</v>
      </c>
      <c r="L268" s="145"/>
      <c r="M268" s="145">
        <v>3.09</v>
      </c>
      <c r="N268" s="145"/>
      <c r="O268" s="145">
        <v>2.93</v>
      </c>
      <c r="P268" s="146"/>
      <c r="Q268" s="146"/>
      <c r="R268" s="146">
        <f>SUM(Д402[[#This Row],[Лоджия 1]:[Лоджия 3]])</f>
        <v>2.93</v>
      </c>
      <c r="S268" s="10">
        <f>ROUND(SUM(Д402[[#This Row],[Площадь по проекту жилая]:[Лоджия 3]]),2)</f>
        <v>37.81</v>
      </c>
      <c r="T268" s="10">
        <f>ROUND(Д402[[#This Row],[Площадь по проекту(общая)]]-Д402[[#This Row],[Летние]],2)</f>
        <v>34.880000000000003</v>
      </c>
      <c r="U268" s="10">
        <f>ROUND(Д402[[#This Row],[Площадь по проекту(общая)]]-(SUM(Д402[[#This Row],[Лоджия 1]:[Лоджия 3]])/2),2)</f>
        <v>36.35</v>
      </c>
      <c r="V268" s="10">
        <f>VLOOKUP(Д402[[#This Row],[№]],наценка7[],COLUMN(наценка7[[#This Row],[Цена м2 с учетом всех K]]),0)</f>
        <v>126415.6</v>
      </c>
      <c r="W268" s="159">
        <f>2%*Д402[[#This Row],[м2 после К]]</f>
        <v>2528.3120000000004</v>
      </c>
      <c r="X268" s="10">
        <f>Д402[[#This Row],[м2 после К]]+Д402[[#This Row],[02.12.2024]]</f>
        <v>128943.91200000001</v>
      </c>
      <c r="Y268" s="149">
        <v>1000</v>
      </c>
      <c r="Z268" s="10">
        <f>Д402[[#This Row],[Фикс 20.12.24]]+Д402[[#This Row],[23.12.24 СП +1000]]</f>
        <v>129943.91200000001</v>
      </c>
      <c r="AA268" s="10"/>
      <c r="AB268" s="10">
        <f>Д402[[#This Row],[Фикс 23.12.24]]+Д402[[#This Row],[Повышение 20.02.25]]</f>
        <v>129943.91200000001</v>
      </c>
      <c r="AC268" s="10"/>
      <c r="AD268" s="10">
        <f>Д402[[#This Row],[Фикс 20.02.25]]+Д402[[#This Row],[Повышение 24.02.2025]]</f>
        <v>129943.91200000001</v>
      </c>
      <c r="AE268" s="10"/>
      <c r="AF268" s="10">
        <f>Д402[[#This Row],[Фикс 24.02.25]]+Д402[[#This Row],[Повышение 05.03.2025
1К: до 40м - 1,5%, 40+ 0,5%
2К - 0,5% ]]</f>
        <v>129943.91200000001</v>
      </c>
      <c r="AG268" s="10"/>
      <c r="AH268" s="10">
        <f>Д402[[#This Row],[Фикс 05.03.25]]+Д402[[#This Row],[повышение 14.03.25 1К-1%]]</f>
        <v>129943.91200000001</v>
      </c>
      <c r="AI268" s="10"/>
      <c r="AJ268" s="10">
        <f>Д402[[#This Row],[Фикс 14.03.25]]+Д402[[#This Row],[повышение 28.03.25 1К-1%]]</f>
        <v>129943.91200000001</v>
      </c>
      <c r="AK268" s="10"/>
      <c r="AL268" s="10">
        <f>Д402[[#This Row],[Фикс 28.03.25]]+Д402[[#This Row],[Повышение 23.07.25
1К 43-46м2 - 2%
2К 55-58 - 2%; 58-64 - 3%
3К 76-79 - 2%
]]</f>
        <v>129943.91200000001</v>
      </c>
      <c r="AM268" s="149">
        <f>ROUND(Д402[[#This Row],[Фикс 23.07.25]],2)</f>
        <v>129943.91</v>
      </c>
      <c r="AN268" s="149">
        <f>ROUNDUP(Д402[[#This Row],[утв цена м2]]*Д402[[#This Row],[Расчетная проектная площадь]],-2)</f>
        <v>4723500</v>
      </c>
      <c r="AO268" s="151"/>
      <c r="AP268" s="152">
        <v>0.03</v>
      </c>
      <c r="AQ268" s="151">
        <f>Д402[[#This Row],[Стоимость до скидки]]*Д402[[#This Row],[Скидка %]]+Д402[[#This Row],[Скидка фиксированная]]</f>
        <v>141705</v>
      </c>
      <c r="AR268" s="3">
        <f>Д402[[#This Row],[Стоимость ОН без отделки со скидкой]]/Д402[[#This Row],[Расчетная проектная площадь]]</f>
        <v>126046.62998624484</v>
      </c>
      <c r="AS268" s="3">
        <f>Д402[[#This Row],[Стоимость до скидки]]-Д402[[#This Row],[Итоговая сумма скидки]]</f>
        <v>4581795</v>
      </c>
      <c r="AT26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8" s="153"/>
      <c r="AV268" s="153"/>
      <c r="AW268" s="3">
        <f>Д402[[#This Row],[Цена м2 без отделки со скидкой]]+Д402[[#This Row],[Стоимость отделки]]</f>
        <v>126046.62998624484</v>
      </c>
      <c r="AX268" s="3">
        <f>Д402[[#This Row],[Стоимость квартиры с отделкой]]-Д402[[#This Row],[Стоимость ОН без отделки со скидкой]]</f>
        <v>0</v>
      </c>
      <c r="AY268" s="3">
        <f>Д402[[#This Row],[Цена м2 с отделкой]]*Д402[[#This Row],[Расчетная проектная площадь]]</f>
        <v>4581795</v>
      </c>
      <c r="AZ268" s="161" t="s">
        <v>133</v>
      </c>
      <c r="BA268" s="277" t="s">
        <v>426</v>
      </c>
      <c r="BB268" s="269" t="str" cm="1">
        <f t="array" ref="BB26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68" s="161" t="s">
        <v>741</v>
      </c>
      <c r="BD268" s="161" t="s">
        <v>506</v>
      </c>
      <c r="BE268" s="161" t="s">
        <v>737</v>
      </c>
      <c r="BF268" s="161" t="s">
        <v>745</v>
      </c>
      <c r="BG268" s="161" t="b">
        <f>EXACT(Д402[[#This Row],[Статусы CRM]],Д402[[#This Row],[Статус]])</f>
        <v>1</v>
      </c>
      <c r="BH268" s="3">
        <f>IF(Д402[[#This Row],[ПС]]=0,IF(Д402[[#This Row],[ДС]]=0,Д402[[#This Row],[ТС]],Д402[[#This Row],[ДС]]),Д402[[#This Row],[ПС]])</f>
        <v>4723500</v>
      </c>
      <c r="BI268" s="3" t="s">
        <v>749</v>
      </c>
      <c r="BJ268" s="3">
        <v>4723500</v>
      </c>
      <c r="BK268" s="3">
        <v>4723500</v>
      </c>
      <c r="BL268" s="273">
        <f>Д402[[#This Row],[Стоимость CRM]]-Д402[[#This Row],[Стоимость до скидки]]</f>
        <v>0</v>
      </c>
      <c r="BM268" s="161" t="s">
        <v>9</v>
      </c>
      <c r="BN268" s="161" t="b">
        <f>Д402[[#This Row],[Отделка CRM]]=Д402[[#This Row],[Отделка]]</f>
        <v>1</v>
      </c>
      <c r="BO268" s="275" t="s">
        <v>400</v>
      </c>
      <c r="BP268" s="69"/>
    </row>
    <row r="269" spans="1:68" ht="12" customHeight="1" x14ac:dyDescent="0.25">
      <c r="A269" s="140">
        <v>267</v>
      </c>
      <c r="B269" s="15">
        <v>3</v>
      </c>
      <c r="C269" s="141">
        <f t="shared" si="9"/>
        <v>16</v>
      </c>
      <c r="D269" s="142">
        <v>3</v>
      </c>
      <c r="E269" s="141">
        <v>2</v>
      </c>
      <c r="F269" s="143">
        <v>15.36</v>
      </c>
      <c r="G269" s="143">
        <v>11.95</v>
      </c>
      <c r="H269" s="143"/>
      <c r="I269" s="144">
        <f>SUM(Д402[[#This Row],[Комната 1]:[Комната 3]])</f>
        <v>27.31</v>
      </c>
      <c r="J269" s="145">
        <v>14.34</v>
      </c>
      <c r="K269" s="145">
        <v>4.21</v>
      </c>
      <c r="L269" s="145"/>
      <c r="M269" s="145">
        <v>6.6</v>
      </c>
      <c r="N269" s="145"/>
      <c r="O269" s="145">
        <v>3.23</v>
      </c>
      <c r="P269" s="146"/>
      <c r="Q269" s="146"/>
      <c r="R269" s="146">
        <f>SUM(Д402[[#This Row],[Лоджия 1]:[Лоджия 3]])</f>
        <v>3.23</v>
      </c>
      <c r="S269" s="10">
        <f>ROUND(SUM(Д402[[#This Row],[Площадь по проекту жилая]:[Лоджия 3]]),2)</f>
        <v>55.69</v>
      </c>
      <c r="T269" s="10">
        <f>ROUND(Д402[[#This Row],[Площадь по проекту(общая)]]-Д402[[#This Row],[Летние]],2)</f>
        <v>52.46</v>
      </c>
      <c r="U269" s="10">
        <f>ROUND(Д402[[#This Row],[Площадь по проекту(общая)]]-(SUM(Д402[[#This Row],[Лоджия 1]:[Лоджия 3]])/2),2)</f>
        <v>54.08</v>
      </c>
      <c r="V269" s="10">
        <f>VLOOKUP(Д402[[#This Row],[№]],наценка7[],COLUMN(наценка7[[#This Row],[Цена м2 с учетом всех K]]),0)</f>
        <v>119811.8</v>
      </c>
      <c r="W269" s="162">
        <f>0.021*Д402[[#This Row],[м2 после К]]</f>
        <v>2516.0478000000003</v>
      </c>
      <c r="X269" s="10">
        <f>Д402[[#This Row],[м2 после К]]+Д402[[#This Row],[02.12.2024]]</f>
        <v>122327.8478</v>
      </c>
      <c r="Y269" s="149">
        <v>1000</v>
      </c>
      <c r="Z269" s="10">
        <f>Д402[[#This Row],[Фикс 20.12.24]]+Д402[[#This Row],[23.12.24 СП +1000]]</f>
        <v>123327.8478</v>
      </c>
      <c r="AA269" s="149">
        <v>215</v>
      </c>
      <c r="AB269" s="10">
        <f>Д402[[#This Row],[Фикс 23.12.24]]+Д402[[#This Row],[Повышение 20.02.25]]</f>
        <v>123542.8478</v>
      </c>
      <c r="AC269" s="149">
        <v>17.5</v>
      </c>
      <c r="AD269" s="10">
        <f>Д402[[#This Row],[Фикс 20.02.25]]+Д402[[#This Row],[Повышение 24.02.2025]]</f>
        <v>123560.3478</v>
      </c>
      <c r="AE269" s="149">
        <f>Д402[[#This Row],[Фикс 24.02.25]]*0.5%</f>
        <v>617.801739</v>
      </c>
      <c r="AF269" s="10">
        <f>Д402[[#This Row],[Фикс 24.02.25]]+Д402[[#This Row],[Повышение 05.03.2025
1К: до 40м - 1,5%, 40+ 0,5%
2К - 0,5% ]]</f>
        <v>124178.14953900001</v>
      </c>
      <c r="AG269" s="10"/>
      <c r="AH269" s="10">
        <f>Д402[[#This Row],[Фикс 05.03.25]]+Д402[[#This Row],[повышение 14.03.25 1К-1%]]</f>
        <v>124178.14953900001</v>
      </c>
      <c r="AI269" s="10"/>
      <c r="AJ269" s="10">
        <f>Д402[[#This Row],[Фикс 14.03.25]]+Д402[[#This Row],[повышение 28.03.25 1К-1%]]</f>
        <v>124178.14953900001</v>
      </c>
      <c r="AK269" s="10"/>
      <c r="AL269" s="10">
        <f>Д402[[#This Row],[Фикс 28.03.25]]+Д402[[#This Row],[Повышение 23.07.25
1К 43-46м2 - 2%
2К 55-58 - 2%; 58-64 - 3%
3К 76-79 - 2%
]]</f>
        <v>124178.14953900001</v>
      </c>
      <c r="AM269" s="149">
        <f>ROUND(Д402[[#This Row],[Фикс 23.07.25]],2)</f>
        <v>124178.15</v>
      </c>
      <c r="AN269" s="149">
        <f>ROUNDUP(Д402[[#This Row],[утв цена м2]]*Д402[[#This Row],[Расчетная проектная площадь]],-2)</f>
        <v>6715600</v>
      </c>
      <c r="AO269" s="151"/>
      <c r="AP269" s="152"/>
      <c r="AQ269" s="151">
        <f>Д402[[#This Row],[Стоимость до скидки]]*Д402[[#This Row],[Скидка %]]+Д402[[#This Row],[Скидка фиксированная]]</f>
        <v>0</v>
      </c>
      <c r="AR269" s="3">
        <f>Д402[[#This Row],[Стоимость ОН без отделки со скидкой]]/Д402[[#This Row],[Расчетная проектная площадь]]</f>
        <v>124178.99408284025</v>
      </c>
      <c r="AS269" s="3">
        <f>Д402[[#This Row],[Стоимость до скидки]]-Д402[[#This Row],[Итоговая сумма скидки]]</f>
        <v>6715600</v>
      </c>
      <c r="AT26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69" s="153"/>
      <c r="AV269" s="153"/>
      <c r="AW269" s="3">
        <f>Д402[[#This Row],[Цена м2 без отделки со скидкой]]+Д402[[#This Row],[Стоимость отделки]]</f>
        <v>124178.99408284025</v>
      </c>
      <c r="AX269" s="3">
        <f>Д402[[#This Row],[Стоимость квартиры с отделкой]]-Д402[[#This Row],[Стоимость ОН без отделки со скидкой]]</f>
        <v>0</v>
      </c>
      <c r="AY269" s="3">
        <f>Д402[[#This Row],[Цена м2 с отделкой]]*Д402[[#This Row],[Расчетная проектная площадь]]</f>
        <v>6715600</v>
      </c>
      <c r="AZ269" s="161"/>
      <c r="BA269" s="269" t="s">
        <v>128</v>
      </c>
      <c r="BB269" s="269" t="str" cm="1">
        <f t="array" ref="BB26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69" s="161" t="s">
        <v>740</v>
      </c>
      <c r="BD269" s="161" t="s">
        <v>506</v>
      </c>
      <c r="BE269" s="161" t="s">
        <v>737</v>
      </c>
      <c r="BF269" s="161" t="s">
        <v>744</v>
      </c>
      <c r="BG269" s="161" t="b">
        <f>EXACT(Д402[[#This Row],[Статусы CRM]],Д402[[#This Row],[Статус]])</f>
        <v>1</v>
      </c>
      <c r="BH269" s="3">
        <f>IF(Д402[[#This Row],[ПС]]=0,IF(Д402[[#This Row],[ДС]]=0,Д402[[#This Row],[ТС]],Д402[[#This Row],[ДС]]),Д402[[#This Row],[ПС]])</f>
        <v>6715600</v>
      </c>
      <c r="BI269" s="3">
        <v>6715600</v>
      </c>
      <c r="BJ269" s="3">
        <v>0</v>
      </c>
      <c r="BK269" s="3">
        <v>0</v>
      </c>
      <c r="BL269" s="273">
        <f>Д402[[#This Row],[Стоимость CRM]]-Д402[[#This Row],[Стоимость до скидки]]</f>
        <v>0</v>
      </c>
      <c r="BM269" s="161" t="s">
        <v>9</v>
      </c>
      <c r="BN269" s="161" t="b">
        <f>Д402[[#This Row],[Отделка CRM]]=Д402[[#This Row],[Отделка]]</f>
        <v>1</v>
      </c>
      <c r="BO269" s="275" t="s">
        <v>401</v>
      </c>
      <c r="BP269" s="69"/>
    </row>
    <row r="270" spans="1:68" ht="12" customHeight="1" x14ac:dyDescent="0.25">
      <c r="A270" s="140">
        <v>268</v>
      </c>
      <c r="B270" s="15">
        <v>3</v>
      </c>
      <c r="C270" s="141">
        <f t="shared" si="9"/>
        <v>16</v>
      </c>
      <c r="D270" s="142">
        <v>4</v>
      </c>
      <c r="E270" s="141">
        <v>2</v>
      </c>
      <c r="F270" s="143">
        <v>15.67</v>
      </c>
      <c r="G270" s="143">
        <v>12.94</v>
      </c>
      <c r="H270" s="143"/>
      <c r="I270" s="144">
        <f>SUM(Д402[[#This Row],[Комната 1]:[Комната 3]])</f>
        <v>28.61</v>
      </c>
      <c r="J270" s="145">
        <v>13.64</v>
      </c>
      <c r="K270" s="145">
        <v>4.16</v>
      </c>
      <c r="L270" s="145"/>
      <c r="M270" s="145">
        <v>7.7</v>
      </c>
      <c r="N270" s="145"/>
      <c r="O270" s="145">
        <v>3.23</v>
      </c>
      <c r="P270" s="146"/>
      <c r="Q270" s="146"/>
      <c r="R270" s="146">
        <f>SUM(Д402[[#This Row],[Лоджия 1]:[Лоджия 3]])</f>
        <v>3.23</v>
      </c>
      <c r="S270" s="10">
        <f>ROUND(SUM(Д402[[#This Row],[Площадь по проекту жилая]:[Лоджия 3]]),2)</f>
        <v>57.34</v>
      </c>
      <c r="T270" s="10">
        <f>ROUND(Д402[[#This Row],[Площадь по проекту(общая)]]-Д402[[#This Row],[Летние]],2)</f>
        <v>54.11</v>
      </c>
      <c r="U270" s="10">
        <f>ROUND(Д402[[#This Row],[Площадь по проекту(общая)]]-(SUM(Д402[[#This Row],[Лоджия 1]:[Лоджия 3]])/2),2)</f>
        <v>55.73</v>
      </c>
      <c r="V270" s="10">
        <f>VLOOKUP(Д402[[#This Row],[№]],наценка7[],COLUMN(наценка7[[#This Row],[Цена м2 с учетом всех K]]),0)</f>
        <v>119811.8</v>
      </c>
      <c r="W270" s="162">
        <f>2%*Д402[[#This Row],[м2 после К]]</f>
        <v>2396.2360000000003</v>
      </c>
      <c r="X270" s="10">
        <f>Д402[[#This Row],[м2 после К]]+Д402[[#This Row],[02.12.2024]]</f>
        <v>122208.03600000001</v>
      </c>
      <c r="Y270" s="149">
        <v>1000</v>
      </c>
      <c r="Z270" s="10">
        <f>Д402[[#This Row],[Фикс 20.12.24]]+Д402[[#This Row],[23.12.24 СП +1000]]</f>
        <v>123208.03600000001</v>
      </c>
      <c r="AA270" s="149">
        <v>215</v>
      </c>
      <c r="AB270" s="10">
        <f>Д402[[#This Row],[Фикс 23.12.24]]+Д402[[#This Row],[Повышение 20.02.25]]</f>
        <v>123423.03600000001</v>
      </c>
      <c r="AC270" s="149">
        <v>17.5</v>
      </c>
      <c r="AD270" s="10">
        <f>Д402[[#This Row],[Фикс 20.02.25]]+Д402[[#This Row],[Повышение 24.02.2025]]</f>
        <v>123440.53600000001</v>
      </c>
      <c r="AE270" s="149">
        <f>Д402[[#This Row],[Фикс 24.02.25]]*0.5%</f>
        <v>617.2026800000001</v>
      </c>
      <c r="AF270" s="10">
        <f>Д402[[#This Row],[Фикс 24.02.25]]+Д402[[#This Row],[Повышение 05.03.2025
1К: до 40м - 1,5%, 40+ 0,5%
2К - 0,5% ]]</f>
        <v>124057.73868000001</v>
      </c>
      <c r="AG270" s="10"/>
      <c r="AH270" s="10">
        <f>Д402[[#This Row],[Фикс 05.03.25]]+Д402[[#This Row],[повышение 14.03.25 1К-1%]]</f>
        <v>124057.73868000001</v>
      </c>
      <c r="AI270" s="10"/>
      <c r="AJ270" s="10">
        <f>Д402[[#This Row],[Фикс 14.03.25]]+Д402[[#This Row],[повышение 28.03.25 1К-1%]]</f>
        <v>124057.73868000001</v>
      </c>
      <c r="AK270" s="149">
        <f>Д402[[#This Row],[Фикс 28.03.25]]*2%</f>
        <v>2481.1547736000002</v>
      </c>
      <c r="AL270" s="10">
        <f>Д402[[#This Row],[Фикс 28.03.25]]+Д402[[#This Row],[Повышение 23.07.25
1К 43-46м2 - 2%
2К 55-58 - 2%; 58-64 - 3%
3К 76-79 - 2%
]]</f>
        <v>126538.89345360002</v>
      </c>
      <c r="AM270" s="149">
        <f>ROUND(Д402[[#This Row],[Фикс 23.07.25]],2)</f>
        <v>126538.89</v>
      </c>
      <c r="AN270" s="149">
        <f>ROUNDUP(Д402[[#This Row],[утв цена м2]]*Д402[[#This Row],[Расчетная проектная площадь]],-2)</f>
        <v>7052100</v>
      </c>
      <c r="AO270" s="151"/>
      <c r="AP270" s="152"/>
      <c r="AQ270" s="151">
        <f>Д402[[#This Row],[Стоимость до скидки]]*Д402[[#This Row],[Скидка %]]+Д402[[#This Row],[Скидка фиксированная]]</f>
        <v>0</v>
      </c>
      <c r="AR270" s="3">
        <f>Д402[[#This Row],[Стоимость ОН без отделки со скидкой]]/Д402[[#This Row],[Расчетная проектная площадь]]</f>
        <v>126540.46294634847</v>
      </c>
      <c r="AS270" s="3">
        <f>Д402[[#This Row],[Стоимость до скидки]]-Д402[[#This Row],[Итоговая сумма скидки]]</f>
        <v>7052100</v>
      </c>
      <c r="AT27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0" s="153"/>
      <c r="AV270" s="153"/>
      <c r="AW270" s="3">
        <f>Д402[[#This Row],[Цена м2 без отделки со скидкой]]+Д402[[#This Row],[Стоимость отделки]]</f>
        <v>126540.46294634847</v>
      </c>
      <c r="AX270" s="3">
        <f>Д402[[#This Row],[Стоимость квартиры с отделкой]]-Д402[[#This Row],[Стоимость ОН без отделки со скидкой]]</f>
        <v>0</v>
      </c>
      <c r="AY270" s="3">
        <f>Д402[[#This Row],[Цена м2 с отделкой]]*Д402[[#This Row],[Расчетная проектная площадь]]</f>
        <v>7052100</v>
      </c>
      <c r="AZ270" s="161"/>
      <c r="BA270" s="269" t="s">
        <v>128</v>
      </c>
      <c r="BB270" s="269" t="str" cm="1">
        <f t="array" ref="BB27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70" s="161" t="s">
        <v>740</v>
      </c>
      <c r="BD270" s="161" t="s">
        <v>506</v>
      </c>
      <c r="BE270" s="161" t="s">
        <v>737</v>
      </c>
      <c r="BF270" s="161" t="s">
        <v>747</v>
      </c>
      <c r="BG270" s="161" t="b">
        <f>EXACT(Д402[[#This Row],[Статусы CRM]],Д402[[#This Row],[Статус]])</f>
        <v>1</v>
      </c>
      <c r="BH270" s="3">
        <f>IF(Д402[[#This Row],[ПС]]=0,IF(Д402[[#This Row],[ДС]]=0,Д402[[#This Row],[ТС]],Д402[[#This Row],[ДС]]),Д402[[#This Row],[ПС]])</f>
        <v>7052100</v>
      </c>
      <c r="BI270" s="3">
        <v>7052100</v>
      </c>
      <c r="BJ270" s="3">
        <v>0</v>
      </c>
      <c r="BK270" s="3">
        <v>0</v>
      </c>
      <c r="BL270" s="273">
        <f>Д402[[#This Row],[Стоимость CRM]]-Д402[[#This Row],[Стоимость до скидки]]</f>
        <v>0</v>
      </c>
      <c r="BM270" s="161" t="s">
        <v>9</v>
      </c>
      <c r="BN270" s="161" t="b">
        <f>Д402[[#This Row],[Отделка CRM]]=Д402[[#This Row],[Отделка]]</f>
        <v>1</v>
      </c>
      <c r="BO270" s="275" t="s">
        <v>402</v>
      </c>
      <c r="BP270" s="69"/>
    </row>
    <row r="271" spans="1:68" ht="12" customHeight="1" x14ac:dyDescent="0.25">
      <c r="A271" s="140">
        <v>269</v>
      </c>
      <c r="B271" s="15">
        <v>3</v>
      </c>
      <c r="C271" s="141">
        <f t="shared" si="9"/>
        <v>16</v>
      </c>
      <c r="D271" s="142">
        <v>5</v>
      </c>
      <c r="E271" s="141">
        <v>2</v>
      </c>
      <c r="F271" s="143">
        <v>18.350000000000001</v>
      </c>
      <c r="G271" s="143">
        <v>15.96</v>
      </c>
      <c r="H271" s="143"/>
      <c r="I271" s="144">
        <f>SUM(Д402[[#This Row],[Комната 1]:[Комната 3]])</f>
        <v>34.31</v>
      </c>
      <c r="J271" s="145">
        <v>11.11</v>
      </c>
      <c r="K271" s="145">
        <v>4.41</v>
      </c>
      <c r="L271" s="145"/>
      <c r="M271" s="145">
        <v>7.65</v>
      </c>
      <c r="N271" s="145"/>
      <c r="O271" s="145">
        <v>3.1</v>
      </c>
      <c r="P271" s="146"/>
      <c r="Q271" s="146"/>
      <c r="R271" s="146">
        <f>SUM(Д402[[#This Row],[Лоджия 1]:[Лоджия 3]])</f>
        <v>3.1</v>
      </c>
      <c r="S271" s="10">
        <f>ROUND(SUM(Д402[[#This Row],[Площадь по проекту жилая]:[Лоджия 3]]),2)</f>
        <v>60.58</v>
      </c>
      <c r="T271" s="10">
        <f>ROUND(Д402[[#This Row],[Площадь по проекту(общая)]]-Д402[[#This Row],[Летние]],2)</f>
        <v>57.48</v>
      </c>
      <c r="U271" s="10">
        <f>ROUND(Д402[[#This Row],[Площадь по проекту(общая)]]-(SUM(Д402[[#This Row],[Лоджия 1]:[Лоджия 3]])/2),2)</f>
        <v>59.03</v>
      </c>
      <c r="V271" s="10">
        <f>VLOOKUP(Д402[[#This Row],[№]],наценка7[],COLUMN(наценка7[[#This Row],[Цена м2 с учетом всех K]]),0)</f>
        <v>118681.5</v>
      </c>
      <c r="W271" s="162"/>
      <c r="X271" s="10">
        <f>Д402[[#This Row],[м2 после К]]+Д402[[#This Row],[02.12.2024]]</f>
        <v>118681.5</v>
      </c>
      <c r="Y271" s="149">
        <v>1000</v>
      </c>
      <c r="Z271" s="10">
        <f>Д402[[#This Row],[Фикс 20.12.24]]+Д402[[#This Row],[23.12.24 СП +1000]]</f>
        <v>119681.5</v>
      </c>
      <c r="AA271" s="149">
        <v>215</v>
      </c>
      <c r="AB271" s="10">
        <f>Д402[[#This Row],[Фикс 23.12.24]]+Д402[[#This Row],[Повышение 20.02.25]]</f>
        <v>119896.5</v>
      </c>
      <c r="AC271" s="149">
        <v>17.5</v>
      </c>
      <c r="AD271" s="10">
        <f>Д402[[#This Row],[Фикс 20.02.25]]+Д402[[#This Row],[Повышение 24.02.2025]]</f>
        <v>119914</v>
      </c>
      <c r="AE271" s="149">
        <f>Д402[[#This Row],[Фикс 24.02.25]]*0.5%</f>
        <v>599.57000000000005</v>
      </c>
      <c r="AF271" s="10">
        <f>Д402[[#This Row],[Фикс 24.02.25]]+Д402[[#This Row],[Повышение 05.03.2025
1К: до 40м - 1,5%, 40+ 0,5%
2К - 0,5% ]]</f>
        <v>120513.57</v>
      </c>
      <c r="AG271" s="10"/>
      <c r="AH271" s="10">
        <f>Д402[[#This Row],[Фикс 05.03.25]]+Д402[[#This Row],[повышение 14.03.25 1К-1%]]</f>
        <v>120513.57</v>
      </c>
      <c r="AI271" s="10"/>
      <c r="AJ271" s="10">
        <f>Д402[[#This Row],[Фикс 14.03.25]]+Д402[[#This Row],[повышение 28.03.25 1К-1%]]</f>
        <v>120513.57</v>
      </c>
      <c r="AK271" s="10">
        <f>Д402[[#This Row],[Фикс 28.03.25]]*3%</f>
        <v>3615.4070999999999</v>
      </c>
      <c r="AL271" s="10">
        <f>Д402[[#This Row],[Фикс 28.03.25]]+Д402[[#This Row],[Повышение 23.07.25
1К 43-46м2 - 2%
2К 55-58 - 2%; 58-64 - 3%
3К 76-79 - 2%
]]</f>
        <v>124128.9771</v>
      </c>
      <c r="AM271" s="149">
        <f>ROUND(Д402[[#This Row],[Фикс 23.07.25]],2)</f>
        <v>124128.98</v>
      </c>
      <c r="AN271" s="149">
        <f>ROUNDUP(Д402[[#This Row],[утв цена м2]]*Д402[[#This Row],[Расчетная проектная площадь]],-2)</f>
        <v>7327400</v>
      </c>
      <c r="AO271" s="151"/>
      <c r="AP271" s="152"/>
      <c r="AQ271" s="151">
        <f>Д402[[#This Row],[Стоимость до скидки]]*Д402[[#This Row],[Скидка %]]+Д402[[#This Row],[Скидка фиксированная]]</f>
        <v>0</v>
      </c>
      <c r="AR271" s="3">
        <f>Д402[[#This Row],[Стоимость ОН без отделки со скидкой]]/Д402[[#This Row],[Расчетная проектная площадь]]</f>
        <v>124130.10333728613</v>
      </c>
      <c r="AS271" s="3">
        <f>Д402[[#This Row],[Стоимость до скидки]]-Д402[[#This Row],[Итоговая сумма скидки]]</f>
        <v>7327400</v>
      </c>
      <c r="AT27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1" s="153"/>
      <c r="AV271" s="153"/>
      <c r="AW271" s="3">
        <f>Д402[[#This Row],[Цена м2 без отделки со скидкой]]+Д402[[#This Row],[Стоимость отделки]]</f>
        <v>124130.10333728613</v>
      </c>
      <c r="AX271" s="3">
        <f>Д402[[#This Row],[Стоимость квартиры с отделкой]]-Д402[[#This Row],[Стоимость ОН без отделки со скидкой]]</f>
        <v>0</v>
      </c>
      <c r="AY271" s="3">
        <f>Д402[[#This Row],[Цена м2 с отделкой]]*Д402[[#This Row],[Расчетная проектная площадь]]</f>
        <v>7327400</v>
      </c>
      <c r="AZ271" s="161"/>
      <c r="BA271" s="155" t="s">
        <v>12</v>
      </c>
      <c r="BB271" s="156" t="str" cm="1">
        <f t="array" ref="BB27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71" s="161" t="s">
        <v>738</v>
      </c>
      <c r="BD271" s="161" t="s">
        <v>739</v>
      </c>
      <c r="BE271" s="161" t="s">
        <v>737</v>
      </c>
      <c r="BF271" s="161" t="s">
        <v>747</v>
      </c>
      <c r="BG271" s="161" t="b">
        <f>EXACT(Д402[[#This Row],[Статусы CRM]],Д402[[#This Row],[Статус]])</f>
        <v>1</v>
      </c>
      <c r="BH271" s="3">
        <f>IF(Д402[[#This Row],[ПС]]=0,IF(Д402[[#This Row],[ДС]]=0,Д402[[#This Row],[ТС]],Д402[[#This Row],[ДС]]),Д402[[#This Row],[ПС]])</f>
        <v>7327400</v>
      </c>
      <c r="BI271" s="3">
        <v>7327400</v>
      </c>
      <c r="BJ271" s="3">
        <v>0</v>
      </c>
      <c r="BK271" s="3">
        <v>0</v>
      </c>
      <c r="BL271" s="273">
        <f>Д402[[#This Row],[Стоимость CRM]]-Д402[[#This Row],[Стоимость до скидки]]</f>
        <v>0</v>
      </c>
      <c r="BM271" s="161" t="s">
        <v>9</v>
      </c>
      <c r="BN271" s="161" t="b">
        <f>Д402[[#This Row],[Отделка CRM]]=Д402[[#This Row],[Отделка]]</f>
        <v>1</v>
      </c>
      <c r="BO271" s="275" t="s">
        <v>403</v>
      </c>
      <c r="BP271" s="69"/>
    </row>
    <row r="272" spans="1:68" ht="12" customHeight="1" x14ac:dyDescent="0.25">
      <c r="A272" s="140">
        <v>270</v>
      </c>
      <c r="B272" s="15">
        <v>3</v>
      </c>
      <c r="C272" s="141">
        <f t="shared" si="9"/>
        <v>16</v>
      </c>
      <c r="D272" s="142">
        <v>6</v>
      </c>
      <c r="E272" s="141">
        <v>0</v>
      </c>
      <c r="F272" s="143">
        <v>16.25</v>
      </c>
      <c r="G272" s="143"/>
      <c r="H272" s="143"/>
      <c r="I272" s="144">
        <f>SUM(Д402[[#This Row],[Комната 1]:[Комната 3]])</f>
        <v>16.25</v>
      </c>
      <c r="J272" s="145">
        <v>5</v>
      </c>
      <c r="K272" s="145">
        <v>3.97</v>
      </c>
      <c r="L272" s="145"/>
      <c r="M272" s="145">
        <v>4.21</v>
      </c>
      <c r="N272" s="145"/>
      <c r="O272" s="145"/>
      <c r="P272" s="146"/>
      <c r="Q272" s="146"/>
      <c r="R272" s="146">
        <f>SUM(Д402[[#This Row],[Лоджия 1]:[Лоджия 3]])</f>
        <v>0</v>
      </c>
      <c r="S272" s="10">
        <f>ROUND(SUM(Д402[[#This Row],[Площадь по проекту жилая]:[Лоджия 3]]),2)</f>
        <v>29.43</v>
      </c>
      <c r="T272" s="10">
        <f>ROUND(Д402[[#This Row],[Площадь по проекту(общая)]]-Д402[[#This Row],[Летние]],2)</f>
        <v>29.43</v>
      </c>
      <c r="U272" s="10">
        <f>ROUND(Д402[[#This Row],[Площадь по проекту(общая)]]-(SUM(Д402[[#This Row],[Лоджия 1]:[Лоджия 3]])/2),2)</f>
        <v>29.43</v>
      </c>
      <c r="V272" s="10">
        <f>VLOOKUP(Д402[[#This Row],[№]],наценка7[],COLUMN(наценка7[[#This Row],[Цена м2 с учетом всех K]]),0)</f>
        <v>136935.4</v>
      </c>
      <c r="W272" s="162"/>
      <c r="X272" s="10">
        <f>Д402[[#This Row],[м2 после К]]+Д402[[#This Row],[02.12.2024]]</f>
        <v>136935.4</v>
      </c>
      <c r="Y272" s="149">
        <v>1000</v>
      </c>
      <c r="Z272" s="10">
        <f>Д402[[#This Row],[Фикс 20.12.24]]+Д402[[#This Row],[23.12.24 СП +1000]]</f>
        <v>137935.4</v>
      </c>
      <c r="AA272" s="149">
        <v>215</v>
      </c>
      <c r="AB272" s="10">
        <f>Д402[[#This Row],[Фикс 23.12.24]]+Д402[[#This Row],[Повышение 20.02.25]]</f>
        <v>138150.39999999999</v>
      </c>
      <c r="AC272" s="149">
        <v>17.5</v>
      </c>
      <c r="AD272" s="10">
        <f>Д402[[#This Row],[Фикс 20.02.25]]+Д402[[#This Row],[Повышение 24.02.2025]]</f>
        <v>138167.9</v>
      </c>
      <c r="AE272" s="10"/>
      <c r="AF272" s="10">
        <f>Д402[[#This Row],[Фикс 24.02.25]]+Д402[[#This Row],[Повышение 05.03.2025
1К: до 40м - 1,5%, 40+ 0,5%
2К - 0,5% ]]</f>
        <v>138167.9</v>
      </c>
      <c r="AG272" s="10"/>
      <c r="AH272" s="10">
        <f>Д402[[#This Row],[Фикс 05.03.25]]+Д402[[#This Row],[повышение 14.03.25 1К-1%]]</f>
        <v>138167.9</v>
      </c>
      <c r="AI272" s="10"/>
      <c r="AJ272" s="10">
        <f>Д402[[#This Row],[Фикс 14.03.25]]+Д402[[#This Row],[повышение 28.03.25 1К-1%]]</f>
        <v>138167.9</v>
      </c>
      <c r="AK272" s="10"/>
      <c r="AL272" s="10">
        <f>Д402[[#This Row],[Фикс 28.03.25]]+Д402[[#This Row],[Повышение 23.07.25
1К 43-46м2 - 2%
2К 55-58 - 2%; 58-64 - 3%
3К 76-79 - 2%
]]</f>
        <v>138167.9</v>
      </c>
      <c r="AM272" s="149">
        <f>ROUND(Д402[[#This Row],[Фикс 23.07.25]],2)</f>
        <v>138167.9</v>
      </c>
      <c r="AN272" s="149">
        <f>ROUNDUP(Д402[[#This Row],[утв цена м2]]*Д402[[#This Row],[Расчетная проектная площадь]],-2)</f>
        <v>4066300</v>
      </c>
      <c r="AO272" s="151"/>
      <c r="AP272" s="152"/>
      <c r="AQ272" s="151">
        <f>Д402[[#This Row],[Стоимость до скидки]]*Д402[[#This Row],[Скидка %]]+Д402[[#This Row],[Скидка фиксированная]]</f>
        <v>0</v>
      </c>
      <c r="AR272" s="3">
        <f>Д402[[#This Row],[Стоимость ОН без отделки со скидкой]]/Д402[[#This Row],[Расчетная проектная площадь]]</f>
        <v>138168.53550798504</v>
      </c>
      <c r="AS272" s="3">
        <f>Д402[[#This Row],[Стоимость до скидки]]-Д402[[#This Row],[Итоговая сумма скидки]]</f>
        <v>4066300</v>
      </c>
      <c r="AT27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2" s="153"/>
      <c r="AV272" s="153"/>
      <c r="AW272" s="3">
        <f>Д402[[#This Row],[Цена м2 без отделки со скидкой]]+Д402[[#This Row],[Стоимость отделки]]</f>
        <v>138168.53550798504</v>
      </c>
      <c r="AX272" s="3">
        <f>Д402[[#This Row],[Стоимость квартиры с отделкой]]-Д402[[#This Row],[Стоимость ОН без отделки со скидкой]]</f>
        <v>0</v>
      </c>
      <c r="AY272" s="3">
        <f>Д402[[#This Row],[Цена м2 с отделкой]]*Д402[[#This Row],[Расчетная проектная площадь]]</f>
        <v>4066299.9999999995</v>
      </c>
      <c r="AZ272" s="161"/>
      <c r="BA272" s="155" t="s">
        <v>12</v>
      </c>
      <c r="BB272" s="156" t="str" cm="1">
        <f t="array" ref="BB27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72" s="161" t="s">
        <v>738</v>
      </c>
      <c r="BD272" s="161" t="s">
        <v>739</v>
      </c>
      <c r="BE272" s="161" t="s">
        <v>737</v>
      </c>
      <c r="BF272" s="161" t="s">
        <v>743</v>
      </c>
      <c r="BG272" s="161" t="b">
        <f>EXACT(Д402[[#This Row],[Статусы CRM]],Д402[[#This Row],[Статус]])</f>
        <v>1</v>
      </c>
      <c r="BH272" s="3">
        <f>IF(Д402[[#This Row],[ПС]]=0,IF(Д402[[#This Row],[ДС]]=0,Д402[[#This Row],[ТС]],Д402[[#This Row],[ДС]]),Д402[[#This Row],[ПС]])</f>
        <v>4066300</v>
      </c>
      <c r="BI272" s="3">
        <v>4066300</v>
      </c>
      <c r="BJ272" s="3">
        <v>0</v>
      </c>
      <c r="BK272" s="3">
        <v>0</v>
      </c>
      <c r="BL272" s="273">
        <f>Д402[[#This Row],[Стоимость CRM]]-Д402[[#This Row],[Стоимость до скидки]]</f>
        <v>0</v>
      </c>
      <c r="BM272" s="161" t="s">
        <v>9</v>
      </c>
      <c r="BN272" s="161" t="b">
        <f>Д402[[#This Row],[Отделка CRM]]=Д402[[#This Row],[Отделка]]</f>
        <v>1</v>
      </c>
      <c r="BO272" s="275" t="s">
        <v>404</v>
      </c>
      <c r="BP272" s="69"/>
    </row>
    <row r="273" spans="1:68" ht="12" customHeight="1" x14ac:dyDescent="0.25">
      <c r="A273" s="140">
        <v>271</v>
      </c>
      <c r="B273" s="15">
        <v>3</v>
      </c>
      <c r="C273" s="141">
        <f t="shared" si="9"/>
        <v>17</v>
      </c>
      <c r="D273" s="142">
        <v>1</v>
      </c>
      <c r="E273" s="141">
        <v>1</v>
      </c>
      <c r="F273" s="143">
        <v>14.42</v>
      </c>
      <c r="G273" s="143"/>
      <c r="H273" s="143"/>
      <c r="I273" s="144">
        <f>SUM(Д402[[#This Row],[Комната 1]:[Комната 3]])</f>
        <v>14.42</v>
      </c>
      <c r="J273" s="145">
        <v>15.83</v>
      </c>
      <c r="K273" s="145">
        <v>4.09</v>
      </c>
      <c r="L273" s="145"/>
      <c r="M273" s="145">
        <v>8.0299999999999994</v>
      </c>
      <c r="N273" s="145"/>
      <c r="O273" s="145">
        <v>3.01</v>
      </c>
      <c r="P273" s="146"/>
      <c r="Q273" s="146"/>
      <c r="R273" s="146">
        <f>SUM(Д402[[#This Row],[Лоджия 1]:[Лоджия 3]])</f>
        <v>3.01</v>
      </c>
      <c r="S273" s="10">
        <f>ROUND(SUM(Д402[[#This Row],[Площадь по проекту жилая]:[Лоджия 3]]),2)</f>
        <v>45.38</v>
      </c>
      <c r="T273" s="10">
        <f>ROUND(Д402[[#This Row],[Площадь по проекту(общая)]]-Д402[[#This Row],[Летние]],2)</f>
        <v>42.37</v>
      </c>
      <c r="U273" s="10">
        <f>ROUND(Д402[[#This Row],[Площадь по проекту(общая)]]-(SUM(Д402[[#This Row],[Лоджия 1]:[Лоджия 3]])/2),2)</f>
        <v>43.88</v>
      </c>
      <c r="V273" s="10">
        <f>VLOOKUP(Д402[[#This Row],[№]],наценка7[],COLUMN(наценка7[[#This Row],[Цена м2 с учетом всех K]]),0)</f>
        <v>120452.6</v>
      </c>
      <c r="W273" s="159">
        <f>2%*Д402[[#This Row],[м2 после К]]</f>
        <v>2409.0520000000001</v>
      </c>
      <c r="X273" s="10">
        <f>Д402[[#This Row],[м2 после К]]+Д402[[#This Row],[02.12.2024]]</f>
        <v>122861.652</v>
      </c>
      <c r="Y273" s="10"/>
      <c r="Z273" s="10">
        <f>Д402[[#This Row],[Фикс 20.12.24]]+Д402[[#This Row],[23.12.24 СП +1000]]</f>
        <v>122861.652</v>
      </c>
      <c r="AA273" s="10"/>
      <c r="AB273" s="10">
        <f>Д402[[#This Row],[Фикс 23.12.24]]+Д402[[#This Row],[Повышение 20.02.25]]</f>
        <v>122861.652</v>
      </c>
      <c r="AC273" s="10"/>
      <c r="AD273" s="10">
        <f>Д402[[#This Row],[Фикс 20.02.25]]+Д402[[#This Row],[Повышение 24.02.2025]]</f>
        <v>122861.652</v>
      </c>
      <c r="AE273" s="10"/>
      <c r="AF273" s="10">
        <f>Д402[[#This Row],[Фикс 24.02.25]]+Д402[[#This Row],[Повышение 05.03.2025
1К: до 40м - 1,5%, 40+ 0,5%
2К - 0,5% ]]</f>
        <v>122861.652</v>
      </c>
      <c r="AG273" s="10"/>
      <c r="AH273" s="10">
        <f>Д402[[#This Row],[Фикс 05.03.25]]+Д402[[#This Row],[повышение 14.03.25 1К-1%]]</f>
        <v>122861.652</v>
      </c>
      <c r="AI273" s="10"/>
      <c r="AJ273" s="10">
        <f>Д402[[#This Row],[Фикс 14.03.25]]+Д402[[#This Row],[повышение 28.03.25 1К-1%]]</f>
        <v>122861.652</v>
      </c>
      <c r="AK273" s="10"/>
      <c r="AL273" s="10">
        <f>Д402[[#This Row],[Фикс 28.03.25]]+Д402[[#This Row],[Повышение 23.07.25
1К 43-46м2 - 2%
2К 55-58 - 2%; 58-64 - 3%
3К 76-79 - 2%
]]</f>
        <v>122861.652</v>
      </c>
      <c r="AM273" s="149">
        <f>ROUND(Д402[[#This Row],[Фикс 23.07.25]],2)</f>
        <v>122861.65</v>
      </c>
      <c r="AN273" s="149">
        <f>ROUNDUP(Д402[[#This Row],[утв цена м2]]*Д402[[#This Row],[Расчетная проектная площадь]],-2)</f>
        <v>5391200</v>
      </c>
      <c r="AO273" s="151">
        <v>50000</v>
      </c>
      <c r="AP273" s="152"/>
      <c r="AQ273" s="151">
        <f>Д402[[#This Row],[Стоимость до скидки]]*Д402[[#This Row],[Скидка %]]+Д402[[#This Row],[Скидка фиксированная]]</f>
        <v>50000</v>
      </c>
      <c r="AR273" s="3">
        <f>Д402[[#This Row],[Стоимость ОН без отделки со скидкой]]/Д402[[#This Row],[Расчетная проектная площадь]]</f>
        <v>121722.88058340929</v>
      </c>
      <c r="AS273" s="3">
        <f>Д402[[#This Row],[Стоимость до скидки]]-Д402[[#This Row],[Итоговая сумма скидки]]</f>
        <v>5341200</v>
      </c>
      <c r="AT27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3" s="153"/>
      <c r="AV273" s="153"/>
      <c r="AW273" s="3">
        <f>Д402[[#This Row],[Цена м2 без отделки со скидкой]]+Д402[[#This Row],[Стоимость отделки]]</f>
        <v>121722.88058340929</v>
      </c>
      <c r="AX273" s="3">
        <f>Д402[[#This Row],[Стоимость квартиры с отделкой]]-Д402[[#This Row],[Стоимость ОН без отделки со скидкой]]</f>
        <v>0</v>
      </c>
      <c r="AY273" s="3">
        <f>Д402[[#This Row],[Цена м2 с отделкой]]*Д402[[#This Row],[Расчетная проектная площадь]]</f>
        <v>5341200</v>
      </c>
      <c r="AZ273" s="161" t="s">
        <v>425</v>
      </c>
      <c r="BA273" s="269" t="s">
        <v>426</v>
      </c>
      <c r="BB273" s="269" t="str" cm="1">
        <f t="array" ref="BB27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73" s="161" t="s">
        <v>741</v>
      </c>
      <c r="BD273" s="161" t="s">
        <v>506</v>
      </c>
      <c r="BE273" s="161" t="s">
        <v>737</v>
      </c>
      <c r="BF273" s="161" t="s">
        <v>745</v>
      </c>
      <c r="BG273" s="161" t="b">
        <f>EXACT(Д402[[#This Row],[Статусы CRM]],Д402[[#This Row],[Статус]])</f>
        <v>1</v>
      </c>
      <c r="BH273" s="3">
        <f>IF(Д402[[#This Row],[ПС]]=0,IF(Д402[[#This Row],[ДС]]=0,Д402[[#This Row],[ТС]],Д402[[#This Row],[ДС]]),Д402[[#This Row],[ПС]])</f>
        <v>5391200</v>
      </c>
      <c r="BI273" s="3" t="s">
        <v>749</v>
      </c>
      <c r="BJ273" s="3">
        <v>0</v>
      </c>
      <c r="BK273" s="3">
        <v>5391200</v>
      </c>
      <c r="BL273" s="273">
        <f>Д402[[#This Row],[Стоимость CRM]]-Д402[[#This Row],[Стоимость до скидки]]</f>
        <v>0</v>
      </c>
      <c r="BM273" s="161" t="s">
        <v>9</v>
      </c>
      <c r="BN273" s="161" t="b">
        <f>Д402[[#This Row],[Отделка CRM]]=Д402[[#This Row],[Отделка]]</f>
        <v>1</v>
      </c>
      <c r="BO273" s="275" t="s">
        <v>405</v>
      </c>
      <c r="BP273" s="69"/>
    </row>
    <row r="274" spans="1:68" ht="12" customHeight="1" x14ac:dyDescent="0.25">
      <c r="A274" s="140">
        <v>272</v>
      </c>
      <c r="B274" s="15">
        <v>3</v>
      </c>
      <c r="C274" s="141">
        <f t="shared" si="9"/>
        <v>17</v>
      </c>
      <c r="D274" s="142">
        <v>2</v>
      </c>
      <c r="E274" s="141">
        <v>1</v>
      </c>
      <c r="F274" s="143">
        <v>12.76</v>
      </c>
      <c r="G274" s="143"/>
      <c r="H274" s="143"/>
      <c r="I274" s="144">
        <f>SUM(Д402[[#This Row],[Комната 1]:[Комната 3]])</f>
        <v>12.76</v>
      </c>
      <c r="J274" s="145">
        <v>14.81</v>
      </c>
      <c r="K274" s="145">
        <v>4.22</v>
      </c>
      <c r="L274" s="145"/>
      <c r="M274" s="145">
        <v>3.09</v>
      </c>
      <c r="N274" s="145"/>
      <c r="O274" s="145">
        <v>2.93</v>
      </c>
      <c r="P274" s="146"/>
      <c r="Q274" s="146"/>
      <c r="R274" s="146">
        <f>SUM(Д402[[#This Row],[Лоджия 1]:[Лоджия 3]])</f>
        <v>2.93</v>
      </c>
      <c r="S274" s="10">
        <f>ROUND(SUM(Д402[[#This Row],[Площадь по проекту жилая]:[Лоджия 3]]),2)</f>
        <v>37.81</v>
      </c>
      <c r="T274" s="10">
        <f>ROUND(Д402[[#This Row],[Площадь по проекту(общая)]]-Д402[[#This Row],[Летние]],2)</f>
        <v>34.880000000000003</v>
      </c>
      <c r="U274" s="10">
        <f>ROUND(Д402[[#This Row],[Площадь по проекту(общая)]]-(SUM(Д402[[#This Row],[Лоджия 1]:[Лоджия 3]])/2),2)</f>
        <v>36.35</v>
      </c>
      <c r="V274" s="10">
        <f>VLOOKUP(Д402[[#This Row],[№]],наценка7[],COLUMN(наценка7[[#This Row],[Цена м2 с учетом всех K]]),0)</f>
        <v>124030.39999999999</v>
      </c>
      <c r="W274" s="159">
        <f>2%*Д402[[#This Row],[м2 после К]]</f>
        <v>2480.6079999999997</v>
      </c>
      <c r="X274" s="10">
        <f>Д402[[#This Row],[м2 после К]]+Д402[[#This Row],[02.12.2024]]</f>
        <v>126511.00799999999</v>
      </c>
      <c r="Y274" s="10"/>
      <c r="Z274" s="10">
        <f>Д402[[#This Row],[Фикс 20.12.24]]+Д402[[#This Row],[23.12.24 СП +1000]]</f>
        <v>126511.00799999999</v>
      </c>
      <c r="AA274" s="10"/>
      <c r="AB274" s="10">
        <f>Д402[[#This Row],[Фикс 23.12.24]]+Д402[[#This Row],[Повышение 20.02.25]]</f>
        <v>126511.00799999999</v>
      </c>
      <c r="AC274" s="10"/>
      <c r="AD274" s="10">
        <f>Д402[[#This Row],[Фикс 20.02.25]]+Д402[[#This Row],[Повышение 24.02.2025]]</f>
        <v>126511.00799999999</v>
      </c>
      <c r="AE274" s="10"/>
      <c r="AF274" s="10">
        <f>Д402[[#This Row],[Фикс 24.02.25]]+Д402[[#This Row],[Повышение 05.03.2025
1К: до 40м - 1,5%, 40+ 0,5%
2К - 0,5% ]]</f>
        <v>126511.00799999999</v>
      </c>
      <c r="AG274" s="10"/>
      <c r="AH274" s="10">
        <f>Д402[[#This Row],[Фикс 05.03.25]]+Д402[[#This Row],[повышение 14.03.25 1К-1%]]</f>
        <v>126511.00799999999</v>
      </c>
      <c r="AI274" s="10"/>
      <c r="AJ274" s="10">
        <f>Д402[[#This Row],[Фикс 14.03.25]]+Д402[[#This Row],[повышение 28.03.25 1К-1%]]</f>
        <v>126511.00799999999</v>
      </c>
      <c r="AK274" s="10"/>
      <c r="AL274" s="10">
        <f>Д402[[#This Row],[Фикс 28.03.25]]+Д402[[#This Row],[Повышение 23.07.25
1К 43-46м2 - 2%
2К 55-58 - 2%; 58-64 - 3%
3К 76-79 - 2%
]]</f>
        <v>126511.00799999999</v>
      </c>
      <c r="AM274" s="149">
        <f>ROUND(Д402[[#This Row],[Фикс 23.07.25]],2)</f>
        <v>126511.01</v>
      </c>
      <c r="AN274" s="149">
        <f>ROUNDUP(Д402[[#This Row],[утв цена м2]]*Д402[[#This Row],[Расчетная проектная площадь]],-2)</f>
        <v>4598700</v>
      </c>
      <c r="AO274" s="151"/>
      <c r="AP274" s="152">
        <v>0.03</v>
      </c>
      <c r="AQ274" s="151">
        <f>Д402[[#This Row],[Стоимость до скидки]]*Д402[[#This Row],[Скидка %]]+Д402[[#This Row],[Скидка фиксированная]]</f>
        <v>137961</v>
      </c>
      <c r="AR274" s="3">
        <f>Д402[[#This Row],[Стоимость ОН без отделки со скидкой]]/Д402[[#This Row],[Расчетная проектная площадь]]</f>
        <v>122716.34112792296</v>
      </c>
      <c r="AS274" s="3">
        <f>Д402[[#This Row],[Стоимость до скидки]]-Д402[[#This Row],[Итоговая сумма скидки]]</f>
        <v>4460739</v>
      </c>
      <c r="AT27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4" s="153"/>
      <c r="AV274" s="153"/>
      <c r="AW274" s="3">
        <f>Д402[[#This Row],[Цена м2 без отделки со скидкой]]+Д402[[#This Row],[Стоимость отделки]]</f>
        <v>122716.34112792296</v>
      </c>
      <c r="AX274" s="3">
        <f>Д402[[#This Row],[Стоимость квартиры с отделкой]]-Д402[[#This Row],[Стоимость ОН без отделки со скидкой]]</f>
        <v>0</v>
      </c>
      <c r="AY274" s="3">
        <f>Д402[[#This Row],[Цена м2 с отделкой]]*Д402[[#This Row],[Расчетная проектная площадь]]</f>
        <v>4460739</v>
      </c>
      <c r="AZ274" s="161" t="s">
        <v>133</v>
      </c>
      <c r="BA274" s="269" t="s">
        <v>426</v>
      </c>
      <c r="BB274" s="269" t="str" cm="1">
        <f t="array" ref="BB27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74" s="161" t="s">
        <v>741</v>
      </c>
      <c r="BD274" s="161" t="s">
        <v>506</v>
      </c>
      <c r="BE274" s="161" t="s">
        <v>737</v>
      </c>
      <c r="BF274" s="161" t="s">
        <v>745</v>
      </c>
      <c r="BG274" s="161" t="b">
        <f>EXACT(Д402[[#This Row],[Статусы CRM]],Д402[[#This Row],[Статус]])</f>
        <v>1</v>
      </c>
      <c r="BH274" s="3">
        <f>IF(Д402[[#This Row],[ПС]]=0,IF(Д402[[#This Row],[ДС]]=0,Д402[[#This Row],[ТС]],Д402[[#This Row],[ДС]]),Д402[[#This Row],[ПС]])</f>
        <v>4598700</v>
      </c>
      <c r="BI274" s="3" t="s">
        <v>749</v>
      </c>
      <c r="BJ274" s="3">
        <v>0</v>
      </c>
      <c r="BK274" s="3">
        <v>4598700</v>
      </c>
      <c r="BL274" s="273">
        <f>Д402[[#This Row],[Стоимость CRM]]-Д402[[#This Row],[Стоимость до скидки]]</f>
        <v>0</v>
      </c>
      <c r="BM274" s="161" t="s">
        <v>9</v>
      </c>
      <c r="BN274" s="161" t="b">
        <f>Д402[[#This Row],[Отделка CRM]]=Д402[[#This Row],[Отделка]]</f>
        <v>1</v>
      </c>
      <c r="BO274" s="275" t="s">
        <v>406</v>
      </c>
      <c r="BP274" s="69"/>
    </row>
    <row r="275" spans="1:68" ht="12" customHeight="1" x14ac:dyDescent="0.25">
      <c r="A275" s="140">
        <v>273</v>
      </c>
      <c r="B275" s="15">
        <v>3</v>
      </c>
      <c r="C275" s="141">
        <f t="shared" si="9"/>
        <v>17</v>
      </c>
      <c r="D275" s="142">
        <v>3</v>
      </c>
      <c r="E275" s="141">
        <v>2</v>
      </c>
      <c r="F275" s="143">
        <v>15.36</v>
      </c>
      <c r="G275" s="143">
        <v>11.95</v>
      </c>
      <c r="H275" s="143"/>
      <c r="I275" s="144">
        <f>SUM(Д402[[#This Row],[Комната 1]:[Комната 3]])</f>
        <v>27.31</v>
      </c>
      <c r="J275" s="145">
        <v>14.34</v>
      </c>
      <c r="K275" s="145">
        <v>4.21</v>
      </c>
      <c r="L275" s="145"/>
      <c r="M275" s="145">
        <v>6.6</v>
      </c>
      <c r="N275" s="145"/>
      <c r="O275" s="145">
        <v>3.23</v>
      </c>
      <c r="P275" s="146"/>
      <c r="Q275" s="146"/>
      <c r="R275" s="146">
        <f>SUM(Д402[[#This Row],[Лоджия 1]:[Лоджия 3]])</f>
        <v>3.23</v>
      </c>
      <c r="S275" s="10">
        <f>ROUND(SUM(Д402[[#This Row],[Площадь по проекту жилая]:[Лоджия 3]]),2)</f>
        <v>55.69</v>
      </c>
      <c r="T275" s="10">
        <f>ROUND(Д402[[#This Row],[Площадь по проекту(общая)]]-Д402[[#This Row],[Летние]],2)</f>
        <v>52.46</v>
      </c>
      <c r="U275" s="10">
        <f>ROUND(Д402[[#This Row],[Площадь по проекту(общая)]]-(SUM(Д402[[#This Row],[Лоджия 1]:[Лоджия 3]])/2),2)</f>
        <v>54.08</v>
      </c>
      <c r="V275" s="10">
        <f>VLOOKUP(Д402[[#This Row],[№]],наценка7[],COLUMN(наценка7[[#This Row],[Цена м2 с учетом всех K]]),0)</f>
        <v>117551.2</v>
      </c>
      <c r="W275" s="162">
        <f>0.021*Д402[[#This Row],[м2 после К]]</f>
        <v>2468.5752000000002</v>
      </c>
      <c r="X275" s="10">
        <f>Д402[[#This Row],[м2 после К]]+Д402[[#This Row],[02.12.2024]]</f>
        <v>120019.7752</v>
      </c>
      <c r="Y275" s="10">
        <v>1000</v>
      </c>
      <c r="Z275" s="10">
        <f>Д402[[#This Row],[Фикс 20.12.24]]+Д402[[#This Row],[23.12.24 СП +1000]]</f>
        <v>121019.7752</v>
      </c>
      <c r="AA275" s="10"/>
      <c r="AB275" s="10">
        <f>Д402[[#This Row],[Фикс 23.12.24]]+Д402[[#This Row],[Повышение 20.02.25]]</f>
        <v>121019.7752</v>
      </c>
      <c r="AC275" s="10"/>
      <c r="AD275" s="10">
        <f>Д402[[#This Row],[Фикс 20.02.25]]+Д402[[#This Row],[Повышение 24.02.2025]]</f>
        <v>121019.7752</v>
      </c>
      <c r="AE275" s="10"/>
      <c r="AF275" s="10">
        <f>Д402[[#This Row],[Фикс 24.02.25]]+Д402[[#This Row],[Повышение 05.03.2025
1К: до 40м - 1,5%, 40+ 0,5%
2К - 0,5% ]]</f>
        <v>121019.7752</v>
      </c>
      <c r="AG275" s="10"/>
      <c r="AH275" s="10">
        <f>Д402[[#This Row],[Фикс 05.03.25]]+Д402[[#This Row],[повышение 14.03.25 1К-1%]]</f>
        <v>121019.7752</v>
      </c>
      <c r="AI275" s="10"/>
      <c r="AJ275" s="10">
        <f>Д402[[#This Row],[Фикс 14.03.25]]+Д402[[#This Row],[повышение 28.03.25 1К-1%]]</f>
        <v>121019.7752</v>
      </c>
      <c r="AK275" s="10"/>
      <c r="AL275" s="10">
        <f>Д402[[#This Row],[Фикс 28.03.25]]+Д402[[#This Row],[Повышение 23.07.25
1К 43-46м2 - 2%
2К 55-58 - 2%; 58-64 - 3%
3К 76-79 - 2%
]]</f>
        <v>121019.7752</v>
      </c>
      <c r="AM275" s="149">
        <f>ROUND(Д402[[#This Row],[Фикс 23.07.25]],2)</f>
        <v>121019.78</v>
      </c>
      <c r="AN275" s="149">
        <f>ROUNDUP(Д402[[#This Row],[утв цена м2]]*Д402[[#This Row],[Расчетная проектная площадь]],-2)</f>
        <v>6544800</v>
      </c>
      <c r="AO275" s="151"/>
      <c r="AP275" s="152">
        <v>0.02</v>
      </c>
      <c r="AQ275" s="151">
        <f>Д402[[#This Row],[Стоимость до скидки]]*Д402[[#This Row],[Скидка %]]+Д402[[#This Row],[Скидка фиксированная]]</f>
        <v>130896</v>
      </c>
      <c r="AR275" s="3">
        <f>Д402[[#This Row],[Стоимость ОН без отделки со скидкой]]/Д402[[#This Row],[Расчетная проектная площадь]]</f>
        <v>118600.29585798817</v>
      </c>
      <c r="AS275" s="3">
        <f>Д402[[#This Row],[Стоимость до скидки]]-Д402[[#This Row],[Итоговая сумма скидки]]</f>
        <v>6413904</v>
      </c>
      <c r="AT27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75" s="153">
        <v>10000</v>
      </c>
      <c r="AV275" s="153"/>
      <c r="AW275" s="3">
        <f>Д402[[#This Row],[Цена м2 без отделки со скидкой]]+Д402[[#This Row],[Стоимость отделки]]</f>
        <v>128600.29585798817</v>
      </c>
      <c r="AX275" s="3">
        <f>Д402[[#This Row],[Стоимость квартиры с отделкой]]-Д402[[#This Row],[Стоимость ОН без отделки со скидкой]]</f>
        <v>540800</v>
      </c>
      <c r="AY275" s="3">
        <f>Д402[[#This Row],[Цена м2 с отделкой]]*Д402[[#This Row],[Расчетная проектная площадь]]</f>
        <v>6954704</v>
      </c>
      <c r="AZ275" s="161" t="s">
        <v>436</v>
      </c>
      <c r="BA275" s="277" t="s">
        <v>426</v>
      </c>
      <c r="BB275" s="269" t="str" cm="1">
        <f t="array" ref="BB27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75" s="161" t="s">
        <v>741</v>
      </c>
      <c r="BD275" s="161" t="s">
        <v>506</v>
      </c>
      <c r="BE275" s="161" t="s">
        <v>737</v>
      </c>
      <c r="BF275" s="161" t="s">
        <v>744</v>
      </c>
      <c r="BG275" s="161" t="b">
        <f>EXACT(Д402[[#This Row],[Статусы CRM]],Д402[[#This Row],[Статус]])</f>
        <v>1</v>
      </c>
      <c r="BH275" s="3">
        <f>IF(Д402[[#This Row],[ПС]]=0,IF(Д402[[#This Row],[ДС]]=0,Д402[[#This Row],[ТС]],Д402[[#This Row],[ДС]]),Д402[[#This Row],[ПС]])</f>
        <v>6544800</v>
      </c>
      <c r="BI275" s="3" t="s">
        <v>749</v>
      </c>
      <c r="BJ275" s="3">
        <v>6544800</v>
      </c>
      <c r="BK275" s="3">
        <v>6544800</v>
      </c>
      <c r="BL275" s="273">
        <f>Д402[[#This Row],[Стоимость CRM]]-Д402[[#This Row],[Стоимость до скидки]]</f>
        <v>0</v>
      </c>
      <c r="BM275" s="161" t="s">
        <v>718</v>
      </c>
      <c r="BN275" s="161" t="b">
        <f>Д402[[#This Row],[Отделка CRM]]=Д402[[#This Row],[Отделка]]</f>
        <v>1</v>
      </c>
      <c r="BO275" s="275" t="s">
        <v>407</v>
      </c>
      <c r="BP275" s="69"/>
    </row>
    <row r="276" spans="1:68" ht="12" customHeight="1" x14ac:dyDescent="0.25">
      <c r="A276" s="140">
        <v>274</v>
      </c>
      <c r="B276" s="15">
        <v>3</v>
      </c>
      <c r="C276" s="141">
        <f t="shared" si="9"/>
        <v>17</v>
      </c>
      <c r="D276" s="142">
        <v>4</v>
      </c>
      <c r="E276" s="141">
        <v>2</v>
      </c>
      <c r="F276" s="143">
        <v>15.67</v>
      </c>
      <c r="G276" s="143">
        <v>12.94</v>
      </c>
      <c r="H276" s="143"/>
      <c r="I276" s="144">
        <f>SUM(Д402[[#This Row],[Комната 1]:[Комната 3]])</f>
        <v>28.61</v>
      </c>
      <c r="J276" s="145">
        <v>13.64</v>
      </c>
      <c r="K276" s="145">
        <v>4.16</v>
      </c>
      <c r="L276" s="145"/>
      <c r="M276" s="145">
        <v>7.7</v>
      </c>
      <c r="N276" s="145"/>
      <c r="O276" s="145">
        <v>3.23</v>
      </c>
      <c r="P276" s="146"/>
      <c r="Q276" s="146"/>
      <c r="R276" s="146">
        <f>SUM(Д402[[#This Row],[Лоджия 1]:[Лоджия 3]])</f>
        <v>3.23</v>
      </c>
      <c r="S276" s="10">
        <f>ROUND(SUM(Д402[[#This Row],[Площадь по проекту жилая]:[Лоджия 3]]),2)</f>
        <v>57.34</v>
      </c>
      <c r="T276" s="10">
        <f>ROUND(Д402[[#This Row],[Площадь по проекту(общая)]]-Д402[[#This Row],[Летние]],2)</f>
        <v>54.11</v>
      </c>
      <c r="U276" s="10">
        <f>ROUND(Д402[[#This Row],[Площадь по проекту(общая)]]-(SUM(Д402[[#This Row],[Лоджия 1]:[Лоджия 3]])/2),2)</f>
        <v>55.73</v>
      </c>
      <c r="V276" s="10">
        <f>VLOOKUP(Д402[[#This Row],[№]],наценка7[],COLUMN(наценка7[[#This Row],[Цена м2 с учетом всех K]]),0)</f>
        <v>117551.2</v>
      </c>
      <c r="W276" s="162">
        <f>2%*Д402[[#This Row],[м2 после К]]</f>
        <v>2351.0239999999999</v>
      </c>
      <c r="X276" s="10">
        <f>Д402[[#This Row],[м2 после К]]+Д402[[#This Row],[02.12.2024]]</f>
        <v>119902.224</v>
      </c>
      <c r="Y276" s="149">
        <v>1000</v>
      </c>
      <c r="Z276" s="10">
        <f>Д402[[#This Row],[Фикс 20.12.24]]+Д402[[#This Row],[23.12.24 СП +1000]]</f>
        <v>120902.224</v>
      </c>
      <c r="AA276" s="149">
        <v>215</v>
      </c>
      <c r="AB276" s="10">
        <f>Д402[[#This Row],[Фикс 23.12.24]]+Д402[[#This Row],[Повышение 20.02.25]]</f>
        <v>121117.224</v>
      </c>
      <c r="AC276" s="149">
        <v>17.5</v>
      </c>
      <c r="AD276" s="10">
        <f>Д402[[#This Row],[Фикс 20.02.25]]+Д402[[#This Row],[Повышение 24.02.2025]]</f>
        <v>121134.724</v>
      </c>
      <c r="AE276" s="149">
        <f>Д402[[#This Row],[Фикс 24.02.25]]*0.5%</f>
        <v>605.67362000000003</v>
      </c>
      <c r="AF276" s="10">
        <f>Д402[[#This Row],[Фикс 24.02.25]]+Д402[[#This Row],[Повышение 05.03.2025
1К: до 40м - 1,5%, 40+ 0,5%
2К - 0,5% ]]</f>
        <v>121740.39762</v>
      </c>
      <c r="AG276" s="10"/>
      <c r="AH276" s="10">
        <f>Д402[[#This Row],[Фикс 05.03.25]]+Д402[[#This Row],[повышение 14.03.25 1К-1%]]</f>
        <v>121740.39762</v>
      </c>
      <c r="AI276" s="10"/>
      <c r="AJ276" s="10">
        <f>Д402[[#This Row],[Фикс 14.03.25]]+Д402[[#This Row],[повышение 28.03.25 1К-1%]]</f>
        <v>121740.39762</v>
      </c>
      <c r="AK276" s="149">
        <f>Д402[[#This Row],[Фикс 28.03.25]]*2%</f>
        <v>2434.8079524</v>
      </c>
      <c r="AL276" s="10">
        <f>Д402[[#This Row],[Фикс 28.03.25]]+Д402[[#This Row],[Повышение 23.07.25
1К 43-46м2 - 2%
2К 55-58 - 2%; 58-64 - 3%
3К 76-79 - 2%
]]</f>
        <v>124175.20557240001</v>
      </c>
      <c r="AM276" s="149">
        <f>ROUND(Д402[[#This Row],[Фикс 23.07.25]],2)</f>
        <v>124175.21</v>
      </c>
      <c r="AN276" s="149">
        <f>ROUNDUP(Д402[[#This Row],[утв цена м2]]*Д402[[#This Row],[Расчетная проектная площадь]],-2)</f>
        <v>6920300</v>
      </c>
      <c r="AO276" s="151"/>
      <c r="AP276" s="152"/>
      <c r="AQ276" s="151">
        <f>Д402[[#This Row],[Стоимость до скидки]]*Д402[[#This Row],[Скидка %]]+Д402[[#This Row],[Скидка фиксированная]]</f>
        <v>0</v>
      </c>
      <c r="AR276" s="3">
        <f>Д402[[#This Row],[Стоимость ОН без отделки со скидкой]]/Д402[[#This Row],[Расчетная проектная площадь]]</f>
        <v>124175.488964651</v>
      </c>
      <c r="AS276" s="3">
        <f>Д402[[#This Row],[Стоимость до скидки]]-Д402[[#This Row],[Итоговая сумма скидки]]</f>
        <v>6920300</v>
      </c>
      <c r="AT27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6" s="153"/>
      <c r="AV276" s="153"/>
      <c r="AW276" s="3">
        <f>Д402[[#This Row],[Цена м2 без отделки со скидкой]]+Д402[[#This Row],[Стоимость отделки]]</f>
        <v>124175.488964651</v>
      </c>
      <c r="AX276" s="3">
        <f>Д402[[#This Row],[Стоимость квартиры с отделкой]]-Д402[[#This Row],[Стоимость ОН без отделки со скидкой]]</f>
        <v>0</v>
      </c>
      <c r="AY276" s="3">
        <f>Д402[[#This Row],[Цена м2 с отделкой]]*Д402[[#This Row],[Расчетная проектная площадь]]</f>
        <v>6920300</v>
      </c>
      <c r="AZ276" s="161"/>
      <c r="BA276" s="269" t="s">
        <v>12</v>
      </c>
      <c r="BB276" s="269" t="str" cm="1">
        <f t="array" ref="BB27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76" s="161" t="s">
        <v>738</v>
      </c>
      <c r="BD276" s="161" t="s">
        <v>739</v>
      </c>
      <c r="BE276" s="161" t="s">
        <v>737</v>
      </c>
      <c r="BF276" s="161" t="s">
        <v>747</v>
      </c>
      <c r="BG276" s="161" t="b">
        <f>EXACT(Д402[[#This Row],[Статусы CRM]],Д402[[#This Row],[Статус]])</f>
        <v>1</v>
      </c>
      <c r="BH276" s="3">
        <f>IF(Д402[[#This Row],[ПС]]=0,IF(Д402[[#This Row],[ДС]]=0,Д402[[#This Row],[ТС]],Д402[[#This Row],[ДС]]),Д402[[#This Row],[ПС]])</f>
        <v>6920300</v>
      </c>
      <c r="BI276" s="3">
        <v>6920300</v>
      </c>
      <c r="BJ276" s="3">
        <v>0</v>
      </c>
      <c r="BK276" s="3">
        <v>0</v>
      </c>
      <c r="BL276" s="273">
        <f>Д402[[#This Row],[Стоимость CRM]]-Д402[[#This Row],[Стоимость до скидки]]</f>
        <v>0</v>
      </c>
      <c r="BM276" s="161" t="s">
        <v>9</v>
      </c>
      <c r="BN276" s="161" t="b">
        <f>Д402[[#This Row],[Отделка CRM]]=Д402[[#This Row],[Отделка]]</f>
        <v>1</v>
      </c>
      <c r="BO276" s="275" t="s">
        <v>408</v>
      </c>
      <c r="BP276" s="69"/>
    </row>
    <row r="277" spans="1:68" ht="12" customHeight="1" x14ac:dyDescent="0.25">
      <c r="A277" s="140">
        <v>275</v>
      </c>
      <c r="B277" s="15">
        <v>3</v>
      </c>
      <c r="C277" s="141">
        <f t="shared" si="9"/>
        <v>17</v>
      </c>
      <c r="D277" s="142">
        <v>5</v>
      </c>
      <c r="E277" s="141">
        <v>2</v>
      </c>
      <c r="F277" s="143">
        <v>18.350000000000001</v>
      </c>
      <c r="G277" s="143">
        <v>15.96</v>
      </c>
      <c r="H277" s="143"/>
      <c r="I277" s="144">
        <f>SUM(Д402[[#This Row],[Комната 1]:[Комната 3]])</f>
        <v>34.31</v>
      </c>
      <c r="J277" s="145">
        <v>11.11</v>
      </c>
      <c r="K277" s="145">
        <v>4.41</v>
      </c>
      <c r="L277" s="145"/>
      <c r="M277" s="145">
        <v>7.65</v>
      </c>
      <c r="N277" s="145"/>
      <c r="O277" s="145">
        <v>3.1</v>
      </c>
      <c r="P277" s="146"/>
      <c r="Q277" s="146"/>
      <c r="R277" s="146">
        <f>SUM(Д402[[#This Row],[Лоджия 1]:[Лоджия 3]])</f>
        <v>3.1</v>
      </c>
      <c r="S277" s="10">
        <f>ROUND(SUM(Д402[[#This Row],[Площадь по проекту жилая]:[Лоджия 3]]),2)</f>
        <v>60.58</v>
      </c>
      <c r="T277" s="10">
        <f>ROUND(Д402[[#This Row],[Площадь по проекту(общая)]]-Д402[[#This Row],[Летние]],2)</f>
        <v>57.48</v>
      </c>
      <c r="U277" s="10">
        <f>ROUND(Д402[[#This Row],[Площадь по проекту(общая)]]-(SUM(Д402[[#This Row],[Лоджия 1]:[Лоджия 3]])/2),2)</f>
        <v>59.03</v>
      </c>
      <c r="V277" s="10">
        <f>VLOOKUP(Д402[[#This Row],[№]],наценка7[],COLUMN(наценка7[[#This Row],[Цена м2 с учетом всех K]]),0)</f>
        <v>118681.5</v>
      </c>
      <c r="W277" s="162"/>
      <c r="X277" s="10">
        <f>Д402[[#This Row],[м2 после К]]+Д402[[#This Row],[02.12.2024]]</f>
        <v>118681.5</v>
      </c>
      <c r="Y277" s="149">
        <v>1000</v>
      </c>
      <c r="Z277" s="10">
        <f>Д402[[#This Row],[Фикс 20.12.24]]+Д402[[#This Row],[23.12.24 СП +1000]]</f>
        <v>119681.5</v>
      </c>
      <c r="AA277" s="149">
        <v>215</v>
      </c>
      <c r="AB277" s="10">
        <f>Д402[[#This Row],[Фикс 23.12.24]]+Д402[[#This Row],[Повышение 20.02.25]]</f>
        <v>119896.5</v>
      </c>
      <c r="AC277" s="149">
        <v>17.5</v>
      </c>
      <c r="AD277" s="10">
        <f>Д402[[#This Row],[Фикс 20.02.25]]+Д402[[#This Row],[Повышение 24.02.2025]]</f>
        <v>119914</v>
      </c>
      <c r="AE277" s="149">
        <f>Д402[[#This Row],[Фикс 24.02.25]]*0.5%</f>
        <v>599.57000000000005</v>
      </c>
      <c r="AF277" s="10">
        <f>Д402[[#This Row],[Фикс 24.02.25]]+Д402[[#This Row],[Повышение 05.03.2025
1К: до 40м - 1,5%, 40+ 0,5%
2К - 0,5% ]]</f>
        <v>120513.57</v>
      </c>
      <c r="AG277" s="10"/>
      <c r="AH277" s="10">
        <f>Д402[[#This Row],[Фикс 05.03.25]]+Д402[[#This Row],[повышение 14.03.25 1К-1%]]</f>
        <v>120513.57</v>
      </c>
      <c r="AI277" s="10"/>
      <c r="AJ277" s="10">
        <f>Д402[[#This Row],[Фикс 14.03.25]]+Д402[[#This Row],[повышение 28.03.25 1К-1%]]</f>
        <v>120513.57</v>
      </c>
      <c r="AK277" s="10">
        <f>Д402[[#This Row],[Фикс 28.03.25]]*3%</f>
        <v>3615.4070999999999</v>
      </c>
      <c r="AL277" s="10">
        <f>Д402[[#This Row],[Фикс 28.03.25]]+Д402[[#This Row],[Повышение 23.07.25
1К 43-46м2 - 2%
2К 55-58 - 2%; 58-64 - 3%
3К 76-79 - 2%
]]</f>
        <v>124128.9771</v>
      </c>
      <c r="AM277" s="149">
        <f>ROUND(Д402[[#This Row],[Фикс 23.07.25]],2)</f>
        <v>124128.98</v>
      </c>
      <c r="AN277" s="149">
        <f>ROUNDUP(Д402[[#This Row],[утв цена м2]]*Д402[[#This Row],[Расчетная проектная площадь]],-2)</f>
        <v>7327400</v>
      </c>
      <c r="AO277" s="151"/>
      <c r="AP277" s="152"/>
      <c r="AQ277" s="151">
        <f>Д402[[#This Row],[Стоимость до скидки]]*Д402[[#This Row],[Скидка %]]+Д402[[#This Row],[Скидка фиксированная]]</f>
        <v>0</v>
      </c>
      <c r="AR277" s="3">
        <f>Д402[[#This Row],[Стоимость ОН без отделки со скидкой]]/Д402[[#This Row],[Расчетная проектная площадь]]</f>
        <v>124130.10333728613</v>
      </c>
      <c r="AS277" s="3">
        <f>Д402[[#This Row],[Стоимость до скидки]]-Д402[[#This Row],[Итоговая сумма скидки]]</f>
        <v>7327400</v>
      </c>
      <c r="AT27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77" s="153"/>
      <c r="AV277" s="153"/>
      <c r="AW277" s="3">
        <f>Д402[[#This Row],[Цена м2 без отделки со скидкой]]+Д402[[#This Row],[Стоимость отделки]]</f>
        <v>124130.10333728613</v>
      </c>
      <c r="AX277" s="3">
        <f>Д402[[#This Row],[Стоимость квартиры с отделкой]]-Д402[[#This Row],[Стоимость ОН без отделки со скидкой]]</f>
        <v>0</v>
      </c>
      <c r="AY277" s="3">
        <f>Д402[[#This Row],[Цена м2 с отделкой]]*Д402[[#This Row],[Расчетная проектная площадь]]</f>
        <v>7327400</v>
      </c>
      <c r="AZ277" s="161"/>
      <c r="BA277" s="155" t="s">
        <v>12</v>
      </c>
      <c r="BB277" s="156" t="str" cm="1">
        <f t="array" ref="BB27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77" s="161" t="s">
        <v>738</v>
      </c>
      <c r="BD277" s="161" t="s">
        <v>739</v>
      </c>
      <c r="BE277" s="161" t="s">
        <v>737</v>
      </c>
      <c r="BF277" s="161" t="s">
        <v>747</v>
      </c>
      <c r="BG277" s="161" t="b">
        <f>EXACT(Д402[[#This Row],[Статусы CRM]],Д402[[#This Row],[Статус]])</f>
        <v>1</v>
      </c>
      <c r="BH277" s="3">
        <f>IF(Д402[[#This Row],[ПС]]=0,IF(Д402[[#This Row],[ДС]]=0,Д402[[#This Row],[ТС]],Д402[[#This Row],[ДС]]),Д402[[#This Row],[ПС]])</f>
        <v>7327400</v>
      </c>
      <c r="BI277" s="3">
        <v>7327400</v>
      </c>
      <c r="BJ277" s="3">
        <v>0</v>
      </c>
      <c r="BK277" s="3">
        <v>0</v>
      </c>
      <c r="BL277" s="273">
        <f>Д402[[#This Row],[Стоимость CRM]]-Д402[[#This Row],[Стоимость до скидки]]</f>
        <v>0</v>
      </c>
      <c r="BM277" s="161" t="s">
        <v>9</v>
      </c>
      <c r="BN277" s="161" t="b">
        <f>Д402[[#This Row],[Отделка CRM]]=Д402[[#This Row],[Отделка]]</f>
        <v>1</v>
      </c>
      <c r="BO277" s="275" t="s">
        <v>409</v>
      </c>
      <c r="BP277" s="69"/>
    </row>
    <row r="278" spans="1:68" ht="12" customHeight="1" x14ac:dyDescent="0.25">
      <c r="A278" s="140">
        <v>276</v>
      </c>
      <c r="B278" s="15">
        <v>3</v>
      </c>
      <c r="C278" s="141">
        <f t="shared" si="9"/>
        <v>17</v>
      </c>
      <c r="D278" s="142">
        <v>6</v>
      </c>
      <c r="E278" s="141">
        <v>0</v>
      </c>
      <c r="F278" s="143">
        <v>16.25</v>
      </c>
      <c r="G278" s="143"/>
      <c r="H278" s="143"/>
      <c r="I278" s="144">
        <f>SUM(Д402[[#This Row],[Комната 1]:[Комната 3]])</f>
        <v>16.25</v>
      </c>
      <c r="J278" s="145">
        <v>5</v>
      </c>
      <c r="K278" s="145">
        <v>3.97</v>
      </c>
      <c r="L278" s="145"/>
      <c r="M278" s="145">
        <v>4.21</v>
      </c>
      <c r="N278" s="145"/>
      <c r="O278" s="145"/>
      <c r="P278" s="146"/>
      <c r="Q278" s="146"/>
      <c r="R278" s="146">
        <f>SUM(Д402[[#This Row],[Лоджия 1]:[Лоджия 3]])</f>
        <v>0</v>
      </c>
      <c r="S278" s="10">
        <f>ROUND(SUM(Д402[[#This Row],[Площадь по проекту жилая]:[Лоджия 3]]),2)</f>
        <v>29.43</v>
      </c>
      <c r="T278" s="10">
        <f>ROUND(Д402[[#This Row],[Площадь по проекту(общая)]]-Д402[[#This Row],[Летние]],2)</f>
        <v>29.43</v>
      </c>
      <c r="U278" s="10">
        <f>ROUND(Д402[[#This Row],[Площадь по проекту(общая)]]-(SUM(Д402[[#This Row],[Лоджия 1]:[Лоджия 3]])/2),2)</f>
        <v>29.43</v>
      </c>
      <c r="V278" s="10">
        <f>VLOOKUP(Д402[[#This Row],[№]],наценка7[],COLUMN(наценка7[[#This Row],[Цена м2 с учетом всех K]]),0)</f>
        <v>138332.70000000001</v>
      </c>
      <c r="W278" s="162"/>
      <c r="X278" s="10">
        <f>Д402[[#This Row],[м2 после К]]+Д402[[#This Row],[02.12.2024]]</f>
        <v>138332.70000000001</v>
      </c>
      <c r="Y278" s="149">
        <v>1000</v>
      </c>
      <c r="Z278" s="10">
        <f>Д402[[#This Row],[Фикс 20.12.24]]+Д402[[#This Row],[23.12.24 СП +1000]]</f>
        <v>139332.70000000001</v>
      </c>
      <c r="AA278" s="149">
        <v>215</v>
      </c>
      <c r="AB278" s="10">
        <f>Д402[[#This Row],[Фикс 23.12.24]]+Д402[[#This Row],[Повышение 20.02.25]]</f>
        <v>139547.70000000001</v>
      </c>
      <c r="AC278" s="149">
        <v>17.5</v>
      </c>
      <c r="AD278" s="10">
        <f>Д402[[#This Row],[Фикс 20.02.25]]+Д402[[#This Row],[Повышение 24.02.2025]]</f>
        <v>139565.20000000001</v>
      </c>
      <c r="AE278" s="10"/>
      <c r="AF278" s="10">
        <f>Д402[[#This Row],[Фикс 24.02.25]]+Д402[[#This Row],[Повышение 05.03.2025
1К: до 40м - 1,5%, 40+ 0,5%
2К - 0,5% ]]</f>
        <v>139565.20000000001</v>
      </c>
      <c r="AG278" s="10"/>
      <c r="AH278" s="10">
        <f>Д402[[#This Row],[Фикс 05.03.25]]+Д402[[#This Row],[повышение 14.03.25 1К-1%]]</f>
        <v>139565.20000000001</v>
      </c>
      <c r="AI278" s="10"/>
      <c r="AJ278" s="10">
        <f>Д402[[#This Row],[Фикс 14.03.25]]+Д402[[#This Row],[повышение 28.03.25 1К-1%]]</f>
        <v>139565.20000000001</v>
      </c>
      <c r="AK278" s="10"/>
      <c r="AL278" s="10">
        <f>Д402[[#This Row],[Фикс 28.03.25]]+Д402[[#This Row],[Повышение 23.07.25
1К 43-46м2 - 2%
2К 55-58 - 2%; 58-64 - 3%
3К 76-79 - 2%
]]</f>
        <v>139565.20000000001</v>
      </c>
      <c r="AM278" s="149">
        <f>ROUND(Д402[[#This Row],[Фикс 23.07.25]],2)</f>
        <v>139565.20000000001</v>
      </c>
      <c r="AN278" s="149">
        <f>ROUNDUP(Д402[[#This Row],[утв цена м2]]*Д402[[#This Row],[Расчетная проектная площадь]],-2)</f>
        <v>4107500</v>
      </c>
      <c r="AO278" s="151"/>
      <c r="AP278" s="152"/>
      <c r="AQ278" s="151">
        <f>Д402[[#This Row],[Стоимость до скидки]]*Д402[[#This Row],[Скидка %]]+Д402[[#This Row],[Скидка фиксированная]]</f>
        <v>0</v>
      </c>
      <c r="AR278" s="3">
        <f>Д402[[#This Row],[Стоимость ОН без отделки со скидкой]]/Д402[[#This Row],[Расчетная проектная площадь]]</f>
        <v>139568.46755011892</v>
      </c>
      <c r="AS278" s="3">
        <f>Д402[[#This Row],[Стоимость до скидки]]-Д402[[#This Row],[Итоговая сумма скидки]]</f>
        <v>4107500</v>
      </c>
      <c r="AT27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78" s="153">
        <v>30000</v>
      </c>
      <c r="AV278" s="153" t="s">
        <v>722</v>
      </c>
      <c r="AW278" s="3">
        <f>Д402[[#This Row],[Цена м2 без отделки со скидкой]]+Д402[[#This Row],[Стоимость отделки]]</f>
        <v>169568.46755011892</v>
      </c>
      <c r="AX278" s="3">
        <f>Д402[[#This Row],[Стоимость квартиры с отделкой]]-Д402[[#This Row],[Стоимость ОН без отделки со скидкой]]</f>
        <v>882900</v>
      </c>
      <c r="AY278" s="3">
        <f>Д402[[#This Row],[Цена м2 с отделкой]]*Д402[[#This Row],[Расчетная проектная площадь]]</f>
        <v>4990400</v>
      </c>
      <c r="AZ278" s="161"/>
      <c r="BA278" s="155" t="s">
        <v>12</v>
      </c>
      <c r="BB278" s="156" t="str" cm="1">
        <f t="array" ref="BB27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78" s="161" t="s">
        <v>738</v>
      </c>
      <c r="BD278" s="161" t="s">
        <v>739</v>
      </c>
      <c r="BE278" s="161" t="s">
        <v>737</v>
      </c>
      <c r="BF278" s="161" t="s">
        <v>743</v>
      </c>
      <c r="BG278" s="161" t="b">
        <f>EXACT(Д402[[#This Row],[Статусы CRM]],Д402[[#This Row],[Статус]])</f>
        <v>1</v>
      </c>
      <c r="BH278" s="3">
        <f>IF(Д402[[#This Row],[ПС]]=0,IF(Д402[[#This Row],[ДС]]=0,Д402[[#This Row],[ТС]],Д402[[#This Row],[ДС]]),Д402[[#This Row],[ПС]])</f>
        <v>4107500</v>
      </c>
      <c r="BI278" s="3">
        <v>4107500</v>
      </c>
      <c r="BJ278" s="3">
        <v>0</v>
      </c>
      <c r="BK278" s="3">
        <v>0</v>
      </c>
      <c r="BL278" s="273">
        <f>Д402[[#This Row],[Стоимость CRM]]-Д402[[#This Row],[Стоимость до скидки]]</f>
        <v>0</v>
      </c>
      <c r="BM278" s="161" t="s">
        <v>11</v>
      </c>
      <c r="BN278" s="161" t="b">
        <f>Д402[[#This Row],[Отделка CRM]]=Д402[[#This Row],[Отделка]]</f>
        <v>1</v>
      </c>
      <c r="BO278" s="275" t="s">
        <v>410</v>
      </c>
      <c r="BP278" s="69"/>
    </row>
    <row r="279" spans="1:68" ht="12" customHeight="1" x14ac:dyDescent="0.25">
      <c r="A279" s="140">
        <v>277</v>
      </c>
      <c r="B279" s="15">
        <v>3</v>
      </c>
      <c r="C279" s="141">
        <f t="shared" si="9"/>
        <v>18</v>
      </c>
      <c r="D279" s="142">
        <v>1</v>
      </c>
      <c r="E279" s="141">
        <v>1</v>
      </c>
      <c r="F279" s="143">
        <v>14.42</v>
      </c>
      <c r="G279" s="143"/>
      <c r="H279" s="143"/>
      <c r="I279" s="144">
        <f>SUM(Д402[[#This Row],[Комната 1]:[Комната 3]])</f>
        <v>14.42</v>
      </c>
      <c r="J279" s="145">
        <v>15.83</v>
      </c>
      <c r="K279" s="145">
        <v>4.09</v>
      </c>
      <c r="L279" s="145"/>
      <c r="M279" s="145">
        <v>8.0299999999999994</v>
      </c>
      <c r="N279" s="145"/>
      <c r="O279" s="145">
        <v>3.01</v>
      </c>
      <c r="P279" s="146"/>
      <c r="Q279" s="146"/>
      <c r="R279" s="146">
        <f>SUM(Д402[[#This Row],[Лоджия 1]:[Лоджия 3]])</f>
        <v>3.01</v>
      </c>
      <c r="S279" s="10">
        <f>ROUND(SUM(Д402[[#This Row],[Площадь по проекту жилая]:[Лоджия 3]]),2)</f>
        <v>45.38</v>
      </c>
      <c r="T279" s="10">
        <f>ROUND(Д402[[#This Row],[Площадь по проекту(общая)]]-Д402[[#This Row],[Летние]],2)</f>
        <v>42.37</v>
      </c>
      <c r="U279" s="10">
        <f>ROUND(Д402[[#This Row],[Площадь по проекту(общая)]]-(SUM(Д402[[#This Row],[Лоджия 1]:[Лоджия 3]])/2),2)</f>
        <v>43.88</v>
      </c>
      <c r="V279" s="10">
        <f>VLOOKUP(Д402[[#This Row],[№]],наценка7[],COLUMN(наценка7[[#This Row],[Цена м2 с учетом всех K]]),0)</f>
        <v>125223</v>
      </c>
      <c r="W279" s="159">
        <f>2%*Д402[[#This Row],[м2 после К]]</f>
        <v>2504.46</v>
      </c>
      <c r="X279" s="10">
        <f>Д402[[#This Row],[м2 после К]]+Д402[[#This Row],[02.12.2024]]</f>
        <v>127727.46</v>
      </c>
      <c r="Y279" s="149">
        <v>1000</v>
      </c>
      <c r="Z279" s="10">
        <f>Д402[[#This Row],[Фикс 20.12.24]]+Д402[[#This Row],[23.12.24 СП +1000]]</f>
        <v>128727.46</v>
      </c>
      <c r="AA279" s="149">
        <v>215</v>
      </c>
      <c r="AB279" s="10">
        <f>Д402[[#This Row],[Фикс 23.12.24]]+Д402[[#This Row],[Повышение 20.02.25]]</f>
        <v>128942.46</v>
      </c>
      <c r="AC279" s="149">
        <v>17.5</v>
      </c>
      <c r="AD279" s="10">
        <f>Д402[[#This Row],[Фикс 20.02.25]]+Д402[[#This Row],[Повышение 24.02.2025]]</f>
        <v>128959.96</v>
      </c>
      <c r="AE279" s="149">
        <f>Д402[[#This Row],[Фикс 24.02.25]]*0.5%</f>
        <v>644.7998</v>
      </c>
      <c r="AF279" s="10">
        <f>Д402[[#This Row],[Фикс 24.02.25]]+Д402[[#This Row],[Повышение 05.03.2025
1К: до 40м - 1,5%, 40+ 0,5%
2К - 0,5% ]]</f>
        <v>129604.7598</v>
      </c>
      <c r="AG279" s="149">
        <f>Д402[[#This Row],[Фикс 05.03.25]]*1%</f>
        <v>1296.0475980000001</v>
      </c>
      <c r="AH279" s="10">
        <f>Д402[[#This Row],[Фикс 05.03.25]]+Д402[[#This Row],[повышение 14.03.25 1К-1%]]</f>
        <v>130900.807398</v>
      </c>
      <c r="AI279" s="149">
        <f>Д402[[#This Row],[Фикс 14.03.25]]*1%</f>
        <v>1309.0080739800001</v>
      </c>
      <c r="AJ279" s="10">
        <f>Д402[[#This Row],[Фикс 14.03.25]]+Д402[[#This Row],[повышение 28.03.25 1К-1%]]</f>
        <v>132209.81547197999</v>
      </c>
      <c r="AK279" s="149">
        <f>Д402[[#This Row],[Фикс 28.03.25]]*2%</f>
        <v>2644.1963094396001</v>
      </c>
      <c r="AL279" s="10">
        <f>Д402[[#This Row],[Фикс 28.03.25]]+Д402[[#This Row],[Повышение 23.07.25
1К 43-46м2 - 2%
2К 55-58 - 2%; 58-64 - 3%
3К 76-79 - 2%
]]</f>
        <v>134854.0117814196</v>
      </c>
      <c r="AM279" s="149">
        <f>ROUND(Д402[[#This Row],[Фикс 23.07.25]],2)</f>
        <v>134854.01</v>
      </c>
      <c r="AN279" s="149">
        <f>ROUNDUP(Д402[[#This Row],[утв цена м2]]*Д402[[#This Row],[Расчетная проектная площадь]],-2)</f>
        <v>5917400</v>
      </c>
      <c r="AO279" s="151"/>
      <c r="AP279" s="152"/>
      <c r="AQ279" s="151">
        <f>Д402[[#This Row],[Стоимость до скидки]]*Д402[[#This Row],[Скидка %]]+Д402[[#This Row],[Скидка фиксированная]]</f>
        <v>0</v>
      </c>
      <c r="AR279" s="3">
        <f>Д402[[#This Row],[Стоимость ОН без отделки со скидкой]]/Д402[[#This Row],[Расчетная проектная площадь]]</f>
        <v>134854.14767547857</v>
      </c>
      <c r="AS279" s="3">
        <f>Д402[[#This Row],[Стоимость до скидки]]-Д402[[#This Row],[Итоговая сумма скидки]]</f>
        <v>5917400</v>
      </c>
      <c r="AT27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79" s="153">
        <v>30000</v>
      </c>
      <c r="AV279" s="153" t="s">
        <v>722</v>
      </c>
      <c r="AW279" s="3">
        <f>Д402[[#This Row],[Цена м2 без отделки со скидкой]]+Д402[[#This Row],[Стоимость отделки]]</f>
        <v>164854.14767547857</v>
      </c>
      <c r="AX279" s="3">
        <f>Д402[[#This Row],[Стоимость квартиры с отделкой]]-Д402[[#This Row],[Стоимость ОН без отделки со скидкой]]</f>
        <v>1316400</v>
      </c>
      <c r="AY279" s="3">
        <f>Д402[[#This Row],[Цена м2 с отделкой]]*Д402[[#This Row],[Расчетная проектная площадь]]</f>
        <v>7233800</v>
      </c>
      <c r="AZ279" s="161"/>
      <c r="BA279" s="269" t="s">
        <v>128</v>
      </c>
      <c r="BB279" s="269" t="str" cm="1">
        <f t="array" ref="BB27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79" s="161" t="s">
        <v>740</v>
      </c>
      <c r="BD279" s="161" t="s">
        <v>506</v>
      </c>
      <c r="BE279" s="161" t="s">
        <v>737</v>
      </c>
      <c r="BF279" s="161" t="s">
        <v>745</v>
      </c>
      <c r="BG279" s="161" t="b">
        <f>EXACT(Д402[[#This Row],[Статусы CRM]],Д402[[#This Row],[Статус]])</f>
        <v>1</v>
      </c>
      <c r="BH279" s="3">
        <f>IF(Д402[[#This Row],[ПС]]=0,IF(Д402[[#This Row],[ДС]]=0,Д402[[#This Row],[ТС]],Д402[[#This Row],[ДС]]),Д402[[#This Row],[ПС]])</f>
        <v>5917400</v>
      </c>
      <c r="BI279" s="3">
        <v>5917400</v>
      </c>
      <c r="BJ279" s="3">
        <v>0</v>
      </c>
      <c r="BK279" s="3">
        <v>0</v>
      </c>
      <c r="BL279" s="273">
        <f>Д402[[#This Row],[Стоимость CRM]]-Д402[[#This Row],[Стоимость до скидки]]</f>
        <v>0</v>
      </c>
      <c r="BM279" s="161" t="s">
        <v>11</v>
      </c>
      <c r="BN279" s="161" t="b">
        <f>Д402[[#This Row],[Отделка CRM]]=Д402[[#This Row],[Отделка]]</f>
        <v>1</v>
      </c>
      <c r="BO279" s="275" t="s">
        <v>411</v>
      </c>
      <c r="BP279" s="69"/>
    </row>
    <row r="280" spans="1:68" ht="12" customHeight="1" x14ac:dyDescent="0.25">
      <c r="A280" s="140">
        <v>278</v>
      </c>
      <c r="B280" s="15">
        <v>3</v>
      </c>
      <c r="C280" s="141">
        <f t="shared" si="9"/>
        <v>18</v>
      </c>
      <c r="D280" s="142">
        <v>2</v>
      </c>
      <c r="E280" s="141">
        <v>1</v>
      </c>
      <c r="F280" s="143">
        <v>12.76</v>
      </c>
      <c r="G280" s="143"/>
      <c r="H280" s="143"/>
      <c r="I280" s="144">
        <f>SUM(Д402[[#This Row],[Комната 1]:[Комната 3]])</f>
        <v>12.76</v>
      </c>
      <c r="J280" s="145">
        <v>14.81</v>
      </c>
      <c r="K280" s="145">
        <v>4.22</v>
      </c>
      <c r="L280" s="145"/>
      <c r="M280" s="145">
        <v>3.09</v>
      </c>
      <c r="N280" s="145"/>
      <c r="O280" s="145">
        <v>2.93</v>
      </c>
      <c r="P280" s="146"/>
      <c r="Q280" s="146"/>
      <c r="R280" s="146">
        <f>SUM(Д402[[#This Row],[Лоджия 1]:[Лоджия 3]])</f>
        <v>2.93</v>
      </c>
      <c r="S280" s="10">
        <f>ROUND(SUM(Д402[[#This Row],[Площадь по проекту жилая]:[Лоджия 3]]),2)</f>
        <v>37.81</v>
      </c>
      <c r="T280" s="10">
        <f>ROUND(Д402[[#This Row],[Площадь по проекту(общая)]]-Д402[[#This Row],[Летние]],2)</f>
        <v>34.880000000000003</v>
      </c>
      <c r="U280" s="10">
        <f>ROUND(Д402[[#This Row],[Площадь по проекту(общая)]]-(SUM(Д402[[#This Row],[Лоджия 1]:[Лоджия 3]])/2),2)</f>
        <v>36.35</v>
      </c>
      <c r="V280" s="10">
        <f>VLOOKUP(Д402[[#This Row],[№]],наценка7[],COLUMN(наценка7[[#This Row],[Цена м2 с учетом всех K]]),0)</f>
        <v>128800.8</v>
      </c>
      <c r="W280" s="159">
        <f>2%*Д402[[#This Row],[м2 после К]]</f>
        <v>2576.0160000000001</v>
      </c>
      <c r="X280" s="10">
        <f>Д402[[#This Row],[м2 после К]]+Д402[[#This Row],[02.12.2024]]</f>
        <v>131376.81599999999</v>
      </c>
      <c r="Y280" s="149">
        <v>1000</v>
      </c>
      <c r="Z280" s="10">
        <f>Д402[[#This Row],[Фикс 20.12.24]]+Д402[[#This Row],[23.12.24 СП +1000]]</f>
        <v>132376.81599999999</v>
      </c>
      <c r="AA280" s="149">
        <v>215</v>
      </c>
      <c r="AB280" s="10">
        <f>Д402[[#This Row],[Фикс 23.12.24]]+Д402[[#This Row],[Повышение 20.02.25]]</f>
        <v>132591.81599999999</v>
      </c>
      <c r="AC280" s="149">
        <v>17.5</v>
      </c>
      <c r="AD280" s="10">
        <f>Д402[[#This Row],[Фикс 20.02.25]]+Д402[[#This Row],[Повышение 24.02.2025]]</f>
        <v>132609.31599999999</v>
      </c>
      <c r="AE280" s="149">
        <f>Д402[[#This Row],[Фикс 24.02.25]]*1.5%</f>
        <v>1989.1397399999998</v>
      </c>
      <c r="AF280" s="10">
        <f>Д402[[#This Row],[Фикс 24.02.25]]+Д402[[#This Row],[Повышение 05.03.2025
1К: до 40м - 1,5%, 40+ 0,5%
2К - 0,5% ]]</f>
        <v>134598.45574</v>
      </c>
      <c r="AG280" s="10"/>
      <c r="AH280" s="10">
        <f>Д402[[#This Row],[Фикс 05.03.25]]+Д402[[#This Row],[повышение 14.03.25 1К-1%]]</f>
        <v>134598.45574</v>
      </c>
      <c r="AI280" s="10"/>
      <c r="AJ280" s="10">
        <f>Д402[[#This Row],[Фикс 14.03.25]]+Д402[[#This Row],[повышение 28.03.25 1К-1%]]</f>
        <v>134598.45574</v>
      </c>
      <c r="AK280" s="10"/>
      <c r="AL280" s="10">
        <f>Д402[[#This Row],[Фикс 28.03.25]]+Д402[[#This Row],[Повышение 23.07.25
1К 43-46м2 - 2%
2К 55-58 - 2%; 58-64 - 3%
3К 76-79 - 2%
]]</f>
        <v>134598.45574</v>
      </c>
      <c r="AM280" s="149">
        <f>ROUND(Д402[[#This Row],[Фикс 23.07.25]],2)</f>
        <v>134598.46</v>
      </c>
      <c r="AN280" s="149">
        <f>ROUNDUP(Д402[[#This Row],[утв цена м2]]*Д402[[#This Row],[Расчетная проектная площадь]],-2)</f>
        <v>4892700</v>
      </c>
      <c r="AO280" s="151"/>
      <c r="AP280" s="152">
        <v>0.03</v>
      </c>
      <c r="AQ280" s="151">
        <f>Д402[[#This Row],[Стоимость до скидки]]*Д402[[#This Row],[Скидка %]]+Д402[[#This Row],[Скидка фиксированная]]</f>
        <v>146781</v>
      </c>
      <c r="AR280" s="3">
        <f>Д402[[#This Row],[Стоимость ОН без отделки со скидкой]]/Д402[[#This Row],[Расчетная проектная площадь]]</f>
        <v>130561.73314993121</v>
      </c>
      <c r="AS280" s="3">
        <f>Д402[[#This Row],[Стоимость до скидки]]-Д402[[#This Row],[Итоговая сумма скидки]]</f>
        <v>4745919</v>
      </c>
      <c r="AT28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0" s="153"/>
      <c r="AV280" s="153"/>
      <c r="AW280" s="3">
        <f>Д402[[#This Row],[Цена м2 без отделки со скидкой]]+Д402[[#This Row],[Стоимость отделки]]</f>
        <v>130561.73314993121</v>
      </c>
      <c r="AX280" s="3">
        <f>Д402[[#This Row],[Стоимость квартиры с отделкой]]-Д402[[#This Row],[Стоимость ОН без отделки со скидкой]]</f>
        <v>0</v>
      </c>
      <c r="AY280" s="3">
        <f>Д402[[#This Row],[Цена м2 с отделкой]]*Д402[[#This Row],[Расчетная проектная площадь]]</f>
        <v>4745919</v>
      </c>
      <c r="AZ280" s="161" t="s">
        <v>708</v>
      </c>
      <c r="BA280" s="277" t="s">
        <v>426</v>
      </c>
      <c r="BB280" s="269" t="str" cm="1">
        <f t="array" ref="BB28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80" s="161" t="s">
        <v>741</v>
      </c>
      <c r="BD280" s="161" t="s">
        <v>506</v>
      </c>
      <c r="BE280" s="161" t="s">
        <v>737</v>
      </c>
      <c r="BF280" s="161" t="s">
        <v>745</v>
      </c>
      <c r="BG280" s="161" t="b">
        <f>EXACT(Д402[[#This Row],[Статусы CRM]],Д402[[#This Row],[Статус]])</f>
        <v>1</v>
      </c>
      <c r="BH280" s="3">
        <f>IF(Д402[[#This Row],[ПС]]=0,IF(Д402[[#This Row],[ДС]]=0,Д402[[#This Row],[ТС]],Д402[[#This Row],[ДС]]),Д402[[#This Row],[ПС]])</f>
        <v>4892700</v>
      </c>
      <c r="BI280" s="3" t="s">
        <v>749</v>
      </c>
      <c r="BJ280" s="3">
        <v>0</v>
      </c>
      <c r="BK280" s="3">
        <v>4892700</v>
      </c>
      <c r="BL280" s="273">
        <f>Д402[[#This Row],[Стоимость CRM]]-Д402[[#This Row],[Стоимость до скидки]]</f>
        <v>0</v>
      </c>
      <c r="BM280" s="161" t="s">
        <v>9</v>
      </c>
      <c r="BN280" s="161" t="b">
        <f>Д402[[#This Row],[Отделка CRM]]=Д402[[#This Row],[Отделка]]</f>
        <v>1</v>
      </c>
      <c r="BO280" s="275" t="s">
        <v>412</v>
      </c>
      <c r="BP280" s="69"/>
    </row>
    <row r="281" spans="1:68" ht="12" customHeight="1" x14ac:dyDescent="0.25">
      <c r="A281" s="140">
        <v>279</v>
      </c>
      <c r="B281" s="15">
        <v>3</v>
      </c>
      <c r="C281" s="141">
        <f t="shared" si="9"/>
        <v>18</v>
      </c>
      <c r="D281" s="142">
        <v>3</v>
      </c>
      <c r="E281" s="141">
        <v>2</v>
      </c>
      <c r="F281" s="143">
        <v>15.36</v>
      </c>
      <c r="G281" s="143">
        <v>11.95</v>
      </c>
      <c r="H281" s="143"/>
      <c r="I281" s="144">
        <f>SUM(Д402[[#This Row],[Комната 1]:[Комната 3]])</f>
        <v>27.31</v>
      </c>
      <c r="J281" s="145">
        <v>14.34</v>
      </c>
      <c r="K281" s="145">
        <v>4.21</v>
      </c>
      <c r="L281" s="145"/>
      <c r="M281" s="145">
        <v>6.6</v>
      </c>
      <c r="N281" s="145"/>
      <c r="O281" s="145">
        <v>3.23</v>
      </c>
      <c r="P281" s="146"/>
      <c r="Q281" s="146"/>
      <c r="R281" s="146">
        <f>SUM(Д402[[#This Row],[Лоджия 1]:[Лоджия 3]])</f>
        <v>3.23</v>
      </c>
      <c r="S281" s="10">
        <f>ROUND(SUM(Д402[[#This Row],[Площадь по проекту жилая]:[Лоджия 3]]),2)</f>
        <v>55.69</v>
      </c>
      <c r="T281" s="10">
        <f>ROUND(Д402[[#This Row],[Площадь по проекту(общая)]]-Д402[[#This Row],[Летние]],2)</f>
        <v>52.46</v>
      </c>
      <c r="U281" s="10">
        <f>ROUND(Д402[[#This Row],[Площадь по проекту(общая)]]-(SUM(Д402[[#This Row],[Лоджия 1]:[Лоджия 3]])/2),2)</f>
        <v>54.08</v>
      </c>
      <c r="V281" s="10">
        <f>VLOOKUP(Д402[[#This Row],[№]],наценка7[],COLUMN(наценка7[[#This Row],[Цена м2 с учетом всех K]]),0)</f>
        <v>122072.4</v>
      </c>
      <c r="W281" s="162">
        <f>0.021*Д402[[#This Row],[м2 после К]]</f>
        <v>2563.5203999999999</v>
      </c>
      <c r="X281" s="10">
        <f>Д402[[#This Row],[м2 после К]]+Д402[[#This Row],[02.12.2024]]</f>
        <v>124635.92039999999</v>
      </c>
      <c r="Y281" s="149">
        <v>1000</v>
      </c>
      <c r="Z281" s="10">
        <f>Д402[[#This Row],[Фикс 20.12.24]]+Д402[[#This Row],[23.12.24 СП +1000]]</f>
        <v>125635.92039999999</v>
      </c>
      <c r="AA281" s="149">
        <v>215</v>
      </c>
      <c r="AB281" s="10">
        <f>Д402[[#This Row],[Фикс 23.12.24]]+Д402[[#This Row],[Повышение 20.02.25]]</f>
        <v>125850.92039999999</v>
      </c>
      <c r="AC281" s="149">
        <v>17.5</v>
      </c>
      <c r="AD281" s="10">
        <f>Д402[[#This Row],[Фикс 20.02.25]]+Д402[[#This Row],[Повышение 24.02.2025]]</f>
        <v>125868.42039999999</v>
      </c>
      <c r="AE281" s="10"/>
      <c r="AF281" s="10">
        <f>Д402[[#This Row],[Фикс 24.02.25]]+Д402[[#This Row],[Повышение 05.03.2025
1К: до 40м - 1,5%, 40+ 0,5%
2К - 0,5% ]]</f>
        <v>125868.42039999999</v>
      </c>
      <c r="AG281" s="10"/>
      <c r="AH281" s="10">
        <f>Д402[[#This Row],[Фикс 05.03.25]]+Д402[[#This Row],[повышение 14.03.25 1К-1%]]</f>
        <v>125868.42039999999</v>
      </c>
      <c r="AI281" s="10"/>
      <c r="AJ281" s="10">
        <f>Д402[[#This Row],[Фикс 14.03.25]]+Д402[[#This Row],[повышение 28.03.25 1К-1%]]</f>
        <v>125868.42039999999</v>
      </c>
      <c r="AK281" s="10"/>
      <c r="AL281" s="10">
        <f>Д402[[#This Row],[Фикс 28.03.25]]+Д402[[#This Row],[Повышение 23.07.25
1К 43-46м2 - 2%
2К 55-58 - 2%; 58-64 - 3%
3К 76-79 - 2%
]]</f>
        <v>125868.42039999999</v>
      </c>
      <c r="AM281" s="149">
        <f>ROUND(Д402[[#This Row],[Фикс 23.07.25]],2)</f>
        <v>125868.42</v>
      </c>
      <c r="AN281" s="149">
        <f>ROUNDUP(Д402[[#This Row],[утв цена м2]]*Д402[[#This Row],[Расчетная проектная площадь]],-2)</f>
        <v>6807000</v>
      </c>
      <c r="AO281" s="151"/>
      <c r="AP281" s="152">
        <v>0.02</v>
      </c>
      <c r="AQ281" s="151">
        <f>Д402[[#This Row],[Стоимость до скидки]]*Д402[[#This Row],[Скидка %]]+Д402[[#This Row],[Скидка фиксированная]]</f>
        <v>136140</v>
      </c>
      <c r="AR281" s="3">
        <f>Д402[[#This Row],[Стоимость ОН без отделки со скидкой]]/Д402[[#This Row],[Расчетная проектная площадь]]</f>
        <v>123351.70118343196</v>
      </c>
      <c r="AS281" s="3">
        <f>Д402[[#This Row],[Стоимость до скидки]]-Д402[[#This Row],[Итоговая сумма скидки]]</f>
        <v>6670860</v>
      </c>
      <c r="AT281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1" s="153"/>
      <c r="AV281" s="153"/>
      <c r="AW281" s="3">
        <f>Д402[[#This Row],[Цена м2 без отделки со скидкой]]+Д402[[#This Row],[Стоимость отделки]]</f>
        <v>123351.70118343196</v>
      </c>
      <c r="AX281" s="3">
        <f>Д402[[#This Row],[Стоимость квартиры с отделкой]]-Д402[[#This Row],[Стоимость ОН без отделки со скидкой]]</f>
        <v>0</v>
      </c>
      <c r="AY281" s="3">
        <f>Д402[[#This Row],[Цена м2 с отделкой]]*Д402[[#This Row],[Расчетная проектная площадь]]</f>
        <v>6670860</v>
      </c>
      <c r="AZ281" s="161" t="s">
        <v>436</v>
      </c>
      <c r="BA281" s="277" t="s">
        <v>426</v>
      </c>
      <c r="BB281" s="269" t="str" cm="1">
        <f t="array" ref="BB281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81" s="161" t="s">
        <v>741</v>
      </c>
      <c r="BD281" s="161" t="s">
        <v>506</v>
      </c>
      <c r="BE281" s="161" t="s">
        <v>737</v>
      </c>
      <c r="BF281" s="161" t="s">
        <v>744</v>
      </c>
      <c r="BG281" s="161" t="b">
        <f>EXACT(Д402[[#This Row],[Статусы CRM]],Д402[[#This Row],[Статус]])</f>
        <v>1</v>
      </c>
      <c r="BH281" s="3">
        <f>IF(Д402[[#This Row],[ПС]]=0,IF(Д402[[#This Row],[ДС]]=0,Д402[[#This Row],[ТС]],Д402[[#This Row],[ДС]]),Д402[[#This Row],[ПС]])</f>
        <v>6807000</v>
      </c>
      <c r="BI281" s="3" t="s">
        <v>749</v>
      </c>
      <c r="BJ281" s="3">
        <v>6807000</v>
      </c>
      <c r="BK281" s="3">
        <v>6807000</v>
      </c>
      <c r="BL281" s="273">
        <f>Д402[[#This Row],[Стоимость CRM]]-Д402[[#This Row],[Стоимость до скидки]]</f>
        <v>0</v>
      </c>
      <c r="BM281" s="161" t="s">
        <v>9</v>
      </c>
      <c r="BN281" s="161" t="b">
        <f>Д402[[#This Row],[Отделка CRM]]=Д402[[#This Row],[Отделка]]</f>
        <v>1</v>
      </c>
      <c r="BO281" s="275" t="s">
        <v>413</v>
      </c>
      <c r="BP281" s="69"/>
    </row>
    <row r="282" spans="1:68" ht="12" customHeight="1" x14ac:dyDescent="0.25">
      <c r="A282" s="140">
        <v>280</v>
      </c>
      <c r="B282" s="15">
        <v>3</v>
      </c>
      <c r="C282" s="141">
        <f t="shared" si="9"/>
        <v>18</v>
      </c>
      <c r="D282" s="142">
        <v>4</v>
      </c>
      <c r="E282" s="141">
        <v>2</v>
      </c>
      <c r="F282" s="143">
        <v>15.67</v>
      </c>
      <c r="G282" s="143">
        <v>12.94</v>
      </c>
      <c r="H282" s="143"/>
      <c r="I282" s="144">
        <f>SUM(Д402[[#This Row],[Комната 1]:[Комната 3]])</f>
        <v>28.61</v>
      </c>
      <c r="J282" s="145">
        <v>13.64</v>
      </c>
      <c r="K282" s="145">
        <v>4.16</v>
      </c>
      <c r="L282" s="145"/>
      <c r="M282" s="145">
        <v>7.7</v>
      </c>
      <c r="N282" s="145"/>
      <c r="O282" s="145">
        <v>3.23</v>
      </c>
      <c r="P282" s="146"/>
      <c r="Q282" s="146"/>
      <c r="R282" s="146">
        <f>SUM(Д402[[#This Row],[Лоджия 1]:[Лоджия 3]])</f>
        <v>3.23</v>
      </c>
      <c r="S282" s="10">
        <f>ROUND(SUM(Д402[[#This Row],[Площадь по проекту жилая]:[Лоджия 3]]),2)</f>
        <v>57.34</v>
      </c>
      <c r="T282" s="10">
        <f>ROUND(Д402[[#This Row],[Площадь по проекту(общая)]]-Д402[[#This Row],[Летние]],2)</f>
        <v>54.11</v>
      </c>
      <c r="U282" s="10">
        <f>ROUND(Д402[[#This Row],[Площадь по проекту(общая)]]-(SUM(Д402[[#This Row],[Лоджия 1]:[Лоджия 3]])/2),2)</f>
        <v>55.73</v>
      </c>
      <c r="V282" s="10">
        <f>VLOOKUP(Д402[[#This Row],[№]],наценка7[],COLUMN(наценка7[[#This Row],[Цена м2 с учетом всех K]]),0)</f>
        <v>122072.4</v>
      </c>
      <c r="W282" s="162">
        <f>2%*Д402[[#This Row],[м2 после К]]</f>
        <v>2441.4479999999999</v>
      </c>
      <c r="X282" s="10">
        <f>Д402[[#This Row],[м2 после К]]+Д402[[#This Row],[02.12.2024]]</f>
        <v>124513.848</v>
      </c>
      <c r="Y282" s="149">
        <v>1000</v>
      </c>
      <c r="Z282" s="10">
        <f>Д402[[#This Row],[Фикс 20.12.24]]+Д402[[#This Row],[23.12.24 СП +1000]]</f>
        <v>125513.848</v>
      </c>
      <c r="AA282" s="149">
        <v>215</v>
      </c>
      <c r="AB282" s="10">
        <f>Д402[[#This Row],[Фикс 23.12.24]]+Д402[[#This Row],[Повышение 20.02.25]]</f>
        <v>125728.848</v>
      </c>
      <c r="AC282" s="149">
        <v>17.5</v>
      </c>
      <c r="AD282" s="10">
        <f>Д402[[#This Row],[Фикс 20.02.25]]+Д402[[#This Row],[Повышение 24.02.2025]]</f>
        <v>125746.348</v>
      </c>
      <c r="AE282" s="149">
        <f>Д402[[#This Row],[Фикс 24.02.25]]*0.5%</f>
        <v>628.73174000000006</v>
      </c>
      <c r="AF282" s="10">
        <f>Д402[[#This Row],[Фикс 24.02.25]]+Д402[[#This Row],[Повышение 05.03.2025
1К: до 40м - 1,5%, 40+ 0,5%
2К - 0,5% ]]</f>
        <v>126375.07974</v>
      </c>
      <c r="AG282" s="10"/>
      <c r="AH282" s="10">
        <f>Д402[[#This Row],[Фикс 05.03.25]]+Д402[[#This Row],[повышение 14.03.25 1К-1%]]</f>
        <v>126375.07974</v>
      </c>
      <c r="AI282" s="10"/>
      <c r="AJ282" s="10">
        <f>Д402[[#This Row],[Фикс 14.03.25]]+Д402[[#This Row],[повышение 28.03.25 1К-1%]]</f>
        <v>126375.07974</v>
      </c>
      <c r="AK282" s="149">
        <f>Д402[[#This Row],[Фикс 28.03.25]]*2%</f>
        <v>2527.5015948</v>
      </c>
      <c r="AL282" s="10">
        <f>Д402[[#This Row],[Фикс 28.03.25]]+Д402[[#This Row],[Повышение 23.07.25
1К 43-46м2 - 2%
2К 55-58 - 2%; 58-64 - 3%
3К 76-79 - 2%
]]</f>
        <v>128902.58133479999</v>
      </c>
      <c r="AM282" s="149">
        <f>ROUND(Д402[[#This Row],[Фикс 23.07.25]],2)</f>
        <v>128902.58</v>
      </c>
      <c r="AN282" s="149">
        <f>ROUNDUP(Д402[[#This Row],[утв цена м2]]*Д402[[#This Row],[Расчетная проектная площадь]],-2)</f>
        <v>7183800</v>
      </c>
      <c r="AO282" s="151"/>
      <c r="AP282" s="152"/>
      <c r="AQ282" s="151">
        <f>Д402[[#This Row],[Стоимость до скидки]]*Д402[[#This Row],[Скидка %]]+Д402[[#This Row],[Скидка фиксированная]]</f>
        <v>0</v>
      </c>
      <c r="AR282" s="3">
        <f>Д402[[#This Row],[Стоимость ОН без отделки со скидкой]]/Д402[[#This Row],[Расчетная проектная площадь]]</f>
        <v>128903.64256235422</v>
      </c>
      <c r="AS282" s="3">
        <f>Д402[[#This Row],[Стоимость до скидки]]-Д402[[#This Row],[Итоговая сумма скидки]]</f>
        <v>7183800</v>
      </c>
      <c r="AT282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Чистовая</v>
      </c>
      <c r="AU282" s="153">
        <v>30000</v>
      </c>
      <c r="AV282" s="153" t="s">
        <v>722</v>
      </c>
      <c r="AW282" s="3">
        <f>Д402[[#This Row],[Цена м2 без отделки со скидкой]]+Д402[[#This Row],[Стоимость отделки]]</f>
        <v>158903.64256235422</v>
      </c>
      <c r="AX282" s="3">
        <f>Д402[[#This Row],[Стоимость квартиры с отделкой]]-Д402[[#This Row],[Стоимость ОН без отделки со скидкой]]</f>
        <v>1671900</v>
      </c>
      <c r="AY282" s="3">
        <f>Д402[[#This Row],[Цена м2 с отделкой]]*Д402[[#This Row],[Расчетная проектная площадь]]</f>
        <v>8855700</v>
      </c>
      <c r="AZ282" s="161"/>
      <c r="BA282" s="269" t="s">
        <v>128</v>
      </c>
      <c r="BB282" s="269" t="str" cm="1">
        <f t="array" ref="BB282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82" s="161" t="s">
        <v>740</v>
      </c>
      <c r="BD282" s="161" t="s">
        <v>506</v>
      </c>
      <c r="BE282" s="161" t="s">
        <v>737</v>
      </c>
      <c r="BF282" s="161" t="s">
        <v>747</v>
      </c>
      <c r="BG282" s="161" t="b">
        <f>EXACT(Д402[[#This Row],[Статусы CRM]],Д402[[#This Row],[Статус]])</f>
        <v>1</v>
      </c>
      <c r="BH282" s="3">
        <f>IF(Д402[[#This Row],[ПС]]=0,IF(Д402[[#This Row],[ДС]]=0,Д402[[#This Row],[ТС]],Д402[[#This Row],[ДС]]),Д402[[#This Row],[ПС]])</f>
        <v>7183800</v>
      </c>
      <c r="BI282" s="3">
        <v>7183800</v>
      </c>
      <c r="BJ282" s="3">
        <v>0</v>
      </c>
      <c r="BK282" s="3">
        <v>0</v>
      </c>
      <c r="BL282" s="273">
        <f>Д402[[#This Row],[Стоимость CRM]]-Д402[[#This Row],[Стоимость до скидки]]</f>
        <v>0</v>
      </c>
      <c r="BM282" s="161" t="s">
        <v>11</v>
      </c>
      <c r="BN282" s="161" t="b">
        <f>Д402[[#This Row],[Отделка CRM]]=Д402[[#This Row],[Отделка]]</f>
        <v>1</v>
      </c>
      <c r="BO282" s="275" t="s">
        <v>414</v>
      </c>
      <c r="BP282" s="69"/>
    </row>
    <row r="283" spans="1:68" ht="12" customHeight="1" x14ac:dyDescent="0.25">
      <c r="A283" s="140">
        <v>281</v>
      </c>
      <c r="B283" s="15">
        <v>3</v>
      </c>
      <c r="C283" s="141">
        <f t="shared" si="9"/>
        <v>18</v>
      </c>
      <c r="D283" s="142">
        <v>5</v>
      </c>
      <c r="E283" s="141">
        <v>2</v>
      </c>
      <c r="F283" s="143">
        <v>18.350000000000001</v>
      </c>
      <c r="G283" s="143">
        <v>15.96</v>
      </c>
      <c r="H283" s="143"/>
      <c r="I283" s="144">
        <f>SUM(Д402[[#This Row],[Комната 1]:[Комната 3]])</f>
        <v>34.31</v>
      </c>
      <c r="J283" s="145">
        <v>11.11</v>
      </c>
      <c r="K283" s="145">
        <v>4.41</v>
      </c>
      <c r="L283" s="145"/>
      <c r="M283" s="145">
        <v>7.65</v>
      </c>
      <c r="N283" s="145"/>
      <c r="O283" s="145">
        <v>3.1</v>
      </c>
      <c r="P283" s="146"/>
      <c r="Q283" s="146"/>
      <c r="R283" s="146">
        <f>SUM(Д402[[#This Row],[Лоджия 1]:[Лоджия 3]])</f>
        <v>3.1</v>
      </c>
      <c r="S283" s="10">
        <f>ROUND(SUM(Д402[[#This Row],[Площадь по проекту жилая]:[Лоджия 3]]),2)</f>
        <v>60.58</v>
      </c>
      <c r="T283" s="10">
        <f>ROUND(Д402[[#This Row],[Площадь по проекту(общая)]]-Д402[[#This Row],[Летние]],2)</f>
        <v>57.48</v>
      </c>
      <c r="U283" s="10">
        <f>ROUND(Д402[[#This Row],[Площадь по проекту(общая)]]-(SUM(Д402[[#This Row],[Лоджия 1]:[Лоджия 3]])/2),2)</f>
        <v>59.03</v>
      </c>
      <c r="V283" s="10">
        <f>VLOOKUP(Д402[[#This Row],[№]],наценка7[],COLUMN(наценка7[[#This Row],[Цена м2 с учетом всех K]]),0)</f>
        <v>120942.1</v>
      </c>
      <c r="W283" s="162"/>
      <c r="X283" s="10">
        <f>Д402[[#This Row],[м2 после К]]+Д402[[#This Row],[02.12.2024]]</f>
        <v>120942.1</v>
      </c>
      <c r="Y283" s="149">
        <v>1000</v>
      </c>
      <c r="Z283" s="10">
        <f>Д402[[#This Row],[Фикс 20.12.24]]+Д402[[#This Row],[23.12.24 СП +1000]]</f>
        <v>121942.1</v>
      </c>
      <c r="AA283" s="149">
        <v>215</v>
      </c>
      <c r="AB283" s="10">
        <f>Д402[[#This Row],[Фикс 23.12.24]]+Д402[[#This Row],[Повышение 20.02.25]]</f>
        <v>122157.1</v>
      </c>
      <c r="AC283" s="149">
        <v>17.5</v>
      </c>
      <c r="AD283" s="10">
        <f>Д402[[#This Row],[Фикс 20.02.25]]+Д402[[#This Row],[Повышение 24.02.2025]]</f>
        <v>122174.6</v>
      </c>
      <c r="AE283" s="149">
        <f>Д402[[#This Row],[Фикс 24.02.25]]*0.5%</f>
        <v>610.87300000000005</v>
      </c>
      <c r="AF283" s="10">
        <f>Д402[[#This Row],[Фикс 24.02.25]]+Д402[[#This Row],[Повышение 05.03.2025
1К: до 40м - 1,5%, 40+ 0,5%
2К - 0,5% ]]</f>
        <v>122785.47300000001</v>
      </c>
      <c r="AG283" s="10"/>
      <c r="AH283" s="10">
        <f>Д402[[#This Row],[Фикс 05.03.25]]+Д402[[#This Row],[повышение 14.03.25 1К-1%]]</f>
        <v>122785.47300000001</v>
      </c>
      <c r="AI283" s="10"/>
      <c r="AJ283" s="10">
        <f>Д402[[#This Row],[Фикс 14.03.25]]+Д402[[#This Row],[повышение 28.03.25 1К-1%]]</f>
        <v>122785.47300000001</v>
      </c>
      <c r="AK283" s="10">
        <f>Д402[[#This Row],[Фикс 28.03.25]]*3%</f>
        <v>3683.5641900000001</v>
      </c>
      <c r="AL283" s="10">
        <f>Д402[[#This Row],[Фикс 28.03.25]]+Д402[[#This Row],[Повышение 23.07.25
1К 43-46м2 - 2%
2К 55-58 - 2%; 58-64 - 3%
3К 76-79 - 2%
]]</f>
        <v>126469.03719000002</v>
      </c>
      <c r="AM283" s="149">
        <f>ROUND(Д402[[#This Row],[Фикс 23.07.25]],2)</f>
        <v>126469.04</v>
      </c>
      <c r="AN283" s="149">
        <f>ROUNDUP(Д402[[#This Row],[утв цена м2]]*Д402[[#This Row],[Расчетная проектная площадь]],-2)</f>
        <v>7465500</v>
      </c>
      <c r="AO283" s="151"/>
      <c r="AP283" s="152"/>
      <c r="AQ283" s="151">
        <f>Д402[[#This Row],[Стоимость до скидки]]*Д402[[#This Row],[Скидка %]]+Д402[[#This Row],[Скидка фиксированная]]</f>
        <v>0</v>
      </c>
      <c r="AR283" s="3">
        <f>Д402[[#This Row],[Стоимость ОН без отделки со скидкой]]/Д402[[#This Row],[Расчетная проектная площадь]]</f>
        <v>126469.59173301711</v>
      </c>
      <c r="AS283" s="3">
        <f>Д402[[#This Row],[Стоимость до скидки]]-Д402[[#This Row],[Итоговая сумма скидки]]</f>
        <v>7465500</v>
      </c>
      <c r="AT283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3" s="153"/>
      <c r="AV283" s="153"/>
      <c r="AW283" s="3">
        <f>Д402[[#This Row],[Цена м2 без отделки со скидкой]]+Д402[[#This Row],[Стоимость отделки]]</f>
        <v>126469.59173301711</v>
      </c>
      <c r="AX283" s="3">
        <f>Д402[[#This Row],[Стоимость квартиры с отделкой]]-Д402[[#This Row],[Стоимость ОН без отделки со скидкой]]</f>
        <v>0</v>
      </c>
      <c r="AY283" s="3">
        <f>Д402[[#This Row],[Цена м2 с отделкой]]*Д402[[#This Row],[Расчетная проектная площадь]]</f>
        <v>7465500</v>
      </c>
      <c r="AZ283" s="161"/>
      <c r="BA283" s="155" t="s">
        <v>12</v>
      </c>
      <c r="BB283" s="156" t="str" cm="1">
        <f t="array" ref="BB283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83" s="161" t="s">
        <v>738</v>
      </c>
      <c r="BD283" s="161" t="s">
        <v>739</v>
      </c>
      <c r="BE283" s="161" t="s">
        <v>737</v>
      </c>
      <c r="BF283" s="161" t="s">
        <v>747</v>
      </c>
      <c r="BG283" s="161" t="b">
        <f>EXACT(Д402[[#This Row],[Статусы CRM]],Д402[[#This Row],[Статус]])</f>
        <v>1</v>
      </c>
      <c r="BH283" s="3">
        <f>IF(Д402[[#This Row],[ПС]]=0,IF(Д402[[#This Row],[ДС]]=0,Д402[[#This Row],[ТС]],Д402[[#This Row],[ДС]]),Д402[[#This Row],[ПС]])</f>
        <v>7465500</v>
      </c>
      <c r="BI283" s="3">
        <v>7465500</v>
      </c>
      <c r="BJ283" s="3">
        <v>0</v>
      </c>
      <c r="BK283" s="3">
        <v>0</v>
      </c>
      <c r="BL283" s="273">
        <f>Д402[[#This Row],[Стоимость CRM]]-Д402[[#This Row],[Стоимость до скидки]]</f>
        <v>0</v>
      </c>
      <c r="BM283" s="161" t="s">
        <v>9</v>
      </c>
      <c r="BN283" s="161" t="b">
        <f>Д402[[#This Row],[Отделка CRM]]=Д402[[#This Row],[Отделка]]</f>
        <v>1</v>
      </c>
      <c r="BO283" s="275" t="s">
        <v>415</v>
      </c>
      <c r="BP283" s="69"/>
    </row>
    <row r="284" spans="1:68" ht="12" customHeight="1" x14ac:dyDescent="0.25">
      <c r="A284" s="140">
        <v>282</v>
      </c>
      <c r="B284" s="15">
        <v>3</v>
      </c>
      <c r="C284" s="141">
        <f t="shared" si="9"/>
        <v>18</v>
      </c>
      <c r="D284" s="142">
        <v>6</v>
      </c>
      <c r="E284" s="141">
        <v>0</v>
      </c>
      <c r="F284" s="143">
        <v>16.25</v>
      </c>
      <c r="G284" s="143"/>
      <c r="H284" s="143"/>
      <c r="I284" s="144">
        <f>SUM(Д402[[#This Row],[Комната 1]:[Комната 3]])</f>
        <v>16.25</v>
      </c>
      <c r="J284" s="145">
        <v>5</v>
      </c>
      <c r="K284" s="145">
        <v>3.97</v>
      </c>
      <c r="L284" s="145"/>
      <c r="M284" s="145">
        <v>4.21</v>
      </c>
      <c r="N284" s="145"/>
      <c r="O284" s="145"/>
      <c r="P284" s="146"/>
      <c r="Q284" s="146"/>
      <c r="R284" s="146">
        <f>SUM(Д402[[#This Row],[Лоджия 1]:[Лоджия 3]])</f>
        <v>0</v>
      </c>
      <c r="S284" s="10">
        <f>ROUND(SUM(Д402[[#This Row],[Площадь по проекту жилая]:[Лоджия 3]]),2)</f>
        <v>29.43</v>
      </c>
      <c r="T284" s="10">
        <f>ROUND(Д402[[#This Row],[Площадь по проекту(общая)]]-Д402[[#This Row],[Летние]],2)</f>
        <v>29.43</v>
      </c>
      <c r="U284" s="10">
        <f>ROUND(Д402[[#This Row],[Площадь по проекту(общая)]]-(SUM(Д402[[#This Row],[Лоджия 1]:[Лоджия 3]])/2),2)</f>
        <v>29.43</v>
      </c>
      <c r="V284" s="10">
        <f>VLOOKUP(Д402[[#This Row],[№]],наценка7[],COLUMN(наценка7[[#This Row],[Цена м2 с учетом всех K]]),0)</f>
        <v>139730</v>
      </c>
      <c r="W284" s="162"/>
      <c r="X284" s="10">
        <f>Д402[[#This Row],[м2 после К]]+Д402[[#This Row],[02.12.2024]]</f>
        <v>139730</v>
      </c>
      <c r="Y284" s="149">
        <v>1000</v>
      </c>
      <c r="Z284" s="10">
        <f>Д402[[#This Row],[Фикс 20.12.24]]+Д402[[#This Row],[23.12.24 СП +1000]]</f>
        <v>140730</v>
      </c>
      <c r="AA284" s="149">
        <v>215</v>
      </c>
      <c r="AB284" s="10">
        <f>Д402[[#This Row],[Фикс 23.12.24]]+Д402[[#This Row],[Повышение 20.02.25]]</f>
        <v>140945</v>
      </c>
      <c r="AC284" s="149">
        <v>17.5</v>
      </c>
      <c r="AD284" s="10">
        <f>Д402[[#This Row],[Фикс 20.02.25]]+Д402[[#This Row],[Повышение 24.02.2025]]</f>
        <v>140962.5</v>
      </c>
      <c r="AE284" s="10"/>
      <c r="AF284" s="10">
        <f>Д402[[#This Row],[Фикс 24.02.25]]+Д402[[#This Row],[Повышение 05.03.2025
1К: до 40м - 1,5%, 40+ 0,5%
2К - 0,5% ]]</f>
        <v>140962.5</v>
      </c>
      <c r="AG284" s="10"/>
      <c r="AH284" s="10">
        <f>Д402[[#This Row],[Фикс 05.03.25]]+Д402[[#This Row],[повышение 14.03.25 1К-1%]]</f>
        <v>140962.5</v>
      </c>
      <c r="AI284" s="10"/>
      <c r="AJ284" s="10">
        <f>Д402[[#This Row],[Фикс 14.03.25]]+Д402[[#This Row],[повышение 28.03.25 1К-1%]]</f>
        <v>140962.5</v>
      </c>
      <c r="AK284" s="10"/>
      <c r="AL284" s="10">
        <f>Д402[[#This Row],[Фикс 28.03.25]]+Д402[[#This Row],[Повышение 23.07.25
1К 43-46м2 - 2%
2К 55-58 - 2%; 58-64 - 3%
3К 76-79 - 2%
]]</f>
        <v>140962.5</v>
      </c>
      <c r="AM284" s="149">
        <f>ROUND(Д402[[#This Row],[Фикс 23.07.25]],2)</f>
        <v>140962.5</v>
      </c>
      <c r="AN284" s="149">
        <f>ROUNDUP(Д402[[#This Row],[утв цена м2]]*Д402[[#This Row],[Расчетная проектная площадь]],-2)</f>
        <v>4148600</v>
      </c>
      <c r="AO284" s="151"/>
      <c r="AP284" s="152"/>
      <c r="AQ284" s="151">
        <f>Д402[[#This Row],[Стоимость до скидки]]*Д402[[#This Row],[Скидка %]]+Д402[[#This Row],[Скидка фиксированная]]</f>
        <v>0</v>
      </c>
      <c r="AR284" s="3">
        <f>Д402[[#This Row],[Стоимость ОН без отделки со скидкой]]/Д402[[#This Row],[Расчетная проектная площадь]]</f>
        <v>140965.00169894667</v>
      </c>
      <c r="AS284" s="3">
        <f>Д402[[#This Row],[Стоимость до скидки]]-Д402[[#This Row],[Итоговая сумма скидки]]</f>
        <v>4148600</v>
      </c>
      <c r="AT284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4" s="153"/>
      <c r="AV284" s="153"/>
      <c r="AW284" s="3">
        <f>Д402[[#This Row],[Цена м2 без отделки со скидкой]]+Д402[[#This Row],[Стоимость отделки]]</f>
        <v>140965.00169894667</v>
      </c>
      <c r="AX284" s="3">
        <f>Д402[[#This Row],[Стоимость квартиры с отделкой]]-Д402[[#This Row],[Стоимость ОН без отделки со скидкой]]</f>
        <v>0</v>
      </c>
      <c r="AY284" s="3">
        <f>Д402[[#This Row],[Цена м2 с отделкой]]*Д402[[#This Row],[Расчетная проектная площадь]]</f>
        <v>4148600.0000000005</v>
      </c>
      <c r="AZ284" s="161"/>
      <c r="BA284" s="155" t="s">
        <v>12</v>
      </c>
      <c r="BB284" s="156" t="str" cm="1">
        <f t="array" ref="BB284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84" s="161" t="s">
        <v>738</v>
      </c>
      <c r="BD284" s="161" t="s">
        <v>739</v>
      </c>
      <c r="BE284" s="161" t="s">
        <v>737</v>
      </c>
      <c r="BF284" s="161" t="s">
        <v>743</v>
      </c>
      <c r="BG284" s="161" t="b">
        <f>EXACT(Д402[[#This Row],[Статусы CRM]],Д402[[#This Row],[Статус]])</f>
        <v>1</v>
      </c>
      <c r="BH284" s="3">
        <f>IF(Д402[[#This Row],[ПС]]=0,IF(Д402[[#This Row],[ДС]]=0,Д402[[#This Row],[ТС]],Д402[[#This Row],[ДС]]),Д402[[#This Row],[ПС]])</f>
        <v>4148600</v>
      </c>
      <c r="BI284" s="3">
        <v>4148600</v>
      </c>
      <c r="BJ284" s="3">
        <v>0</v>
      </c>
      <c r="BK284" s="3">
        <v>0</v>
      </c>
      <c r="BL284" s="273">
        <f>Д402[[#This Row],[Стоимость CRM]]-Д402[[#This Row],[Стоимость до скидки]]</f>
        <v>0</v>
      </c>
      <c r="BM284" s="161" t="s">
        <v>9</v>
      </c>
      <c r="BN284" s="161" t="b">
        <f>Д402[[#This Row],[Отделка CRM]]=Д402[[#This Row],[Отделка]]</f>
        <v>1</v>
      </c>
      <c r="BO284" s="275" t="s">
        <v>416</v>
      </c>
      <c r="BP284" s="69"/>
    </row>
    <row r="285" spans="1:68" ht="12" customHeight="1" x14ac:dyDescent="0.25">
      <c r="A285" s="140">
        <v>283</v>
      </c>
      <c r="B285" s="15">
        <v>3</v>
      </c>
      <c r="C285" s="141">
        <f t="shared" ref="C285:C290" si="10">C279+1</f>
        <v>19</v>
      </c>
      <c r="D285" s="142">
        <v>1</v>
      </c>
      <c r="E285" s="141">
        <v>1</v>
      </c>
      <c r="F285" s="143">
        <v>14.42</v>
      </c>
      <c r="G285" s="143"/>
      <c r="H285" s="143"/>
      <c r="I285" s="144">
        <f>SUM(Д402[[#This Row],[Комната 1]:[Комната 3]])</f>
        <v>14.42</v>
      </c>
      <c r="J285" s="145">
        <v>15.83</v>
      </c>
      <c r="K285" s="145">
        <v>4.09</v>
      </c>
      <c r="L285" s="145"/>
      <c r="M285" s="145">
        <v>8.0299999999999994</v>
      </c>
      <c r="N285" s="145"/>
      <c r="O285" s="145">
        <v>3.01</v>
      </c>
      <c r="P285" s="146"/>
      <c r="Q285" s="146"/>
      <c r="R285" s="146">
        <f>SUM(Д402[[#This Row],[Лоджия 1]:[Лоджия 3]])</f>
        <v>3.01</v>
      </c>
      <c r="S285" s="10">
        <f>ROUND(SUM(Д402[[#This Row],[Площадь по проекту жилая]:[Лоджия 3]]),2)</f>
        <v>45.38</v>
      </c>
      <c r="T285" s="10">
        <f>ROUND(Д402[[#This Row],[Площадь по проекту(общая)]]-Д402[[#This Row],[Летние]],2)</f>
        <v>42.37</v>
      </c>
      <c r="U285" s="10">
        <f>ROUND(Д402[[#This Row],[Площадь по проекту(общая)]]-(SUM(Д402[[#This Row],[Лоджия 1]:[Лоджия 3]])/2),2)</f>
        <v>43.88</v>
      </c>
      <c r="V285" s="10">
        <f>VLOOKUP(Д402[[#This Row],[№]],наценка7[],COLUMN(наценка7[[#This Row],[Цена м2 с учетом всех K]]),0)</f>
        <v>125223</v>
      </c>
      <c r="W285" s="159">
        <f>2%*Д402[[#This Row],[м2 после К]]</f>
        <v>2504.46</v>
      </c>
      <c r="X285" s="10">
        <f>Д402[[#This Row],[м2 после К]]+Д402[[#This Row],[02.12.2024]]</f>
        <v>127727.46</v>
      </c>
      <c r="Y285" s="149">
        <v>1000</v>
      </c>
      <c r="Z285" s="10">
        <f>Д402[[#This Row],[Фикс 20.12.24]]+Д402[[#This Row],[23.12.24 СП +1000]]</f>
        <v>128727.46</v>
      </c>
      <c r="AA285" s="149">
        <v>215</v>
      </c>
      <c r="AB285" s="10">
        <f>Д402[[#This Row],[Фикс 23.12.24]]+Д402[[#This Row],[Повышение 20.02.25]]</f>
        <v>128942.46</v>
      </c>
      <c r="AC285" s="149">
        <v>17.5</v>
      </c>
      <c r="AD285" s="10">
        <f>Д402[[#This Row],[Фикс 20.02.25]]+Д402[[#This Row],[Повышение 24.02.2025]]</f>
        <v>128959.96</v>
      </c>
      <c r="AE285" s="149">
        <f>Д402[[#This Row],[Фикс 24.02.25]]*0.5%</f>
        <v>644.7998</v>
      </c>
      <c r="AF285" s="10">
        <f>Д402[[#This Row],[Фикс 24.02.25]]+Д402[[#This Row],[Повышение 05.03.2025
1К: до 40м - 1,5%, 40+ 0,5%
2К - 0,5% ]]</f>
        <v>129604.7598</v>
      </c>
      <c r="AG285" s="10"/>
      <c r="AH285" s="10">
        <f>Д402[[#This Row],[Фикс 05.03.25]]+Д402[[#This Row],[повышение 14.03.25 1К-1%]]</f>
        <v>129604.7598</v>
      </c>
      <c r="AI285" s="10"/>
      <c r="AJ285" s="10">
        <f>Д402[[#This Row],[Фикс 14.03.25]]+Д402[[#This Row],[повышение 28.03.25 1К-1%]]</f>
        <v>129604.7598</v>
      </c>
      <c r="AK285" s="10"/>
      <c r="AL285" s="10">
        <f>Д402[[#This Row],[Фикс 28.03.25]]+Д402[[#This Row],[Повышение 23.07.25
1К 43-46м2 - 2%
2К 55-58 - 2%; 58-64 - 3%
3К 76-79 - 2%
]]</f>
        <v>129604.7598</v>
      </c>
      <c r="AM285" s="149">
        <f>ROUND(Д402[[#This Row],[Фикс 23.07.25]],2)</f>
        <v>129604.76</v>
      </c>
      <c r="AN285" s="149">
        <f>ROUNDUP(Д402[[#This Row],[утв цена м2]]*Д402[[#This Row],[Расчетная проектная площадь]],-2)</f>
        <v>5687100</v>
      </c>
      <c r="AO285" s="151"/>
      <c r="AP285" s="152">
        <v>0.02</v>
      </c>
      <c r="AQ285" s="151">
        <f>Д402[[#This Row],[Стоимость до скидки]]*Д402[[#This Row],[Скидка %]]+Д402[[#This Row],[Скидка фиксированная]]</f>
        <v>113742</v>
      </c>
      <c r="AR285" s="3">
        <f>Д402[[#This Row],[Стоимость ОН без отделки со скидкой]]/Д402[[#This Row],[Расчетная проектная площадь]]</f>
        <v>127013.62807657247</v>
      </c>
      <c r="AS285" s="3">
        <f>Д402[[#This Row],[Стоимость до скидки]]-Д402[[#This Row],[Итоговая сумма скидки]]</f>
        <v>5573358</v>
      </c>
      <c r="AT285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5" s="153"/>
      <c r="AV285" s="153"/>
      <c r="AW285" s="3">
        <f>Д402[[#This Row],[Цена м2 без отделки со скидкой]]+Д402[[#This Row],[Стоимость отделки]]</f>
        <v>127013.62807657247</v>
      </c>
      <c r="AX285" s="3">
        <f>Д402[[#This Row],[Стоимость квартиры с отделкой]]-Д402[[#This Row],[Стоимость ОН без отделки со скидкой]]</f>
        <v>0</v>
      </c>
      <c r="AY285" s="3">
        <f>Д402[[#This Row],[Цена м2 с отделкой]]*Д402[[#This Row],[Расчетная проектная площадь]]</f>
        <v>5573358</v>
      </c>
      <c r="AZ285" s="161"/>
      <c r="BA285" s="277" t="s">
        <v>426</v>
      </c>
      <c r="BB285" s="269" t="str" cm="1">
        <f t="array" ref="BB285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85" s="161" t="s">
        <v>741</v>
      </c>
      <c r="BD285" s="161" t="s">
        <v>506</v>
      </c>
      <c r="BE285" s="161" t="s">
        <v>737</v>
      </c>
      <c r="BF285" s="161" t="s">
        <v>745</v>
      </c>
      <c r="BG285" s="161" t="b">
        <f>EXACT(Д402[[#This Row],[Статусы CRM]],Д402[[#This Row],[Статус]])</f>
        <v>1</v>
      </c>
      <c r="BH285" s="3">
        <f>IF(Д402[[#This Row],[ПС]]=0,IF(Д402[[#This Row],[ДС]]=0,Д402[[#This Row],[ТС]],Д402[[#This Row],[ДС]]),Д402[[#This Row],[ПС]])</f>
        <v>5687100</v>
      </c>
      <c r="BI285" s="3" t="s">
        <v>749</v>
      </c>
      <c r="BJ285" s="3">
        <v>0</v>
      </c>
      <c r="BK285" s="3">
        <v>5687100</v>
      </c>
      <c r="BL285" s="273">
        <f>Д402[[#This Row],[Стоимость CRM]]-Д402[[#This Row],[Стоимость до скидки]]</f>
        <v>0</v>
      </c>
      <c r="BM285" s="161" t="s">
        <v>9</v>
      </c>
      <c r="BN285" s="161" t="b">
        <f>Д402[[#This Row],[Отделка CRM]]=Д402[[#This Row],[Отделка]]</f>
        <v>1</v>
      </c>
      <c r="BO285" s="275" t="s">
        <v>417</v>
      </c>
      <c r="BP285" s="69"/>
    </row>
    <row r="286" spans="1:68" ht="12" customHeight="1" x14ac:dyDescent="0.25">
      <c r="A286" s="140">
        <v>284</v>
      </c>
      <c r="B286" s="175">
        <v>3</v>
      </c>
      <c r="C286" s="141">
        <f t="shared" si="10"/>
        <v>19</v>
      </c>
      <c r="D286" s="142">
        <v>2</v>
      </c>
      <c r="E286" s="141">
        <v>1</v>
      </c>
      <c r="F286" s="143">
        <v>12.76</v>
      </c>
      <c r="G286" s="143"/>
      <c r="H286" s="143"/>
      <c r="I286" s="144">
        <f>SUM(Д402[[#This Row],[Комната 1]:[Комната 3]])</f>
        <v>12.76</v>
      </c>
      <c r="J286" s="145">
        <v>14.81</v>
      </c>
      <c r="K286" s="145">
        <v>4.22</v>
      </c>
      <c r="L286" s="145"/>
      <c r="M286" s="145">
        <v>3.09</v>
      </c>
      <c r="N286" s="145"/>
      <c r="O286" s="145">
        <v>2.93</v>
      </c>
      <c r="P286" s="146"/>
      <c r="Q286" s="146"/>
      <c r="R286" s="146">
        <f>SUM(Д402[[#This Row],[Лоджия 1]:[Лоджия 3]])</f>
        <v>2.93</v>
      </c>
      <c r="S286" s="10">
        <f>ROUND(SUM(Д402[[#This Row],[Площадь по проекту жилая]:[Лоджия 3]]),2)</f>
        <v>37.81</v>
      </c>
      <c r="T286" s="10">
        <f>ROUND(Д402[[#This Row],[Площадь по проекту(общая)]]-Д402[[#This Row],[Летние]],2)</f>
        <v>34.880000000000003</v>
      </c>
      <c r="U286" s="10">
        <f>ROUND(Д402[[#This Row],[Площадь по проекту(общая)]]-(SUM(Д402[[#This Row],[Лоджия 1]:[Лоджия 3]])/2),2)</f>
        <v>36.35</v>
      </c>
      <c r="V286" s="10">
        <f>VLOOKUP(Д402[[#This Row],[№]],наценка7[],COLUMN(наценка7[[#This Row],[Цена м2 с учетом всех K]]),0)</f>
        <v>128800.8</v>
      </c>
      <c r="W286" s="159">
        <f>2%*Д402[[#This Row],[м2 после К]]</f>
        <v>2576.0160000000001</v>
      </c>
      <c r="X286" s="10">
        <f>Д402[[#This Row],[м2 после К]]+Д402[[#This Row],[02.12.2024]]</f>
        <v>131376.81599999999</v>
      </c>
      <c r="Y286" s="149">
        <v>1000</v>
      </c>
      <c r="Z286" s="10">
        <f>Д402[[#This Row],[Фикс 20.12.24]]+Д402[[#This Row],[23.12.24 СП +1000]]</f>
        <v>132376.81599999999</v>
      </c>
      <c r="AA286" s="149">
        <v>215</v>
      </c>
      <c r="AB286" s="10">
        <f>Д402[[#This Row],[Фикс 23.12.24]]+Д402[[#This Row],[Повышение 20.02.25]]</f>
        <v>132591.81599999999</v>
      </c>
      <c r="AC286" s="149">
        <v>17.5</v>
      </c>
      <c r="AD286" s="10">
        <f>Д402[[#This Row],[Фикс 20.02.25]]+Д402[[#This Row],[Повышение 24.02.2025]]</f>
        <v>132609.31599999999</v>
      </c>
      <c r="AE286" s="149">
        <f>Д402[[#This Row],[Фикс 24.02.25]]*1.5%</f>
        <v>1989.1397399999998</v>
      </c>
      <c r="AF286" s="10">
        <f>Д402[[#This Row],[Фикс 24.02.25]]+Д402[[#This Row],[Повышение 05.03.2025
1К: до 40м - 1,5%, 40+ 0,5%
2К - 0,5% ]]</f>
        <v>134598.45574</v>
      </c>
      <c r="AG286" s="149">
        <f>Д402[[#This Row],[Фикс 05.03.25]]*1%</f>
        <v>1345.9845574000001</v>
      </c>
      <c r="AH286" s="10">
        <f>Д402[[#This Row],[Фикс 05.03.25]]+Д402[[#This Row],[повышение 14.03.25 1К-1%]]</f>
        <v>135944.4402974</v>
      </c>
      <c r="AI286" s="149">
        <f>Д402[[#This Row],[Фикс 14.03.25]]*1%</f>
        <v>1359.444402974</v>
      </c>
      <c r="AJ286" s="10">
        <f>Д402[[#This Row],[Фикс 14.03.25]]+Д402[[#This Row],[повышение 28.03.25 1К-1%]]</f>
        <v>137303.88470037401</v>
      </c>
      <c r="AK286" s="10"/>
      <c r="AL286" s="10">
        <f>Д402[[#This Row],[Фикс 28.03.25]]+Д402[[#This Row],[Повышение 23.07.25
1К 43-46м2 - 2%
2К 55-58 - 2%; 58-64 - 3%
3К 76-79 - 2%
]]</f>
        <v>137303.88470037401</v>
      </c>
      <c r="AM286" s="149">
        <f>ROUND(Д402[[#This Row],[Фикс 23.07.25]],2)</f>
        <v>137303.88</v>
      </c>
      <c r="AN286" s="149">
        <f>ROUNDUP(Д402[[#This Row],[утв цена м2]]*Д402[[#This Row],[Расчетная проектная площадь]],-2)</f>
        <v>4991000</v>
      </c>
      <c r="AO286" s="151"/>
      <c r="AP286" s="152"/>
      <c r="AQ286" s="151">
        <f>Д402[[#This Row],[Стоимость до скидки]]*Д402[[#This Row],[Скидка %]]+Д402[[#This Row],[Скидка фиксированная]]</f>
        <v>0</v>
      </c>
      <c r="AR286" s="3">
        <f>Д402[[#This Row],[Стоимость ОН без отделки со скидкой]]/Д402[[#This Row],[Расчетная проектная площадь]]</f>
        <v>137303.98899587346</v>
      </c>
      <c r="AS286" s="3">
        <f>Д402[[#This Row],[Стоимость до скидки]]-Д402[[#This Row],[Итоговая сумма скидки]]</f>
        <v>4991000</v>
      </c>
      <c r="AT286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6" s="153"/>
      <c r="AV286" s="153"/>
      <c r="AW286" s="3">
        <f>Д402[[#This Row],[Цена м2 без отделки со скидкой]]+Д402[[#This Row],[Стоимость отделки]]</f>
        <v>137303.98899587346</v>
      </c>
      <c r="AX286" s="3">
        <f>Д402[[#This Row],[Стоимость квартиры с отделкой]]-Д402[[#This Row],[Стоимость ОН без отделки со скидкой]]</f>
        <v>0</v>
      </c>
      <c r="AY286" s="3">
        <f>Д402[[#This Row],[Цена м2 с отделкой]]*Д402[[#This Row],[Расчетная проектная площадь]]</f>
        <v>4991000</v>
      </c>
      <c r="AZ286" s="161"/>
      <c r="BA286" s="269" t="s">
        <v>128</v>
      </c>
      <c r="BB286" s="269" t="str" cm="1">
        <f t="array" ref="BB286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86" s="161" t="s">
        <v>740</v>
      </c>
      <c r="BD286" s="161" t="s">
        <v>506</v>
      </c>
      <c r="BE286" s="161" t="s">
        <v>737</v>
      </c>
      <c r="BF286" s="161" t="s">
        <v>745</v>
      </c>
      <c r="BG286" s="161" t="b">
        <f>EXACT(Д402[[#This Row],[Статусы CRM]],Д402[[#This Row],[Статус]])</f>
        <v>1</v>
      </c>
      <c r="BH286" s="3">
        <f>IF(Д402[[#This Row],[ПС]]=0,IF(Д402[[#This Row],[ДС]]=0,Д402[[#This Row],[ТС]],Д402[[#This Row],[ДС]]),Д402[[#This Row],[ПС]])</f>
        <v>4991000</v>
      </c>
      <c r="BI286" s="3">
        <v>4991000</v>
      </c>
      <c r="BJ286" s="3">
        <v>0</v>
      </c>
      <c r="BK286" s="3">
        <v>0</v>
      </c>
      <c r="BL286" s="273">
        <f>Д402[[#This Row],[Стоимость CRM]]-Д402[[#This Row],[Стоимость до скидки]]</f>
        <v>0</v>
      </c>
      <c r="BM286" s="161" t="s">
        <v>9</v>
      </c>
      <c r="BN286" s="161" t="b">
        <f>Д402[[#This Row],[Отделка CRM]]=Д402[[#This Row],[Отделка]]</f>
        <v>1</v>
      </c>
      <c r="BO286" s="275" t="s">
        <v>418</v>
      </c>
      <c r="BP286" s="69"/>
    </row>
    <row r="287" spans="1:68" ht="12" customHeight="1" x14ac:dyDescent="0.25">
      <c r="A287" s="140">
        <v>285</v>
      </c>
      <c r="B287" s="15">
        <v>3</v>
      </c>
      <c r="C287" s="141">
        <f t="shared" si="10"/>
        <v>19</v>
      </c>
      <c r="D287" s="142">
        <v>3</v>
      </c>
      <c r="E287" s="141">
        <v>2</v>
      </c>
      <c r="F287" s="143">
        <v>15.36</v>
      </c>
      <c r="G287" s="143">
        <v>11.95</v>
      </c>
      <c r="H287" s="143"/>
      <c r="I287" s="144">
        <f>SUM(Д402[[#This Row],[Комната 1]:[Комната 3]])</f>
        <v>27.31</v>
      </c>
      <c r="J287" s="145">
        <v>14.34</v>
      </c>
      <c r="K287" s="145">
        <v>4.21</v>
      </c>
      <c r="L287" s="145"/>
      <c r="M287" s="145">
        <v>6.6</v>
      </c>
      <c r="N287" s="145"/>
      <c r="O287" s="145">
        <v>3.23</v>
      </c>
      <c r="P287" s="146"/>
      <c r="Q287" s="146"/>
      <c r="R287" s="146">
        <f>SUM(Д402[[#This Row],[Лоджия 1]:[Лоджия 3]])</f>
        <v>3.23</v>
      </c>
      <c r="S287" s="10">
        <f>ROUND(SUM(Д402[[#This Row],[Площадь по проекту жилая]:[Лоджия 3]]),2)</f>
        <v>55.69</v>
      </c>
      <c r="T287" s="10">
        <f>ROUND(Д402[[#This Row],[Площадь по проекту(общая)]]-Д402[[#This Row],[Летние]],2)</f>
        <v>52.46</v>
      </c>
      <c r="U287" s="10">
        <f>ROUND(Д402[[#This Row],[Площадь по проекту(общая)]]-(SUM(Д402[[#This Row],[Лоджия 1]:[Лоджия 3]])/2),2)</f>
        <v>54.08</v>
      </c>
      <c r="V287" s="10">
        <f>VLOOKUP(Д402[[#This Row],[№]],наценка7[],COLUMN(наценка7[[#This Row],[Цена м2 с учетом всех K]]),0)</f>
        <v>122072.4</v>
      </c>
      <c r="W287" s="162">
        <f>0.021*Д402[[#This Row],[м2 после К]]</f>
        <v>2563.5203999999999</v>
      </c>
      <c r="X287" s="10">
        <f>Д402[[#This Row],[м2 после К]]+Д402[[#This Row],[02.12.2024]]</f>
        <v>124635.92039999999</v>
      </c>
      <c r="Y287" s="149">
        <v>1000</v>
      </c>
      <c r="Z287" s="10">
        <f>Д402[[#This Row],[Фикс 20.12.24]]+Д402[[#This Row],[23.12.24 СП +1000]]</f>
        <v>125635.92039999999</v>
      </c>
      <c r="AA287" s="149">
        <v>215</v>
      </c>
      <c r="AB287" s="10">
        <f>Д402[[#This Row],[Фикс 23.12.24]]+Д402[[#This Row],[Повышение 20.02.25]]</f>
        <v>125850.92039999999</v>
      </c>
      <c r="AC287" s="10">
        <v>17.5</v>
      </c>
      <c r="AD287" s="10">
        <f>Д402[[#This Row],[Фикс 20.02.25]]+Д402[[#This Row],[Повышение 24.02.2025]]</f>
        <v>125868.42039999999</v>
      </c>
      <c r="AE287" s="149">
        <f>Д402[[#This Row],[Фикс 24.02.25]]*0.5%</f>
        <v>629.34210199999995</v>
      </c>
      <c r="AF287" s="10">
        <f>Д402[[#This Row],[Фикс 24.02.25]]+Д402[[#This Row],[Повышение 05.03.2025
1К: до 40м - 1,5%, 40+ 0,5%
2К - 0,5% ]]</f>
        <v>126497.76250199998</v>
      </c>
      <c r="AG287" s="10"/>
      <c r="AH287" s="10">
        <f>Д402[[#This Row],[Фикс 05.03.25]]+Д402[[#This Row],[повышение 14.03.25 1К-1%]]</f>
        <v>126497.76250199998</v>
      </c>
      <c r="AI287" s="10"/>
      <c r="AJ287" s="10">
        <f>Д402[[#This Row],[Фикс 14.03.25]]+Д402[[#This Row],[повышение 28.03.25 1К-1%]]</f>
        <v>126497.76250199998</v>
      </c>
      <c r="AK287" s="10"/>
      <c r="AL287" s="10">
        <f>Д402[[#This Row],[Фикс 28.03.25]]+Д402[[#This Row],[Повышение 23.07.25
1К 43-46м2 - 2%
2К 55-58 - 2%; 58-64 - 3%
3К 76-79 - 2%
]]</f>
        <v>126497.76250199998</v>
      </c>
      <c r="AM287" s="149">
        <f>ROUND(Д402[[#This Row],[Фикс 23.07.25]],2)</f>
        <v>126497.76</v>
      </c>
      <c r="AN287" s="149">
        <f>ROUNDUP(Д402[[#This Row],[утв цена м2]]*Д402[[#This Row],[Расчетная проектная площадь]],-2)</f>
        <v>6841000</v>
      </c>
      <c r="AO287" s="151"/>
      <c r="AP287" s="152">
        <v>0.02</v>
      </c>
      <c r="AQ287" s="151">
        <f>Д402[[#This Row],[Стоимость до скидки]]*Д402[[#This Row],[Скидка %]]+Д402[[#This Row],[Скидка фиксированная]]</f>
        <v>136820</v>
      </c>
      <c r="AR287" s="3">
        <f>Д402[[#This Row],[Стоимость ОН без отделки со скидкой]]/Д402[[#This Row],[Расчетная проектная площадь]]</f>
        <v>123967.82544378699</v>
      </c>
      <c r="AS287" s="3">
        <f>Д402[[#This Row],[Стоимость до скидки]]-Д402[[#This Row],[Итоговая сумма скидки]]</f>
        <v>6704180</v>
      </c>
      <c r="AT287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Белая</v>
      </c>
      <c r="AU287" s="153">
        <v>10000</v>
      </c>
      <c r="AV287" s="153"/>
      <c r="AW287" s="3">
        <f>Д402[[#This Row],[Цена м2 без отделки со скидкой]]+Д402[[#This Row],[Стоимость отделки]]</f>
        <v>133967.82544378698</v>
      </c>
      <c r="AX287" s="3">
        <f>Д402[[#This Row],[Стоимость квартиры с отделкой]]-Д402[[#This Row],[Стоимость ОН без отделки со скидкой]]</f>
        <v>540799.99999999907</v>
      </c>
      <c r="AY287" s="3">
        <f>Д402[[#This Row],[Цена м2 с отделкой]]*Д402[[#This Row],[Расчетная проектная площадь]]</f>
        <v>7244979.9999999991</v>
      </c>
      <c r="AZ287" s="161" t="s">
        <v>436</v>
      </c>
      <c r="BA287" s="269" t="s">
        <v>426</v>
      </c>
      <c r="BB287" s="269" t="str" cm="1">
        <f t="array" ref="BB287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Продажа</v>
      </c>
      <c r="BC287" s="161" t="s">
        <v>741</v>
      </c>
      <c r="BD287" s="161" t="s">
        <v>506</v>
      </c>
      <c r="BE287" s="161" t="s">
        <v>737</v>
      </c>
      <c r="BF287" s="161" t="s">
        <v>744</v>
      </c>
      <c r="BG287" s="161" t="b">
        <f>EXACT(Д402[[#This Row],[Статусы CRM]],Д402[[#This Row],[Статус]])</f>
        <v>1</v>
      </c>
      <c r="BH287" s="3">
        <f>IF(Д402[[#This Row],[ПС]]=0,IF(Д402[[#This Row],[ДС]]=0,Д402[[#This Row],[ТС]],Д402[[#This Row],[ДС]]),Д402[[#This Row],[ПС]])</f>
        <v>6841000</v>
      </c>
      <c r="BI287" s="3" t="s">
        <v>749</v>
      </c>
      <c r="BJ287" s="3">
        <v>0</v>
      </c>
      <c r="BK287" s="3">
        <v>6841000</v>
      </c>
      <c r="BL287" s="273">
        <f>Д402[[#This Row],[Стоимость CRM]]-Д402[[#This Row],[Стоимость до скидки]]</f>
        <v>0</v>
      </c>
      <c r="BM287" s="161" t="s">
        <v>718</v>
      </c>
      <c r="BN287" s="161" t="b">
        <f>Д402[[#This Row],[Отделка CRM]]=Д402[[#This Row],[Отделка]]</f>
        <v>1</v>
      </c>
      <c r="BO287" s="275" t="s">
        <v>419</v>
      </c>
      <c r="BP287" s="69"/>
    </row>
    <row r="288" spans="1:68" ht="12" customHeight="1" x14ac:dyDescent="0.25">
      <c r="A288" s="140">
        <v>286</v>
      </c>
      <c r="B288" s="15">
        <v>3</v>
      </c>
      <c r="C288" s="141">
        <f t="shared" si="10"/>
        <v>19</v>
      </c>
      <c r="D288" s="142">
        <v>4</v>
      </c>
      <c r="E288" s="141">
        <v>2</v>
      </c>
      <c r="F288" s="143">
        <v>15.67</v>
      </c>
      <c r="G288" s="143">
        <v>12.94</v>
      </c>
      <c r="H288" s="143"/>
      <c r="I288" s="144">
        <f>SUM(Д402[[#This Row],[Комната 1]:[Комната 3]])</f>
        <v>28.61</v>
      </c>
      <c r="J288" s="145">
        <v>13.64</v>
      </c>
      <c r="K288" s="145">
        <v>4.16</v>
      </c>
      <c r="L288" s="145"/>
      <c r="M288" s="145">
        <v>7.7</v>
      </c>
      <c r="N288" s="145"/>
      <c r="O288" s="145">
        <v>3.23</v>
      </c>
      <c r="P288" s="146"/>
      <c r="Q288" s="146"/>
      <c r="R288" s="146">
        <f>SUM(Д402[[#This Row],[Лоджия 1]:[Лоджия 3]])</f>
        <v>3.23</v>
      </c>
      <c r="S288" s="10">
        <f>ROUND(SUM(Д402[[#This Row],[Площадь по проекту жилая]:[Лоджия 3]]),2)</f>
        <v>57.34</v>
      </c>
      <c r="T288" s="10">
        <f>ROUND(Д402[[#This Row],[Площадь по проекту(общая)]]-Д402[[#This Row],[Летние]],2)</f>
        <v>54.11</v>
      </c>
      <c r="U288" s="10">
        <f>ROUND(Д402[[#This Row],[Площадь по проекту(общая)]]-(SUM(Д402[[#This Row],[Лоджия 1]:[Лоджия 3]])/2),2)</f>
        <v>55.73</v>
      </c>
      <c r="V288" s="10">
        <f>VLOOKUP(Д402[[#This Row],[№]],наценка7[],COLUMN(наценка7[[#This Row],[Цена м2 с учетом всех K]]),0)</f>
        <v>122072.4</v>
      </c>
      <c r="W288" s="162">
        <f>2%*Д402[[#This Row],[м2 после К]]</f>
        <v>2441.4479999999999</v>
      </c>
      <c r="X288" s="10">
        <f>Д402[[#This Row],[м2 после К]]+Д402[[#This Row],[02.12.2024]]</f>
        <v>124513.848</v>
      </c>
      <c r="Y288" s="149">
        <v>1000</v>
      </c>
      <c r="Z288" s="10">
        <f>Д402[[#This Row],[Фикс 20.12.24]]+Д402[[#This Row],[23.12.24 СП +1000]]</f>
        <v>125513.848</v>
      </c>
      <c r="AA288" s="149">
        <v>215</v>
      </c>
      <c r="AB288" s="10">
        <f>Д402[[#This Row],[Фикс 23.12.24]]+Д402[[#This Row],[Повышение 20.02.25]]</f>
        <v>125728.848</v>
      </c>
      <c r="AC288" s="149">
        <v>17.5</v>
      </c>
      <c r="AD288" s="10">
        <f>Д402[[#This Row],[Фикс 20.02.25]]+Д402[[#This Row],[Повышение 24.02.2025]]</f>
        <v>125746.348</v>
      </c>
      <c r="AE288" s="149">
        <f>Д402[[#This Row],[Фикс 24.02.25]]*0.5%</f>
        <v>628.73174000000006</v>
      </c>
      <c r="AF288" s="10">
        <f>Д402[[#This Row],[Фикс 24.02.25]]+Д402[[#This Row],[Повышение 05.03.2025
1К: до 40м - 1,5%, 40+ 0,5%
2К - 0,5% ]]</f>
        <v>126375.07974</v>
      </c>
      <c r="AG288" s="10"/>
      <c r="AH288" s="10">
        <f>Д402[[#This Row],[Фикс 05.03.25]]+Д402[[#This Row],[повышение 14.03.25 1К-1%]]</f>
        <v>126375.07974</v>
      </c>
      <c r="AI288" s="10"/>
      <c r="AJ288" s="10">
        <f>Д402[[#This Row],[Фикс 14.03.25]]+Д402[[#This Row],[повышение 28.03.25 1К-1%]]</f>
        <v>126375.07974</v>
      </c>
      <c r="AK288" s="149">
        <f>Д402[[#This Row],[Фикс 28.03.25]]*2%</f>
        <v>2527.5015948</v>
      </c>
      <c r="AL288" s="10">
        <f>Д402[[#This Row],[Фикс 28.03.25]]+Д402[[#This Row],[Повышение 23.07.25
1К 43-46м2 - 2%
2К 55-58 - 2%; 58-64 - 3%
3К 76-79 - 2%
]]</f>
        <v>128902.58133479999</v>
      </c>
      <c r="AM288" s="149">
        <f>ROUND(Д402[[#This Row],[Фикс 23.07.25]],2)</f>
        <v>128902.58</v>
      </c>
      <c r="AN288" s="149">
        <f>ROUNDUP(Д402[[#This Row],[утв цена м2]]*Д402[[#This Row],[Расчетная проектная площадь]],-2)</f>
        <v>7183800</v>
      </c>
      <c r="AO288" s="151"/>
      <c r="AP288" s="152"/>
      <c r="AQ288" s="151">
        <f>Д402[[#This Row],[Стоимость до скидки]]*Д402[[#This Row],[Скидка %]]+Д402[[#This Row],[Скидка фиксированная]]</f>
        <v>0</v>
      </c>
      <c r="AR288" s="3">
        <f>Д402[[#This Row],[Стоимость ОН без отделки со скидкой]]/Д402[[#This Row],[Расчетная проектная площадь]]</f>
        <v>128903.64256235422</v>
      </c>
      <c r="AS288" s="3">
        <f>Д402[[#This Row],[Стоимость до скидки]]-Д402[[#This Row],[Итоговая сумма скидки]]</f>
        <v>7183800</v>
      </c>
      <c r="AT288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8" s="153"/>
      <c r="AV288" s="153"/>
      <c r="AW288" s="3">
        <f>Д402[[#This Row],[Цена м2 без отделки со скидкой]]+Д402[[#This Row],[Стоимость отделки]]</f>
        <v>128903.64256235422</v>
      </c>
      <c r="AX288" s="3">
        <f>Д402[[#This Row],[Стоимость квартиры с отделкой]]-Д402[[#This Row],[Стоимость ОН без отделки со скидкой]]</f>
        <v>0</v>
      </c>
      <c r="AY288" s="3">
        <f>Д402[[#This Row],[Цена м2 с отделкой]]*Д402[[#This Row],[Расчетная проектная площадь]]</f>
        <v>7183800</v>
      </c>
      <c r="AZ288" s="161"/>
      <c r="BA288" s="269" t="s">
        <v>12</v>
      </c>
      <c r="BB288" s="269" t="str" cm="1">
        <f t="array" ref="BB288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88" s="161" t="s">
        <v>738</v>
      </c>
      <c r="BD288" s="161" t="s">
        <v>739</v>
      </c>
      <c r="BE288" s="161" t="s">
        <v>737</v>
      </c>
      <c r="BF288" s="161" t="s">
        <v>747</v>
      </c>
      <c r="BG288" s="161" t="b">
        <f>EXACT(Д402[[#This Row],[Статусы CRM]],Д402[[#This Row],[Статус]])</f>
        <v>1</v>
      </c>
      <c r="BH288" s="3">
        <f>IF(Д402[[#This Row],[ПС]]=0,IF(Д402[[#This Row],[ДС]]=0,Д402[[#This Row],[ТС]],Д402[[#This Row],[ДС]]),Д402[[#This Row],[ПС]])</f>
        <v>7183800</v>
      </c>
      <c r="BI288" s="3">
        <v>7183800</v>
      </c>
      <c r="BJ288" s="3">
        <v>0</v>
      </c>
      <c r="BK288" s="3">
        <v>0</v>
      </c>
      <c r="BL288" s="273">
        <f>Д402[[#This Row],[Стоимость CRM]]-Д402[[#This Row],[Стоимость до скидки]]</f>
        <v>0</v>
      </c>
      <c r="BM288" s="161" t="s">
        <v>9</v>
      </c>
      <c r="BN288" s="161" t="b">
        <f>Д402[[#This Row],[Отделка CRM]]=Д402[[#This Row],[Отделка]]</f>
        <v>1</v>
      </c>
      <c r="BO288" s="275" t="s">
        <v>420</v>
      </c>
      <c r="BP288" s="69"/>
    </row>
    <row r="289" spans="1:68" ht="12" customHeight="1" x14ac:dyDescent="0.25">
      <c r="A289" s="140">
        <v>287</v>
      </c>
      <c r="B289" s="15">
        <v>3</v>
      </c>
      <c r="C289" s="141">
        <f t="shared" si="10"/>
        <v>19</v>
      </c>
      <c r="D289" s="142">
        <v>5</v>
      </c>
      <c r="E289" s="141">
        <v>2</v>
      </c>
      <c r="F289" s="143">
        <v>18.350000000000001</v>
      </c>
      <c r="G289" s="143">
        <v>15.96</v>
      </c>
      <c r="H289" s="143"/>
      <c r="I289" s="144">
        <f>SUM(Д402[[#This Row],[Комната 1]:[Комната 3]])</f>
        <v>34.31</v>
      </c>
      <c r="J289" s="145">
        <v>11.11</v>
      </c>
      <c r="K289" s="145">
        <v>4.41</v>
      </c>
      <c r="L289" s="145"/>
      <c r="M289" s="145">
        <v>7.65</v>
      </c>
      <c r="N289" s="145"/>
      <c r="O289" s="145">
        <v>3.1</v>
      </c>
      <c r="P289" s="146"/>
      <c r="Q289" s="146"/>
      <c r="R289" s="146">
        <f>SUM(Д402[[#This Row],[Лоджия 1]:[Лоджия 3]])</f>
        <v>3.1</v>
      </c>
      <c r="S289" s="10">
        <f>ROUND(SUM(Д402[[#This Row],[Площадь по проекту жилая]:[Лоджия 3]]),2)</f>
        <v>60.58</v>
      </c>
      <c r="T289" s="10">
        <f>ROUND(Д402[[#This Row],[Площадь по проекту(общая)]]-Д402[[#This Row],[Летние]],2)</f>
        <v>57.48</v>
      </c>
      <c r="U289" s="10">
        <f>ROUND(Д402[[#This Row],[Площадь по проекту(общая)]]-(SUM(Д402[[#This Row],[Лоджия 1]:[Лоджия 3]])/2),2)</f>
        <v>59.03</v>
      </c>
      <c r="V289" s="10">
        <f>VLOOKUP(Д402[[#This Row],[№]],наценка7[],COLUMN(наценка7[[#This Row],[Цена м2 с учетом всех K]]),0)</f>
        <v>120942.1</v>
      </c>
      <c r="W289" s="162"/>
      <c r="X289" s="10">
        <f>Д402[[#This Row],[м2 после К]]+Д402[[#This Row],[02.12.2024]]</f>
        <v>120942.1</v>
      </c>
      <c r="Y289" s="149">
        <v>1000</v>
      </c>
      <c r="Z289" s="10">
        <f>Д402[[#This Row],[Фикс 20.12.24]]+Д402[[#This Row],[23.12.24 СП +1000]]</f>
        <v>121942.1</v>
      </c>
      <c r="AA289" s="149">
        <v>215</v>
      </c>
      <c r="AB289" s="10">
        <f>Д402[[#This Row],[Фикс 23.12.24]]+Д402[[#This Row],[Повышение 20.02.25]]</f>
        <v>122157.1</v>
      </c>
      <c r="AC289" s="149">
        <v>17.5</v>
      </c>
      <c r="AD289" s="10">
        <f>Д402[[#This Row],[Фикс 20.02.25]]+Д402[[#This Row],[Повышение 24.02.2025]]</f>
        <v>122174.6</v>
      </c>
      <c r="AE289" s="149">
        <f>Д402[[#This Row],[Фикс 24.02.25]]*0.5%</f>
        <v>610.87300000000005</v>
      </c>
      <c r="AF289" s="10">
        <f>Д402[[#This Row],[Фикс 24.02.25]]+Д402[[#This Row],[Повышение 05.03.2025
1К: до 40м - 1,5%, 40+ 0,5%
2К - 0,5% ]]</f>
        <v>122785.47300000001</v>
      </c>
      <c r="AG289" s="10"/>
      <c r="AH289" s="10">
        <f>Д402[[#This Row],[Фикс 05.03.25]]+Д402[[#This Row],[повышение 14.03.25 1К-1%]]</f>
        <v>122785.47300000001</v>
      </c>
      <c r="AI289" s="10"/>
      <c r="AJ289" s="10">
        <f>Д402[[#This Row],[Фикс 14.03.25]]+Д402[[#This Row],[повышение 28.03.25 1К-1%]]</f>
        <v>122785.47300000001</v>
      </c>
      <c r="AK289" s="10">
        <f>Д402[[#This Row],[Фикс 28.03.25]]*3%</f>
        <v>3683.5641900000001</v>
      </c>
      <c r="AL289" s="10">
        <f>Д402[[#This Row],[Фикс 28.03.25]]+Д402[[#This Row],[Повышение 23.07.25
1К 43-46м2 - 2%
2К 55-58 - 2%; 58-64 - 3%
3К 76-79 - 2%
]]</f>
        <v>126469.03719000002</v>
      </c>
      <c r="AM289" s="149">
        <f>ROUND(Д402[[#This Row],[Фикс 23.07.25]],2)</f>
        <v>126469.04</v>
      </c>
      <c r="AN289" s="149">
        <f>ROUNDUP(Д402[[#This Row],[утв цена м2]]*Д402[[#This Row],[Расчетная проектная площадь]],-2)</f>
        <v>7465500</v>
      </c>
      <c r="AO289" s="151"/>
      <c r="AP289" s="152"/>
      <c r="AQ289" s="151">
        <f>Д402[[#This Row],[Стоимость до скидки]]*Д402[[#This Row],[Скидка %]]+Д402[[#This Row],[Скидка фиксированная]]</f>
        <v>0</v>
      </c>
      <c r="AR289" s="3">
        <f>Д402[[#This Row],[Стоимость ОН без отделки со скидкой]]/Д402[[#This Row],[Расчетная проектная площадь]]</f>
        <v>126469.59173301711</v>
      </c>
      <c r="AS289" s="3">
        <f>Д402[[#This Row],[Стоимость до скидки]]-Д402[[#This Row],[Итоговая сумма скидки]]</f>
        <v>7465500</v>
      </c>
      <c r="AT289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89" s="153"/>
      <c r="AV289" s="153"/>
      <c r="AW289" s="3">
        <f>Д402[[#This Row],[Цена м2 без отделки со скидкой]]+Д402[[#This Row],[Стоимость отделки]]</f>
        <v>126469.59173301711</v>
      </c>
      <c r="AX289" s="3">
        <f>Д402[[#This Row],[Стоимость квартиры с отделкой]]-Д402[[#This Row],[Стоимость ОН без отделки со скидкой]]</f>
        <v>0</v>
      </c>
      <c r="AY289" s="3">
        <f>Д402[[#This Row],[Цена м2 с отделкой]]*Д402[[#This Row],[Расчетная проектная площадь]]</f>
        <v>7465500</v>
      </c>
      <c r="AZ289" s="161"/>
      <c r="BA289" s="269" t="s">
        <v>128</v>
      </c>
      <c r="BB289" s="156" t="str" cm="1">
        <f t="array" ref="BB289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Свободно</v>
      </c>
      <c r="BC289" s="161" t="s">
        <v>740</v>
      </c>
      <c r="BD289" s="161" t="s">
        <v>506</v>
      </c>
      <c r="BE289" s="161" t="s">
        <v>737</v>
      </c>
      <c r="BF289" s="161" t="s">
        <v>747</v>
      </c>
      <c r="BG289" s="161" t="b">
        <f>EXACT(Д402[[#This Row],[Статусы CRM]],Д402[[#This Row],[Статус]])</f>
        <v>1</v>
      </c>
      <c r="BH289" s="3">
        <f>IF(Д402[[#This Row],[ПС]]=0,IF(Д402[[#This Row],[ДС]]=0,Д402[[#This Row],[ТС]],Д402[[#This Row],[ДС]]),Д402[[#This Row],[ПС]])</f>
        <v>7465500</v>
      </c>
      <c r="BI289" s="3">
        <v>7465500</v>
      </c>
      <c r="BJ289" s="3">
        <v>0</v>
      </c>
      <c r="BK289" s="3">
        <v>0</v>
      </c>
      <c r="BL289" s="273">
        <f>Д402[[#This Row],[Стоимость CRM]]-Д402[[#This Row],[Стоимость до скидки]]</f>
        <v>0</v>
      </c>
      <c r="BM289" s="161" t="s">
        <v>9</v>
      </c>
      <c r="BN289" s="161" t="b">
        <f>Д402[[#This Row],[Отделка CRM]]=Д402[[#This Row],[Отделка]]</f>
        <v>1</v>
      </c>
      <c r="BO289" s="275" t="s">
        <v>421</v>
      </c>
      <c r="BP289" s="69"/>
    </row>
    <row r="290" spans="1:68" ht="12" customHeight="1" x14ac:dyDescent="0.25">
      <c r="A290" s="140">
        <v>288</v>
      </c>
      <c r="B290" s="15">
        <v>3</v>
      </c>
      <c r="C290" s="141">
        <f t="shared" si="10"/>
        <v>19</v>
      </c>
      <c r="D290" s="142">
        <v>6</v>
      </c>
      <c r="E290" s="141">
        <v>0</v>
      </c>
      <c r="F290" s="143">
        <v>16.25</v>
      </c>
      <c r="G290" s="143"/>
      <c r="H290" s="143"/>
      <c r="I290" s="144">
        <f>SUM(Д402[[#This Row],[Комната 1]:[Комната 3]])</f>
        <v>16.25</v>
      </c>
      <c r="J290" s="145">
        <v>5</v>
      </c>
      <c r="K290" s="145">
        <v>3.97</v>
      </c>
      <c r="L290" s="145"/>
      <c r="M290" s="145">
        <v>4.21</v>
      </c>
      <c r="N290" s="145"/>
      <c r="O290" s="145"/>
      <c r="P290" s="146"/>
      <c r="Q290" s="146"/>
      <c r="R290" s="146">
        <f>SUM(Д402[[#This Row],[Лоджия 1]:[Лоджия 3]])</f>
        <v>0</v>
      </c>
      <c r="S290" s="10">
        <f>ROUND(SUM(Д402[[#This Row],[Площадь по проекту жилая]:[Лоджия 3]]),2)</f>
        <v>29.43</v>
      </c>
      <c r="T290" s="10">
        <f>ROUND(Д402[[#This Row],[Площадь по проекту(общая)]]-Д402[[#This Row],[Летние]],2)</f>
        <v>29.43</v>
      </c>
      <c r="U290" s="10">
        <f>ROUND(Д402[[#This Row],[Площадь по проекту(общая)]]-(SUM(Д402[[#This Row],[Лоджия 1]:[Лоджия 3]])/2),2)</f>
        <v>29.43</v>
      </c>
      <c r="V290" s="10">
        <f>VLOOKUP(Д402[[#This Row],[№]],наценка7[],COLUMN(наценка7[[#This Row],[Цена м2 с учетом всех K]]),0)</f>
        <v>141127.29999999999</v>
      </c>
      <c r="W290" s="162"/>
      <c r="X290" s="10">
        <f>Д402[[#This Row],[м2 после К]]+Д402[[#This Row],[02.12.2024]]</f>
        <v>141127.29999999999</v>
      </c>
      <c r="Y290" s="149">
        <v>1000</v>
      </c>
      <c r="Z290" s="10">
        <f>Д402[[#This Row],[Фикс 20.12.24]]+Д402[[#This Row],[23.12.24 СП +1000]]</f>
        <v>142127.29999999999</v>
      </c>
      <c r="AA290" s="149">
        <v>215</v>
      </c>
      <c r="AB290" s="10">
        <f>Д402[[#This Row],[Фикс 23.12.24]]+Д402[[#This Row],[Повышение 20.02.25]]</f>
        <v>142342.29999999999</v>
      </c>
      <c r="AC290" s="149">
        <v>17.5</v>
      </c>
      <c r="AD290" s="10">
        <f>Д402[[#This Row],[Фикс 20.02.25]]+Д402[[#This Row],[Повышение 24.02.2025]]</f>
        <v>142359.79999999999</v>
      </c>
      <c r="AE290" s="10"/>
      <c r="AF290" s="10">
        <f>Д402[[#This Row],[Фикс 24.02.25]]+Д402[[#This Row],[Повышение 05.03.2025
1К: до 40м - 1,5%, 40+ 0,5%
2К - 0,5% ]]</f>
        <v>142359.79999999999</v>
      </c>
      <c r="AG290" s="10"/>
      <c r="AH290" s="10">
        <f>Д402[[#This Row],[Фикс 05.03.25]]+Д402[[#This Row],[повышение 14.03.25 1К-1%]]</f>
        <v>142359.79999999999</v>
      </c>
      <c r="AI290" s="10"/>
      <c r="AJ290" s="10">
        <f>Д402[[#This Row],[Фикс 14.03.25]]+Д402[[#This Row],[повышение 28.03.25 1К-1%]]</f>
        <v>142359.79999999999</v>
      </c>
      <c r="AK290" s="10"/>
      <c r="AL290" s="10">
        <f>Д402[[#This Row],[Фикс 28.03.25]]+Д402[[#This Row],[Повышение 23.07.25
1К 43-46м2 - 2%
2К 55-58 - 2%; 58-64 - 3%
3К 76-79 - 2%
]]</f>
        <v>142359.79999999999</v>
      </c>
      <c r="AM290" s="149">
        <f>ROUND(Д402[[#This Row],[Фикс 23.07.25]],2)</f>
        <v>142359.79999999999</v>
      </c>
      <c r="AN290" s="149">
        <f>ROUNDUP(Д402[[#This Row],[утв цена м2]]*Д402[[#This Row],[Расчетная проектная площадь]],-2)</f>
        <v>4189700</v>
      </c>
      <c r="AO290" s="151"/>
      <c r="AP290" s="152"/>
      <c r="AQ290" s="151">
        <f>Д402[[#This Row],[Стоимость до скидки]]*Д402[[#This Row],[Скидка %]]+Д402[[#This Row],[Скидка фиксированная]]</f>
        <v>0</v>
      </c>
      <c r="AR290" s="3">
        <f>Д402[[#This Row],[Стоимость ОН без отделки со скидкой]]/Д402[[#This Row],[Расчетная проектная площадь]]</f>
        <v>142361.53584777439</v>
      </c>
      <c r="AS290" s="3">
        <f>Д402[[#This Row],[Стоимость до скидки]]-Д402[[#This Row],[Итоговая сумма скидки]]</f>
        <v>4189700</v>
      </c>
      <c r="AT290" s="3" t="str">
        <f>IF(Д402[[#This Row],[Стоимость отделки]]=0,"Черновая","") &amp; IF(Д402[[#This Row],[Стоимость отделки]]=10000,"Белая","") &amp; IF(OR(Д402[[#This Row],[Стоимость отделки]]=25000,Д402[[#This Row],[Стоимость отделки]]=30000),"Чистовая","")</f>
        <v>Черновая</v>
      </c>
      <c r="AU290" s="153"/>
      <c r="AV290" s="153"/>
      <c r="AW290" s="3">
        <f>Д402[[#This Row],[Цена м2 без отделки со скидкой]]+Д402[[#This Row],[Стоимость отделки]]</f>
        <v>142361.53584777439</v>
      </c>
      <c r="AX290" s="3">
        <f>Д402[[#This Row],[Стоимость квартиры с отделкой]]-Д402[[#This Row],[Стоимость ОН без отделки со скидкой]]</f>
        <v>0</v>
      </c>
      <c r="AY290" s="3">
        <f>Д402[[#This Row],[Цена м2 с отделкой]]*Д402[[#This Row],[Расчетная проектная площадь]]</f>
        <v>4189700</v>
      </c>
      <c r="AZ290" s="161"/>
      <c r="BA290" s="155" t="s">
        <v>12</v>
      </c>
      <c r="BB290" s="156" t="str" cm="1">
        <f t="array" ref="BB290">_xlfn.IFS(Д402[[#This Row],[Статус ALLIO]]="Свободна","Свободно",Д402[[#This Row],[Статус ALLIO]]="продана","Продажа",Д402[[#This Row],[Статус ALLIO]]="в резерве",IF(Д402[[#This Row],[Тип брони]]="Корпоративная","Стр. Резерв",TEXT(Д402[[#This Row],[Тип брони]]&amp;" бронь","")))</f>
        <v>Стр. Резерв</v>
      </c>
      <c r="BC290" s="161" t="s">
        <v>738</v>
      </c>
      <c r="BD290" s="161" t="s">
        <v>739</v>
      </c>
      <c r="BE290" s="161" t="s">
        <v>737</v>
      </c>
      <c r="BF290" s="161" t="s">
        <v>743</v>
      </c>
      <c r="BG290" s="161" t="b">
        <f>EXACT(Д402[[#This Row],[Статусы CRM]],Д402[[#This Row],[Статус]])</f>
        <v>1</v>
      </c>
      <c r="BH290" s="3">
        <f>IF(Д402[[#This Row],[ПС]]=0,IF(Д402[[#This Row],[ДС]]=0,Д402[[#This Row],[ТС]],Д402[[#This Row],[ДС]]),Д402[[#This Row],[ПС]])</f>
        <v>4189700</v>
      </c>
      <c r="BI290" s="3">
        <v>4189700</v>
      </c>
      <c r="BJ290" s="3">
        <v>0</v>
      </c>
      <c r="BK290" s="3">
        <v>0</v>
      </c>
      <c r="BL290" s="273">
        <f>Д402[[#This Row],[Стоимость CRM]]-Д402[[#This Row],[Стоимость до скидки]]</f>
        <v>0</v>
      </c>
      <c r="BM290" s="161" t="s">
        <v>9</v>
      </c>
      <c r="BN290" s="161" t="b">
        <f>Д402[[#This Row],[Отделка CRM]]=Д402[[#This Row],[Отделка]]</f>
        <v>1</v>
      </c>
      <c r="BO290" s="275" t="s">
        <v>422</v>
      </c>
      <c r="BP290" s="69"/>
    </row>
    <row r="291" spans="1:68" ht="12" customHeight="1" x14ac:dyDescent="0.25"/>
    <row r="292" spans="1:68" ht="12" customHeight="1" x14ac:dyDescent="0.25">
      <c r="AN292" s="48"/>
    </row>
    <row r="293" spans="1:68" ht="12" customHeight="1" x14ac:dyDescent="0.25"/>
    <row r="294" spans="1:68" ht="12" customHeight="1" x14ac:dyDescent="0.25"/>
    <row r="295" spans="1:68" ht="12" customHeight="1" x14ac:dyDescent="0.25"/>
    <row r="296" spans="1:68" ht="12" customHeight="1" x14ac:dyDescent="0.25"/>
    <row r="297" spans="1:68" ht="12" customHeight="1" x14ac:dyDescent="0.25"/>
    <row r="298" spans="1:68" ht="12" customHeight="1" x14ac:dyDescent="0.25"/>
    <row r="299" spans="1:68" ht="12" customHeight="1" x14ac:dyDescent="0.25"/>
    <row r="300" spans="1:68" ht="12" customHeight="1" x14ac:dyDescent="0.25"/>
    <row r="301" spans="1:68" ht="12" customHeight="1" x14ac:dyDescent="0.25"/>
    <row r="302" spans="1:68" ht="12" customHeight="1" x14ac:dyDescent="0.25"/>
    <row r="303" spans="1:68" ht="12" customHeight="1" x14ac:dyDescent="0.25"/>
    <row r="304" spans="1:68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spans="68:68" ht="12" customHeight="1" x14ac:dyDescent="0.25"/>
    <row r="322" spans="68:68" ht="12" customHeight="1" x14ac:dyDescent="0.25"/>
    <row r="323" spans="68:68" ht="12" customHeight="1" x14ac:dyDescent="0.25"/>
    <row r="324" spans="68:68" ht="12" customHeight="1" x14ac:dyDescent="0.25"/>
    <row r="325" spans="68:68" ht="12" customHeight="1" x14ac:dyDescent="0.25"/>
    <row r="326" spans="68:68" ht="12" customHeight="1" x14ac:dyDescent="0.25"/>
    <row r="327" spans="68:68" ht="12" customHeight="1" x14ac:dyDescent="0.25"/>
    <row r="328" spans="68:68" ht="12" customHeight="1" x14ac:dyDescent="0.25"/>
    <row r="329" spans="68:68" ht="12" customHeight="1" x14ac:dyDescent="0.25"/>
    <row r="330" spans="68:68" ht="12" customHeight="1" x14ac:dyDescent="0.25"/>
    <row r="331" spans="68:68" ht="12" customHeight="1" x14ac:dyDescent="0.25"/>
    <row r="332" spans="68:68" ht="12" customHeight="1" x14ac:dyDescent="0.25"/>
    <row r="333" spans="68:68" ht="12" customHeight="1" x14ac:dyDescent="0.25"/>
    <row r="334" spans="68:68" ht="12" customHeight="1" x14ac:dyDescent="0.25">
      <c r="BP334" s="69"/>
    </row>
    <row r="335" spans="68:68" ht="12" customHeight="1" x14ac:dyDescent="0.25"/>
    <row r="336" spans="68:68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04" ht="12" customHeight="1" x14ac:dyDescent="0.25"/>
    <row r="505" ht="12" customHeight="1" x14ac:dyDescent="0.25"/>
    <row r="506" ht="12" customHeight="1" x14ac:dyDescent="0.25"/>
    <row r="507" ht="12" customHeight="1" x14ac:dyDescent="0.25"/>
    <row r="508" ht="12" customHeight="1" x14ac:dyDescent="0.25"/>
    <row r="509" ht="12" customHeight="1" x14ac:dyDescent="0.25"/>
    <row r="510" ht="12" customHeight="1" x14ac:dyDescent="0.25"/>
    <row r="511" ht="12" customHeight="1" x14ac:dyDescent="0.25"/>
    <row r="512" ht="12" customHeight="1" x14ac:dyDescent="0.25"/>
    <row r="513" ht="12" customHeight="1" x14ac:dyDescent="0.25"/>
    <row r="514" ht="12" customHeight="1" x14ac:dyDescent="0.25"/>
    <row r="515" ht="12" customHeight="1" x14ac:dyDescent="0.25"/>
    <row r="516" ht="12" customHeight="1" x14ac:dyDescent="0.25"/>
    <row r="517" ht="12" customHeight="1" x14ac:dyDescent="0.25"/>
    <row r="518" ht="12" customHeight="1" x14ac:dyDescent="0.25"/>
    <row r="519" ht="12" customHeight="1" x14ac:dyDescent="0.25"/>
    <row r="520" ht="12" customHeight="1" x14ac:dyDescent="0.25"/>
    <row r="521" ht="12" customHeight="1" x14ac:dyDescent="0.25"/>
    <row r="522" ht="12" customHeight="1" x14ac:dyDescent="0.25"/>
    <row r="523" ht="12" customHeight="1" x14ac:dyDescent="0.25"/>
    <row r="524" ht="12" customHeight="1" x14ac:dyDescent="0.25"/>
    <row r="525" ht="12" customHeight="1" x14ac:dyDescent="0.25"/>
    <row r="526" ht="12" customHeight="1" x14ac:dyDescent="0.25"/>
    <row r="527" ht="12" customHeight="1" x14ac:dyDescent="0.25"/>
    <row r="528" ht="12" customHeight="1" x14ac:dyDescent="0.25"/>
    <row r="529" ht="12" customHeight="1" x14ac:dyDescent="0.25"/>
    <row r="530" ht="12" customHeight="1" x14ac:dyDescent="0.25"/>
    <row r="531" ht="12" customHeight="1" x14ac:dyDescent="0.25"/>
    <row r="532" ht="12" customHeight="1" x14ac:dyDescent="0.25"/>
    <row r="533" ht="12" customHeight="1" x14ac:dyDescent="0.25"/>
    <row r="534" ht="12" customHeight="1" x14ac:dyDescent="0.25"/>
    <row r="535" ht="12" customHeight="1" x14ac:dyDescent="0.25"/>
    <row r="536" ht="12" customHeight="1" x14ac:dyDescent="0.25"/>
    <row r="537" ht="12" customHeight="1" x14ac:dyDescent="0.25"/>
    <row r="538" ht="12" customHeight="1" x14ac:dyDescent="0.25"/>
    <row r="539" ht="12" customHeight="1" x14ac:dyDescent="0.25"/>
    <row r="540" ht="12" customHeight="1" x14ac:dyDescent="0.25"/>
    <row r="541" ht="12" customHeight="1" x14ac:dyDescent="0.25"/>
    <row r="542" ht="12" customHeight="1" x14ac:dyDescent="0.25"/>
    <row r="543" ht="12" customHeight="1" x14ac:dyDescent="0.25"/>
    <row r="544" ht="12" customHeight="1" x14ac:dyDescent="0.25"/>
    <row r="545" ht="12" customHeight="1" x14ac:dyDescent="0.25"/>
    <row r="546" ht="12" customHeight="1" x14ac:dyDescent="0.25"/>
    <row r="547" ht="12" customHeight="1" x14ac:dyDescent="0.25"/>
    <row r="548" ht="12" customHeight="1" x14ac:dyDescent="0.25"/>
    <row r="549" ht="12" customHeight="1" x14ac:dyDescent="0.25"/>
    <row r="550" ht="12" customHeight="1" x14ac:dyDescent="0.25"/>
    <row r="551" ht="12" customHeight="1" x14ac:dyDescent="0.25"/>
    <row r="552" ht="12" customHeight="1" x14ac:dyDescent="0.25"/>
    <row r="553" ht="12" customHeight="1" x14ac:dyDescent="0.25"/>
    <row r="554" ht="12" customHeight="1" x14ac:dyDescent="0.25"/>
    <row r="555" ht="12" customHeight="1" x14ac:dyDescent="0.25"/>
    <row r="556" ht="12" customHeight="1" x14ac:dyDescent="0.25"/>
    <row r="557" ht="11.25" customHeight="1" x14ac:dyDescent="0.25"/>
    <row r="558" ht="12" customHeight="1" x14ac:dyDescent="0.25"/>
    <row r="559" ht="12" customHeight="1" x14ac:dyDescent="0.25"/>
    <row r="560" ht="12" customHeight="1" x14ac:dyDescent="0.25"/>
    <row r="561" ht="12" customHeight="1" x14ac:dyDescent="0.25"/>
    <row r="562" ht="12" customHeight="1" x14ac:dyDescent="0.25"/>
    <row r="563" ht="12" customHeight="1" x14ac:dyDescent="0.25"/>
    <row r="564" ht="12" customHeight="1" x14ac:dyDescent="0.25"/>
    <row r="565" ht="12" customHeight="1" x14ac:dyDescent="0.25"/>
    <row r="566" ht="12" customHeight="1" x14ac:dyDescent="0.25"/>
    <row r="567" ht="12" customHeight="1" x14ac:dyDescent="0.25"/>
    <row r="568" ht="12" customHeight="1" x14ac:dyDescent="0.25"/>
    <row r="569" ht="12" customHeight="1" x14ac:dyDescent="0.25"/>
    <row r="570" ht="12" customHeight="1" x14ac:dyDescent="0.25"/>
    <row r="571" ht="12" customHeight="1" x14ac:dyDescent="0.25"/>
    <row r="572" ht="12" customHeight="1" x14ac:dyDescent="0.25"/>
    <row r="573" ht="12" customHeight="1" x14ac:dyDescent="0.25"/>
    <row r="574" ht="12" customHeight="1" x14ac:dyDescent="0.25"/>
    <row r="575" ht="12" customHeight="1" x14ac:dyDescent="0.25"/>
    <row r="576" ht="12" customHeight="1" x14ac:dyDescent="0.25"/>
    <row r="577" ht="12" customHeight="1" x14ac:dyDescent="0.25"/>
    <row r="578" ht="12" customHeight="1" x14ac:dyDescent="0.25"/>
    <row r="579" ht="12" customHeight="1" x14ac:dyDescent="0.25"/>
    <row r="580" ht="12" customHeight="1" x14ac:dyDescent="0.25"/>
    <row r="581" ht="12" customHeight="1" x14ac:dyDescent="0.25"/>
    <row r="582" ht="12" customHeight="1" x14ac:dyDescent="0.25"/>
    <row r="583" ht="12" customHeight="1" x14ac:dyDescent="0.25"/>
    <row r="584" ht="12" customHeight="1" x14ac:dyDescent="0.25"/>
    <row r="585" ht="12" customHeight="1" x14ac:dyDescent="0.25"/>
    <row r="586" ht="12" customHeight="1" x14ac:dyDescent="0.25"/>
    <row r="587" ht="12" customHeight="1" x14ac:dyDescent="0.25"/>
    <row r="588" ht="12" customHeight="1" x14ac:dyDescent="0.25"/>
    <row r="589" ht="12" customHeight="1" x14ac:dyDescent="0.25"/>
    <row r="590" ht="12" customHeight="1" x14ac:dyDescent="0.25"/>
    <row r="591" ht="12" customHeight="1" x14ac:dyDescent="0.25"/>
    <row r="592" ht="12" customHeight="1" x14ac:dyDescent="0.25"/>
    <row r="593" ht="12" customHeight="1" x14ac:dyDescent="0.25"/>
    <row r="594" ht="12" customHeight="1" x14ac:dyDescent="0.25"/>
    <row r="595" ht="12" customHeight="1" x14ac:dyDescent="0.25"/>
    <row r="596" ht="12" customHeight="1" x14ac:dyDescent="0.25"/>
    <row r="597" ht="12" customHeight="1" x14ac:dyDescent="0.25"/>
    <row r="598" ht="12" customHeight="1" x14ac:dyDescent="0.25"/>
    <row r="599" ht="12" customHeight="1" x14ac:dyDescent="0.25"/>
    <row r="600" ht="12" customHeight="1" x14ac:dyDescent="0.25"/>
    <row r="601" ht="12" customHeight="1" x14ac:dyDescent="0.25"/>
    <row r="602" ht="12" customHeight="1" x14ac:dyDescent="0.25"/>
    <row r="603" ht="12" customHeight="1" x14ac:dyDescent="0.25"/>
    <row r="604" ht="12" customHeight="1" x14ac:dyDescent="0.25"/>
    <row r="605" ht="12" customHeight="1" x14ac:dyDescent="0.25"/>
    <row r="606" ht="12" customHeight="1" x14ac:dyDescent="0.25"/>
    <row r="607" ht="12" customHeight="1" x14ac:dyDescent="0.25"/>
    <row r="608" ht="12" customHeight="1" x14ac:dyDescent="0.25"/>
    <row r="609" ht="12" customHeight="1" x14ac:dyDescent="0.25"/>
    <row r="610" ht="12" customHeight="1" x14ac:dyDescent="0.25"/>
    <row r="611" ht="12" customHeight="1" x14ac:dyDescent="0.25"/>
    <row r="612" ht="12" customHeight="1" x14ac:dyDescent="0.25"/>
    <row r="613" ht="12" customHeight="1" x14ac:dyDescent="0.25"/>
    <row r="614" ht="12" customHeight="1" x14ac:dyDescent="0.25"/>
    <row r="615" ht="12" customHeight="1" x14ac:dyDescent="0.25"/>
    <row r="616" ht="12" customHeight="1" x14ac:dyDescent="0.25"/>
    <row r="617" ht="12" customHeight="1" x14ac:dyDescent="0.25"/>
    <row r="618" ht="12" customHeight="1" x14ac:dyDescent="0.25"/>
    <row r="619" ht="12" customHeight="1" x14ac:dyDescent="0.25"/>
    <row r="620" ht="12" customHeight="1" x14ac:dyDescent="0.25"/>
    <row r="621" ht="12" customHeight="1" x14ac:dyDescent="0.25"/>
    <row r="622" ht="12" customHeight="1" x14ac:dyDescent="0.25"/>
    <row r="623" ht="12" customHeight="1" x14ac:dyDescent="0.25"/>
    <row r="624" ht="12" customHeight="1" x14ac:dyDescent="0.25"/>
    <row r="625" ht="12" customHeight="1" x14ac:dyDescent="0.25"/>
    <row r="626" ht="12" customHeight="1" x14ac:dyDescent="0.25"/>
    <row r="627" ht="12" customHeight="1" x14ac:dyDescent="0.25"/>
    <row r="628" ht="12" customHeight="1" x14ac:dyDescent="0.25"/>
    <row r="629" ht="12" customHeight="1" x14ac:dyDescent="0.25"/>
    <row r="630" ht="12" customHeight="1" x14ac:dyDescent="0.25"/>
    <row r="631" ht="12" customHeight="1" x14ac:dyDescent="0.25"/>
    <row r="632" ht="12" customHeight="1" x14ac:dyDescent="0.25"/>
    <row r="633" ht="12" customHeight="1" x14ac:dyDescent="0.25"/>
    <row r="634" ht="12" customHeight="1" x14ac:dyDescent="0.25"/>
    <row r="635" ht="12" customHeight="1" x14ac:dyDescent="0.25"/>
    <row r="636" ht="12" customHeight="1" x14ac:dyDescent="0.25"/>
    <row r="637" ht="12" customHeight="1" x14ac:dyDescent="0.25"/>
    <row r="638" ht="12" customHeight="1" x14ac:dyDescent="0.25"/>
    <row r="639" ht="12" customHeight="1" x14ac:dyDescent="0.25"/>
    <row r="640" ht="12" customHeight="1" x14ac:dyDescent="0.25"/>
    <row r="641" ht="12" customHeight="1" x14ac:dyDescent="0.25"/>
    <row r="642" ht="12" customHeight="1" x14ac:dyDescent="0.25"/>
    <row r="643" ht="12" customHeight="1" x14ac:dyDescent="0.25"/>
    <row r="644" ht="12" customHeight="1" x14ac:dyDescent="0.25"/>
    <row r="645" ht="12" customHeight="1" x14ac:dyDescent="0.25"/>
    <row r="646" ht="12" customHeight="1" x14ac:dyDescent="0.25"/>
    <row r="647" ht="12" customHeight="1" x14ac:dyDescent="0.25"/>
    <row r="648" ht="12" customHeight="1" x14ac:dyDescent="0.25"/>
    <row r="649" ht="12" customHeight="1" x14ac:dyDescent="0.25"/>
    <row r="650" ht="12" customHeight="1" x14ac:dyDescent="0.25"/>
    <row r="651" ht="12" customHeight="1" x14ac:dyDescent="0.25"/>
    <row r="652" ht="12" customHeight="1" x14ac:dyDescent="0.25"/>
    <row r="653" ht="12" customHeight="1" x14ac:dyDescent="0.25"/>
    <row r="654" ht="12" customHeight="1" x14ac:dyDescent="0.25"/>
    <row r="655" ht="12" customHeight="1" x14ac:dyDescent="0.25"/>
    <row r="656" ht="12" customHeight="1" x14ac:dyDescent="0.25"/>
    <row r="657" ht="12" customHeight="1" x14ac:dyDescent="0.25"/>
    <row r="658" ht="12" customHeight="1" x14ac:dyDescent="0.25"/>
    <row r="659" ht="12" customHeight="1" x14ac:dyDescent="0.25"/>
    <row r="660" ht="12" customHeight="1" x14ac:dyDescent="0.25"/>
    <row r="661" ht="12" customHeight="1" x14ac:dyDescent="0.25"/>
    <row r="662" ht="12" customHeight="1" x14ac:dyDescent="0.25"/>
    <row r="663" ht="12" customHeight="1" x14ac:dyDescent="0.25"/>
    <row r="664" ht="12" customHeight="1" x14ac:dyDescent="0.25"/>
    <row r="665" ht="12" customHeight="1" x14ac:dyDescent="0.25"/>
    <row r="666" ht="12" customHeight="1" x14ac:dyDescent="0.25"/>
    <row r="667" ht="12" customHeight="1" x14ac:dyDescent="0.25"/>
    <row r="668" ht="12" customHeight="1" x14ac:dyDescent="0.25"/>
    <row r="669" ht="12" customHeight="1" x14ac:dyDescent="0.25"/>
    <row r="670" ht="12" customHeight="1" x14ac:dyDescent="0.25"/>
    <row r="671" ht="12" customHeight="1" x14ac:dyDescent="0.25"/>
    <row r="672" ht="12" customHeight="1" x14ac:dyDescent="0.25"/>
    <row r="673" ht="12" customHeight="1" x14ac:dyDescent="0.25"/>
    <row r="674" ht="12" customHeight="1" x14ac:dyDescent="0.25"/>
    <row r="675" ht="12" customHeight="1" x14ac:dyDescent="0.25"/>
    <row r="676" ht="12" customHeight="1" x14ac:dyDescent="0.25"/>
    <row r="677" ht="12" customHeight="1" x14ac:dyDescent="0.25"/>
    <row r="678" ht="12" customHeight="1" x14ac:dyDescent="0.25"/>
    <row r="679" ht="12" customHeight="1" x14ac:dyDescent="0.25"/>
    <row r="680" ht="12" customHeight="1" x14ac:dyDescent="0.25"/>
    <row r="681" ht="12" customHeight="1" x14ac:dyDescent="0.25"/>
    <row r="682" ht="12" customHeight="1" x14ac:dyDescent="0.25"/>
    <row r="683" ht="12" customHeight="1" x14ac:dyDescent="0.25"/>
    <row r="684" ht="12" customHeight="1" x14ac:dyDescent="0.25"/>
    <row r="685" ht="12" customHeight="1" x14ac:dyDescent="0.25"/>
    <row r="686" ht="12" customHeight="1" x14ac:dyDescent="0.25"/>
    <row r="687" ht="12" customHeight="1" x14ac:dyDescent="0.25"/>
    <row r="688" ht="12" customHeight="1" x14ac:dyDescent="0.25"/>
    <row r="689" ht="12" customHeight="1" x14ac:dyDescent="0.25"/>
    <row r="690" ht="12" customHeight="1" x14ac:dyDescent="0.25"/>
    <row r="691" ht="12" customHeight="1" x14ac:dyDescent="0.25"/>
    <row r="692" ht="12" customHeight="1" x14ac:dyDescent="0.25"/>
    <row r="693" ht="12" customHeight="1" x14ac:dyDescent="0.25"/>
    <row r="694" ht="12" customHeight="1" x14ac:dyDescent="0.25"/>
    <row r="695" ht="12" customHeight="1" x14ac:dyDescent="0.25"/>
    <row r="696" ht="12" customHeight="1" x14ac:dyDescent="0.25"/>
    <row r="697" ht="12" customHeight="1" x14ac:dyDescent="0.25"/>
    <row r="698" ht="12" customHeight="1" x14ac:dyDescent="0.25"/>
    <row r="699" ht="12" customHeight="1" x14ac:dyDescent="0.25"/>
    <row r="700" ht="12" customHeight="1" x14ac:dyDescent="0.25"/>
    <row r="701" ht="12" customHeight="1" x14ac:dyDescent="0.25"/>
    <row r="702" ht="12" customHeight="1" x14ac:dyDescent="0.25"/>
    <row r="703" ht="12" customHeight="1" x14ac:dyDescent="0.25"/>
    <row r="704" ht="12" customHeight="1" x14ac:dyDescent="0.25"/>
    <row r="705" ht="12" customHeight="1" x14ac:dyDescent="0.25"/>
    <row r="706" ht="12" customHeight="1" x14ac:dyDescent="0.25"/>
    <row r="707" ht="12" customHeight="1" x14ac:dyDescent="0.25"/>
    <row r="708" ht="12" customHeight="1" x14ac:dyDescent="0.25"/>
    <row r="709" ht="12" customHeight="1" x14ac:dyDescent="0.25"/>
    <row r="710" ht="12" customHeight="1" x14ac:dyDescent="0.25"/>
    <row r="711" ht="12" customHeight="1" x14ac:dyDescent="0.25"/>
    <row r="712" ht="12" customHeight="1" x14ac:dyDescent="0.25"/>
    <row r="713" ht="12" customHeight="1" x14ac:dyDescent="0.25"/>
    <row r="714" ht="12" customHeight="1" x14ac:dyDescent="0.25"/>
    <row r="715" ht="12" customHeight="1" x14ac:dyDescent="0.25"/>
    <row r="716" ht="12" customHeight="1" x14ac:dyDescent="0.25"/>
    <row r="717" ht="12" customHeight="1" x14ac:dyDescent="0.25"/>
    <row r="718" ht="12" customHeight="1" x14ac:dyDescent="0.25"/>
    <row r="719" ht="12" customHeight="1" x14ac:dyDescent="0.25"/>
    <row r="720" ht="12" customHeight="1" x14ac:dyDescent="0.25"/>
    <row r="721" ht="12" customHeight="1" x14ac:dyDescent="0.25"/>
    <row r="722" ht="12" customHeight="1" x14ac:dyDescent="0.25"/>
    <row r="723" ht="12" customHeight="1" x14ac:dyDescent="0.25"/>
    <row r="724" ht="12" customHeight="1" x14ac:dyDescent="0.25"/>
    <row r="725" ht="12" customHeight="1" x14ac:dyDescent="0.25"/>
    <row r="726" ht="12" customHeight="1" x14ac:dyDescent="0.25"/>
    <row r="727" ht="12" customHeight="1" x14ac:dyDescent="0.25"/>
    <row r="728" ht="12" customHeight="1" x14ac:dyDescent="0.25"/>
    <row r="729" ht="12" customHeight="1" x14ac:dyDescent="0.25"/>
    <row r="730" ht="12" customHeight="1" x14ac:dyDescent="0.25"/>
    <row r="731" ht="12" customHeight="1" x14ac:dyDescent="0.25"/>
    <row r="732" ht="12" customHeight="1" x14ac:dyDescent="0.25"/>
    <row r="733" ht="12" customHeight="1" x14ac:dyDescent="0.25"/>
    <row r="734" ht="12" customHeight="1" x14ac:dyDescent="0.25"/>
    <row r="735" ht="12" customHeight="1" x14ac:dyDescent="0.25"/>
    <row r="736" ht="12" customHeight="1" x14ac:dyDescent="0.25"/>
    <row r="737" ht="12" customHeight="1" x14ac:dyDescent="0.25"/>
    <row r="738" ht="12" customHeight="1" x14ac:dyDescent="0.25"/>
    <row r="739" ht="12" customHeight="1" x14ac:dyDescent="0.25"/>
    <row r="740" ht="12" customHeight="1" x14ac:dyDescent="0.25"/>
    <row r="741" ht="12" customHeight="1" x14ac:dyDescent="0.25"/>
    <row r="742" ht="12" customHeight="1" x14ac:dyDescent="0.25"/>
    <row r="743" ht="12" customHeight="1" x14ac:dyDescent="0.25"/>
    <row r="744" ht="12" customHeight="1" x14ac:dyDescent="0.25"/>
    <row r="745" ht="12" customHeight="1" x14ac:dyDescent="0.25"/>
    <row r="746" ht="12" customHeight="1" x14ac:dyDescent="0.25"/>
    <row r="747" ht="12" customHeight="1" x14ac:dyDescent="0.25"/>
    <row r="748" ht="12" customHeight="1" x14ac:dyDescent="0.25"/>
    <row r="749" ht="12" customHeight="1" x14ac:dyDescent="0.25"/>
    <row r="750" ht="12" customHeight="1" x14ac:dyDescent="0.25"/>
    <row r="751" ht="12" customHeight="1" x14ac:dyDescent="0.25"/>
    <row r="752" ht="12" customHeight="1" x14ac:dyDescent="0.25"/>
    <row r="753" ht="12" customHeight="1" x14ac:dyDescent="0.25"/>
    <row r="754" ht="12" customHeight="1" x14ac:dyDescent="0.25"/>
    <row r="755" ht="12" customHeight="1" x14ac:dyDescent="0.25"/>
    <row r="756" ht="12" customHeight="1" x14ac:dyDescent="0.25"/>
    <row r="757" ht="12" customHeight="1" x14ac:dyDescent="0.25"/>
    <row r="758" ht="12" customHeight="1" x14ac:dyDescent="0.25"/>
    <row r="759" ht="12" customHeight="1" x14ac:dyDescent="0.25"/>
    <row r="760" ht="12" customHeight="1" x14ac:dyDescent="0.25"/>
    <row r="761" ht="12" customHeight="1" x14ac:dyDescent="0.25"/>
    <row r="762" ht="12" customHeight="1" x14ac:dyDescent="0.25"/>
    <row r="763" ht="12" customHeight="1" x14ac:dyDescent="0.25"/>
    <row r="764" ht="12" customHeight="1" x14ac:dyDescent="0.25"/>
    <row r="765" ht="12" customHeight="1" x14ac:dyDescent="0.25"/>
    <row r="766" ht="12" customHeight="1" x14ac:dyDescent="0.25"/>
    <row r="767" ht="12" customHeight="1" x14ac:dyDescent="0.25"/>
    <row r="768" ht="12" customHeight="1" x14ac:dyDescent="0.25"/>
    <row r="769" ht="12" customHeight="1" x14ac:dyDescent="0.25"/>
    <row r="770" ht="12" customHeight="1" x14ac:dyDescent="0.25"/>
    <row r="771" ht="12" customHeight="1" x14ac:dyDescent="0.25"/>
    <row r="772" ht="12" customHeight="1" x14ac:dyDescent="0.25"/>
    <row r="773" ht="12" customHeight="1" x14ac:dyDescent="0.25"/>
    <row r="774" ht="12" customHeight="1" x14ac:dyDescent="0.25"/>
    <row r="775" ht="12" customHeight="1" x14ac:dyDescent="0.25"/>
    <row r="776" ht="12" customHeight="1" x14ac:dyDescent="0.25"/>
    <row r="777" ht="12" customHeight="1" x14ac:dyDescent="0.25"/>
    <row r="778" ht="12" customHeight="1" x14ac:dyDescent="0.25"/>
    <row r="779" ht="12" customHeight="1" x14ac:dyDescent="0.25"/>
    <row r="780" ht="12" customHeight="1" x14ac:dyDescent="0.25"/>
    <row r="781" ht="12" customHeight="1" x14ac:dyDescent="0.25"/>
    <row r="782" ht="12" customHeight="1" x14ac:dyDescent="0.25"/>
    <row r="783" ht="12" customHeight="1" x14ac:dyDescent="0.25"/>
    <row r="784" ht="12" customHeight="1" x14ac:dyDescent="0.25"/>
    <row r="785" ht="12" customHeight="1" x14ac:dyDescent="0.25"/>
    <row r="786" ht="12" customHeight="1" x14ac:dyDescent="0.25"/>
    <row r="787" ht="12" customHeight="1" x14ac:dyDescent="0.25"/>
    <row r="788" ht="12" customHeight="1" x14ac:dyDescent="0.25"/>
    <row r="789" ht="12" customHeight="1" x14ac:dyDescent="0.25"/>
    <row r="790" ht="12" customHeight="1" x14ac:dyDescent="0.25"/>
    <row r="791" ht="12" customHeight="1" x14ac:dyDescent="0.25"/>
    <row r="792" ht="12" customHeight="1" x14ac:dyDescent="0.25"/>
    <row r="793" ht="12" customHeight="1" x14ac:dyDescent="0.25"/>
    <row r="794" ht="12" customHeight="1" x14ac:dyDescent="0.25"/>
    <row r="795" ht="12" customHeight="1" x14ac:dyDescent="0.25"/>
    <row r="796" ht="12" customHeight="1" x14ac:dyDescent="0.25"/>
    <row r="797" ht="12" customHeight="1" x14ac:dyDescent="0.25"/>
    <row r="798" ht="12" customHeight="1" x14ac:dyDescent="0.25"/>
    <row r="799" ht="12" customHeight="1" x14ac:dyDescent="0.25"/>
    <row r="800" ht="12" customHeight="1" x14ac:dyDescent="0.25"/>
    <row r="801" ht="12" customHeight="1" x14ac:dyDescent="0.25"/>
    <row r="802" ht="12" customHeight="1" x14ac:dyDescent="0.25"/>
    <row r="803" ht="12" customHeight="1" x14ac:dyDescent="0.25"/>
    <row r="804" ht="12" customHeight="1" x14ac:dyDescent="0.25"/>
    <row r="805" ht="12" customHeight="1" x14ac:dyDescent="0.25"/>
    <row r="806" ht="12" customHeight="1" x14ac:dyDescent="0.25"/>
    <row r="807" ht="12" customHeight="1" x14ac:dyDescent="0.25"/>
    <row r="808" ht="12" customHeight="1" x14ac:dyDescent="0.25"/>
    <row r="809" ht="12" customHeight="1" x14ac:dyDescent="0.25"/>
    <row r="810" ht="12" customHeight="1" x14ac:dyDescent="0.25"/>
    <row r="811" ht="12" customHeight="1" x14ac:dyDescent="0.25"/>
    <row r="812" ht="12" customHeight="1" x14ac:dyDescent="0.25"/>
    <row r="813" ht="12" customHeight="1" x14ac:dyDescent="0.25"/>
    <row r="814" ht="12" customHeight="1" x14ac:dyDescent="0.25"/>
    <row r="815" ht="12" customHeight="1" x14ac:dyDescent="0.25"/>
    <row r="816" ht="12" customHeight="1" x14ac:dyDescent="0.25"/>
    <row r="817" ht="12" customHeight="1" x14ac:dyDescent="0.25"/>
    <row r="818" ht="12" customHeight="1" x14ac:dyDescent="0.25"/>
    <row r="819" ht="12" customHeight="1" x14ac:dyDescent="0.25"/>
    <row r="820" ht="12" customHeight="1" x14ac:dyDescent="0.25"/>
    <row r="821" ht="12" customHeight="1" x14ac:dyDescent="0.25"/>
    <row r="822" ht="12" customHeight="1" x14ac:dyDescent="0.25"/>
    <row r="823" ht="12" customHeight="1" x14ac:dyDescent="0.25"/>
    <row r="824" ht="12" customHeight="1" x14ac:dyDescent="0.25"/>
    <row r="825" ht="12" customHeight="1" x14ac:dyDescent="0.25"/>
    <row r="826" ht="12" customHeight="1" x14ac:dyDescent="0.25"/>
    <row r="827" ht="12" customHeight="1" x14ac:dyDescent="0.25"/>
    <row r="828" ht="12" customHeight="1" x14ac:dyDescent="0.25"/>
    <row r="829" ht="12" customHeight="1" x14ac:dyDescent="0.25"/>
    <row r="830" ht="12" customHeight="1" x14ac:dyDescent="0.25"/>
    <row r="831" ht="12" customHeight="1" x14ac:dyDescent="0.25"/>
    <row r="832" ht="12" customHeight="1" x14ac:dyDescent="0.25"/>
    <row r="833" ht="12" customHeight="1" x14ac:dyDescent="0.25"/>
    <row r="834" ht="12" customHeight="1" x14ac:dyDescent="0.25"/>
    <row r="835" ht="12" customHeight="1" x14ac:dyDescent="0.25"/>
    <row r="836" ht="12" customHeight="1" x14ac:dyDescent="0.25"/>
    <row r="837" ht="12" customHeight="1" x14ac:dyDescent="0.25"/>
    <row r="838" ht="12" customHeight="1" x14ac:dyDescent="0.25"/>
    <row r="839" ht="12" customHeight="1" x14ac:dyDescent="0.25"/>
    <row r="840" ht="12" customHeight="1" x14ac:dyDescent="0.25"/>
    <row r="841" ht="12" customHeight="1" x14ac:dyDescent="0.25"/>
    <row r="842" ht="12" customHeight="1" x14ac:dyDescent="0.25"/>
    <row r="843" ht="12" customHeight="1" x14ac:dyDescent="0.25"/>
    <row r="844" ht="12" customHeight="1" x14ac:dyDescent="0.25"/>
    <row r="845" ht="12" customHeight="1" x14ac:dyDescent="0.25"/>
    <row r="846" ht="12" customHeight="1" x14ac:dyDescent="0.25"/>
    <row r="847" ht="12" customHeight="1" x14ac:dyDescent="0.25"/>
    <row r="848" ht="12" customHeight="1" x14ac:dyDescent="0.25"/>
    <row r="849" ht="12" customHeight="1" x14ac:dyDescent="0.25"/>
    <row r="850" ht="12" customHeight="1" x14ac:dyDescent="0.25"/>
    <row r="851" ht="12" customHeight="1" x14ac:dyDescent="0.25"/>
    <row r="852" ht="12" customHeight="1" x14ac:dyDescent="0.25"/>
    <row r="853" ht="12" customHeight="1" x14ac:dyDescent="0.25"/>
    <row r="854" ht="12" customHeight="1" x14ac:dyDescent="0.25"/>
    <row r="855" ht="12" customHeight="1" x14ac:dyDescent="0.25"/>
    <row r="856" ht="12" customHeight="1" x14ac:dyDescent="0.25"/>
    <row r="857" ht="12" customHeight="1" x14ac:dyDescent="0.25"/>
    <row r="858" ht="12" customHeight="1" x14ac:dyDescent="0.25"/>
    <row r="859" ht="12" customHeight="1" x14ac:dyDescent="0.25"/>
    <row r="860" ht="12" customHeight="1" x14ac:dyDescent="0.25"/>
    <row r="861" ht="12" customHeight="1" x14ac:dyDescent="0.25"/>
    <row r="862" ht="12" customHeight="1" x14ac:dyDescent="0.25"/>
    <row r="863" ht="12" customHeight="1" x14ac:dyDescent="0.25"/>
    <row r="864" ht="12" customHeight="1" x14ac:dyDescent="0.25"/>
    <row r="865" ht="12" customHeight="1" x14ac:dyDescent="0.25"/>
    <row r="866" ht="12" customHeight="1" x14ac:dyDescent="0.25"/>
    <row r="867" ht="12" customHeight="1" x14ac:dyDescent="0.25"/>
    <row r="868" ht="12" customHeight="1" x14ac:dyDescent="0.25"/>
    <row r="869" ht="12" customHeight="1" x14ac:dyDescent="0.25"/>
    <row r="870" ht="12" customHeight="1" x14ac:dyDescent="0.25"/>
    <row r="871" ht="12" customHeight="1" x14ac:dyDescent="0.25"/>
    <row r="872" ht="12" customHeight="1" x14ac:dyDescent="0.25"/>
    <row r="873" ht="12" customHeight="1" x14ac:dyDescent="0.25"/>
    <row r="874" ht="12" customHeight="1" x14ac:dyDescent="0.25"/>
    <row r="875" ht="12" customHeight="1" x14ac:dyDescent="0.25"/>
    <row r="876" ht="12" customHeight="1" x14ac:dyDescent="0.25"/>
    <row r="877" ht="12" customHeight="1" x14ac:dyDescent="0.25"/>
    <row r="878" ht="12" customHeight="1" x14ac:dyDescent="0.25"/>
    <row r="879" ht="12" customHeight="1" x14ac:dyDescent="0.25"/>
    <row r="880" ht="12" customHeight="1" x14ac:dyDescent="0.25"/>
    <row r="881" ht="12" customHeight="1" x14ac:dyDescent="0.25"/>
    <row r="882" ht="12" customHeight="1" x14ac:dyDescent="0.25"/>
    <row r="883" ht="12" customHeight="1" x14ac:dyDescent="0.25"/>
    <row r="884" ht="12" customHeight="1" x14ac:dyDescent="0.25"/>
    <row r="885" ht="12" customHeight="1" x14ac:dyDescent="0.25"/>
    <row r="886" ht="12" customHeight="1" x14ac:dyDescent="0.25"/>
    <row r="887" ht="12" customHeight="1" x14ac:dyDescent="0.25"/>
    <row r="888" ht="12" customHeight="1" x14ac:dyDescent="0.25"/>
    <row r="889" ht="12" customHeight="1" x14ac:dyDescent="0.25"/>
    <row r="890" ht="12" customHeight="1" x14ac:dyDescent="0.25"/>
    <row r="891" ht="12" customHeight="1" x14ac:dyDescent="0.25"/>
    <row r="892" ht="12" customHeight="1" x14ac:dyDescent="0.25"/>
    <row r="893" ht="12" customHeight="1" x14ac:dyDescent="0.25"/>
    <row r="894" ht="12" customHeight="1" x14ac:dyDescent="0.25"/>
    <row r="895" ht="12" customHeight="1" x14ac:dyDescent="0.25"/>
    <row r="896" ht="12" customHeight="1" x14ac:dyDescent="0.25"/>
    <row r="897" ht="12" customHeight="1" x14ac:dyDescent="0.25"/>
    <row r="898" ht="12" customHeight="1" x14ac:dyDescent="0.25"/>
    <row r="899" ht="12" customHeight="1" x14ac:dyDescent="0.25"/>
    <row r="900" ht="12" customHeight="1" x14ac:dyDescent="0.25"/>
    <row r="901" ht="12" customHeight="1" x14ac:dyDescent="0.25"/>
    <row r="902" ht="12" customHeight="1" x14ac:dyDescent="0.25"/>
    <row r="903" ht="12" customHeight="1" x14ac:dyDescent="0.25"/>
    <row r="904" ht="12" customHeight="1" x14ac:dyDescent="0.25"/>
    <row r="905" ht="12" customHeight="1" x14ac:dyDescent="0.25"/>
    <row r="906" ht="12" customHeight="1" x14ac:dyDescent="0.25"/>
    <row r="907" ht="12" customHeight="1" x14ac:dyDescent="0.25"/>
    <row r="908" ht="12" customHeight="1" x14ac:dyDescent="0.25"/>
    <row r="909" ht="12" customHeight="1" x14ac:dyDescent="0.25"/>
    <row r="910" ht="12" customHeight="1" x14ac:dyDescent="0.25"/>
    <row r="911" ht="12" customHeight="1" x14ac:dyDescent="0.25"/>
    <row r="912" ht="12" customHeight="1" x14ac:dyDescent="0.25"/>
    <row r="913" ht="12" customHeight="1" x14ac:dyDescent="0.25"/>
    <row r="914" ht="12" customHeight="1" x14ac:dyDescent="0.25"/>
    <row r="915" ht="12" customHeight="1" x14ac:dyDescent="0.25"/>
    <row r="916" ht="12" customHeight="1" x14ac:dyDescent="0.25"/>
    <row r="917" ht="12" customHeight="1" x14ac:dyDescent="0.25"/>
    <row r="918" ht="12" customHeight="1" x14ac:dyDescent="0.25"/>
    <row r="919" ht="12" customHeight="1" x14ac:dyDescent="0.25"/>
    <row r="920" ht="12" customHeight="1" x14ac:dyDescent="0.25"/>
    <row r="921" ht="12" customHeight="1" x14ac:dyDescent="0.25"/>
    <row r="922" ht="12" customHeight="1" x14ac:dyDescent="0.25"/>
    <row r="923" ht="12" customHeight="1" x14ac:dyDescent="0.25"/>
    <row r="924" ht="12" customHeight="1" x14ac:dyDescent="0.25"/>
    <row r="925" ht="12" customHeight="1" x14ac:dyDescent="0.25"/>
    <row r="926" ht="12" customHeight="1" x14ac:dyDescent="0.25"/>
    <row r="927" ht="12" customHeight="1" x14ac:dyDescent="0.25"/>
    <row r="928" ht="12" customHeight="1" x14ac:dyDescent="0.25"/>
    <row r="929" ht="12" customHeight="1" x14ac:dyDescent="0.25"/>
    <row r="930" ht="12" customHeight="1" x14ac:dyDescent="0.25"/>
    <row r="931" ht="12" customHeight="1" x14ac:dyDescent="0.25"/>
    <row r="932" ht="12" customHeight="1" x14ac:dyDescent="0.25"/>
    <row r="933" ht="12" customHeight="1" x14ac:dyDescent="0.25"/>
    <row r="934" ht="12" customHeight="1" x14ac:dyDescent="0.25"/>
    <row r="935" ht="12" customHeight="1" x14ac:dyDescent="0.25"/>
    <row r="936" ht="12" customHeight="1" x14ac:dyDescent="0.25"/>
    <row r="937" ht="12" customHeight="1" x14ac:dyDescent="0.25"/>
    <row r="938" ht="12" customHeight="1" x14ac:dyDescent="0.25"/>
    <row r="939" ht="12" customHeight="1" x14ac:dyDescent="0.25"/>
    <row r="940" ht="12" customHeight="1" x14ac:dyDescent="0.25"/>
    <row r="941" ht="12" customHeight="1" x14ac:dyDescent="0.25"/>
    <row r="942" ht="12" customHeight="1" x14ac:dyDescent="0.25"/>
    <row r="943" ht="12" customHeight="1" x14ac:dyDescent="0.25"/>
    <row r="944" ht="12" customHeight="1" x14ac:dyDescent="0.25"/>
    <row r="945" ht="12" customHeight="1" x14ac:dyDescent="0.25"/>
    <row r="946" ht="12" customHeight="1" x14ac:dyDescent="0.25"/>
    <row r="947" ht="12" customHeight="1" x14ac:dyDescent="0.25"/>
    <row r="948" ht="12" customHeight="1" x14ac:dyDescent="0.25"/>
    <row r="949" ht="12" customHeight="1" x14ac:dyDescent="0.25"/>
    <row r="950" ht="12" customHeight="1" x14ac:dyDescent="0.25"/>
    <row r="951" ht="12" customHeight="1" x14ac:dyDescent="0.25"/>
    <row r="952" ht="12" customHeight="1" x14ac:dyDescent="0.25"/>
    <row r="953" ht="12" customHeight="1" x14ac:dyDescent="0.25"/>
    <row r="954" ht="12" customHeight="1" x14ac:dyDescent="0.25"/>
    <row r="955" ht="12" customHeight="1" x14ac:dyDescent="0.25"/>
    <row r="956" ht="12" customHeight="1" x14ac:dyDescent="0.25"/>
    <row r="957" ht="12" customHeight="1" x14ac:dyDescent="0.25"/>
    <row r="958" ht="12" customHeight="1" x14ac:dyDescent="0.25"/>
    <row r="959" ht="12" customHeight="1" x14ac:dyDescent="0.25"/>
    <row r="960" ht="12" customHeight="1" x14ac:dyDescent="0.25"/>
    <row r="961" ht="12" customHeight="1" x14ac:dyDescent="0.25"/>
    <row r="962" ht="12" customHeight="1" x14ac:dyDescent="0.25"/>
    <row r="963" ht="12" customHeight="1" x14ac:dyDescent="0.25"/>
    <row r="964" ht="12" customHeight="1" x14ac:dyDescent="0.25"/>
    <row r="965" ht="12" customHeight="1" x14ac:dyDescent="0.25"/>
    <row r="966" ht="12" customHeight="1" x14ac:dyDescent="0.25"/>
    <row r="967" ht="12" customHeight="1" x14ac:dyDescent="0.25"/>
    <row r="968" ht="12" customHeight="1" x14ac:dyDescent="0.25"/>
    <row r="969" ht="12" customHeight="1" x14ac:dyDescent="0.25"/>
    <row r="970" ht="12" customHeight="1" x14ac:dyDescent="0.25"/>
    <row r="971" ht="12" customHeight="1" x14ac:dyDescent="0.25"/>
    <row r="972" ht="12" customHeight="1" x14ac:dyDescent="0.25"/>
    <row r="973" ht="12" customHeight="1" x14ac:dyDescent="0.25"/>
    <row r="974" ht="12" customHeight="1" x14ac:dyDescent="0.25"/>
    <row r="975" ht="12" customHeight="1" x14ac:dyDescent="0.25"/>
    <row r="976" ht="12" customHeight="1" x14ac:dyDescent="0.25"/>
    <row r="977" ht="12" customHeight="1" x14ac:dyDescent="0.25"/>
    <row r="978" ht="12" customHeight="1" x14ac:dyDescent="0.25"/>
    <row r="980" ht="12" customHeight="1" x14ac:dyDescent="0.25"/>
    <row r="981" ht="12" customHeight="1" x14ac:dyDescent="0.25"/>
    <row r="982" ht="12" customHeight="1" x14ac:dyDescent="0.25"/>
    <row r="983" ht="12" customHeight="1" x14ac:dyDescent="0.25"/>
    <row r="984" ht="12" customHeight="1" x14ac:dyDescent="0.25"/>
    <row r="985" ht="12" customHeight="1" x14ac:dyDescent="0.25"/>
    <row r="986" ht="12" customHeight="1" x14ac:dyDescent="0.25"/>
    <row r="988" ht="12" customHeight="1" x14ac:dyDescent="0.25"/>
    <row r="989" ht="12" customHeight="1" x14ac:dyDescent="0.25"/>
    <row r="990" ht="12" customHeight="1" x14ac:dyDescent="0.25"/>
    <row r="991" ht="12" customHeight="1" x14ac:dyDescent="0.25"/>
    <row r="992" ht="12" customHeight="1" x14ac:dyDescent="0.25"/>
    <row r="993" ht="12" customHeight="1" x14ac:dyDescent="0.25"/>
    <row r="994" ht="12" customHeight="1" x14ac:dyDescent="0.25"/>
    <row r="996" ht="12" customHeight="1" x14ac:dyDescent="0.25"/>
    <row r="997" ht="12" customHeight="1" x14ac:dyDescent="0.25"/>
    <row r="998" ht="12" customHeight="1" x14ac:dyDescent="0.25"/>
    <row r="999" ht="12" customHeight="1" x14ac:dyDescent="0.25"/>
    <row r="1000" ht="12" customHeight="1" x14ac:dyDescent="0.25"/>
    <row r="1001" ht="12" customHeight="1" x14ac:dyDescent="0.25"/>
    <row r="1002" ht="12" customHeight="1" x14ac:dyDescent="0.25"/>
    <row r="1004" ht="12" customHeight="1" x14ac:dyDescent="0.25"/>
    <row r="1005" ht="12" customHeight="1" x14ac:dyDescent="0.25"/>
    <row r="1006" ht="12" customHeight="1" x14ac:dyDescent="0.25"/>
    <row r="1007" ht="12" customHeight="1" x14ac:dyDescent="0.25"/>
    <row r="1008" ht="12" customHeight="1" x14ac:dyDescent="0.25"/>
    <row r="1009" ht="12" customHeight="1" x14ac:dyDescent="0.25"/>
    <row r="1010" ht="12" customHeight="1" x14ac:dyDescent="0.25"/>
    <row r="1012" ht="12" customHeight="1" x14ac:dyDescent="0.25"/>
    <row r="1013" ht="12" customHeight="1" x14ac:dyDescent="0.25"/>
    <row r="1014" ht="12" customHeight="1" x14ac:dyDescent="0.25"/>
    <row r="1015" ht="12" customHeight="1" x14ac:dyDescent="0.25"/>
    <row r="1016" ht="12" customHeight="1" x14ac:dyDescent="0.25"/>
    <row r="1017" ht="12" customHeight="1" x14ac:dyDescent="0.25"/>
    <row r="1018" ht="12" customHeight="1" x14ac:dyDescent="0.25"/>
    <row r="1020" ht="12" customHeight="1" x14ac:dyDescent="0.25"/>
    <row r="1021" ht="12" customHeight="1" x14ac:dyDescent="0.25"/>
    <row r="1022" ht="12" customHeight="1" x14ac:dyDescent="0.25"/>
    <row r="1023" ht="12" customHeight="1" x14ac:dyDescent="0.25"/>
    <row r="1024" ht="12" customHeight="1" x14ac:dyDescent="0.25"/>
    <row r="1025" ht="12" customHeight="1" x14ac:dyDescent="0.25"/>
    <row r="1026" ht="12" customHeight="1" x14ac:dyDescent="0.25"/>
    <row r="1028" ht="12" customHeight="1" x14ac:dyDescent="0.25"/>
    <row r="1029" ht="12" customHeight="1" x14ac:dyDescent="0.25"/>
    <row r="1030" ht="12" customHeight="1" x14ac:dyDescent="0.25"/>
    <row r="1031" ht="12" customHeight="1" x14ac:dyDescent="0.25"/>
    <row r="1032" ht="12" customHeight="1" x14ac:dyDescent="0.25"/>
    <row r="1033" ht="12" customHeight="1" x14ac:dyDescent="0.25"/>
    <row r="1034" ht="12" customHeight="1" x14ac:dyDescent="0.25"/>
    <row r="1036" ht="12" customHeight="1" x14ac:dyDescent="0.25"/>
    <row r="1037" ht="12" customHeight="1" x14ac:dyDescent="0.25"/>
    <row r="1038" ht="12" customHeight="1" x14ac:dyDescent="0.25"/>
    <row r="1039" ht="12" customHeight="1" x14ac:dyDescent="0.25"/>
    <row r="1040" ht="12" customHeight="1" x14ac:dyDescent="0.25"/>
    <row r="1041" ht="12" customHeight="1" x14ac:dyDescent="0.25"/>
    <row r="1042" ht="12" customHeight="1" x14ac:dyDescent="0.25"/>
    <row r="1044" ht="12" customHeight="1" x14ac:dyDescent="0.25"/>
    <row r="1045" ht="12" customHeight="1" x14ac:dyDescent="0.25"/>
    <row r="1046" ht="12" customHeight="1" x14ac:dyDescent="0.25"/>
    <row r="1047" ht="12" customHeight="1" x14ac:dyDescent="0.25"/>
    <row r="1048" ht="12" customHeight="1" x14ac:dyDescent="0.25"/>
    <row r="1049" ht="12" customHeight="1" x14ac:dyDescent="0.25"/>
    <row r="1050" ht="12" customHeight="1" x14ac:dyDescent="0.25"/>
    <row r="1052" ht="12" customHeight="1" x14ac:dyDescent="0.25"/>
    <row r="1053" ht="12" customHeight="1" x14ac:dyDescent="0.25"/>
    <row r="1054" ht="12" customHeight="1" x14ac:dyDescent="0.25"/>
    <row r="1055" ht="12" customHeight="1" x14ac:dyDescent="0.25"/>
    <row r="1056" ht="12" customHeight="1" x14ac:dyDescent="0.25"/>
    <row r="1057" ht="12.75" customHeight="1" x14ac:dyDescent="0.25"/>
    <row r="1058" ht="12" customHeight="1" x14ac:dyDescent="0.25"/>
    <row r="1060" ht="12" customHeight="1" x14ac:dyDescent="0.25"/>
    <row r="1061" ht="12" customHeight="1" x14ac:dyDescent="0.25"/>
    <row r="1062" ht="12" customHeight="1" x14ac:dyDescent="0.25"/>
    <row r="1063" ht="12" customHeight="1" x14ac:dyDescent="0.25"/>
    <row r="1064" ht="12" customHeight="1" x14ac:dyDescent="0.25"/>
    <row r="1065" ht="12" customHeight="1" x14ac:dyDescent="0.25"/>
    <row r="1066" ht="12" customHeight="1" x14ac:dyDescent="0.25"/>
    <row r="1068" ht="12" customHeight="1" x14ac:dyDescent="0.25"/>
    <row r="1069" ht="12" customHeight="1" x14ac:dyDescent="0.25"/>
    <row r="1070" ht="12" customHeight="1" x14ac:dyDescent="0.25"/>
    <row r="1071" ht="12" customHeight="1" x14ac:dyDescent="0.25"/>
    <row r="1072" ht="12" customHeight="1" x14ac:dyDescent="0.25"/>
    <row r="1073" ht="12" customHeight="1" x14ac:dyDescent="0.25"/>
    <row r="1074" ht="12" customHeight="1" x14ac:dyDescent="0.25"/>
    <row r="1076" ht="12" customHeight="1" x14ac:dyDescent="0.25"/>
    <row r="1077" ht="12" customHeight="1" x14ac:dyDescent="0.25"/>
    <row r="1078" ht="12" customHeight="1" x14ac:dyDescent="0.25"/>
    <row r="1079" ht="12" customHeight="1" x14ac:dyDescent="0.25"/>
    <row r="1080" ht="12" customHeight="1" x14ac:dyDescent="0.25"/>
    <row r="1081" ht="12" customHeight="1" x14ac:dyDescent="0.25"/>
    <row r="1082" ht="12" customHeight="1" x14ac:dyDescent="0.25"/>
    <row r="1084" ht="12" customHeight="1" x14ac:dyDescent="0.25"/>
    <row r="1085" ht="12" customHeight="1" x14ac:dyDescent="0.25"/>
    <row r="1086" ht="12" customHeight="1" x14ac:dyDescent="0.25"/>
    <row r="1087" ht="12" customHeight="1" x14ac:dyDescent="0.25"/>
    <row r="1088" ht="12" customHeight="1" x14ac:dyDescent="0.25"/>
    <row r="1089" ht="12" customHeight="1" x14ac:dyDescent="0.25"/>
    <row r="1090" ht="12" customHeight="1" x14ac:dyDescent="0.25"/>
    <row r="1092" ht="12" customHeight="1" x14ac:dyDescent="0.25"/>
    <row r="1093" ht="12" customHeight="1" x14ac:dyDescent="0.25"/>
    <row r="1094" ht="12" customHeight="1" x14ac:dyDescent="0.25"/>
    <row r="1095" ht="12" customHeight="1" x14ac:dyDescent="0.25"/>
    <row r="1096" ht="12" customHeight="1" x14ac:dyDescent="0.25"/>
    <row r="1097" ht="12" customHeight="1" x14ac:dyDescent="0.25"/>
    <row r="1098" ht="12" customHeight="1" x14ac:dyDescent="0.25"/>
    <row r="1099" ht="12" customHeight="1" x14ac:dyDescent="0.25"/>
    <row r="1100" ht="12" customHeight="1" x14ac:dyDescent="0.25"/>
    <row r="1101" ht="12" customHeight="1" x14ac:dyDescent="0.25"/>
    <row r="1102" ht="12" customHeight="1" x14ac:dyDescent="0.25"/>
    <row r="1103" ht="12" customHeight="1" x14ac:dyDescent="0.25"/>
    <row r="1104" ht="12" customHeight="1" x14ac:dyDescent="0.25"/>
    <row r="1105" ht="12" customHeight="1" x14ac:dyDescent="0.25"/>
    <row r="1106" ht="12" customHeight="1" x14ac:dyDescent="0.25"/>
    <row r="1107" ht="12" customHeight="1" x14ac:dyDescent="0.25"/>
    <row r="1108" ht="12" customHeight="1" x14ac:dyDescent="0.25"/>
    <row r="1109" ht="12" customHeight="1" x14ac:dyDescent="0.25"/>
    <row r="1110" ht="12" customHeight="1" x14ac:dyDescent="0.25"/>
    <row r="1111" ht="12" customHeight="1" x14ac:dyDescent="0.25"/>
    <row r="1112" ht="12" customHeight="1" x14ac:dyDescent="0.25"/>
    <row r="1113" ht="12" customHeight="1" x14ac:dyDescent="0.25"/>
    <row r="1114" ht="12" customHeight="1" x14ac:dyDescent="0.25"/>
    <row r="1115" ht="12" customHeight="1" x14ac:dyDescent="0.25"/>
    <row r="1116" ht="12" customHeight="1" x14ac:dyDescent="0.25"/>
    <row r="1117" ht="12" customHeight="1" x14ac:dyDescent="0.25"/>
    <row r="1118" ht="12" customHeight="1" x14ac:dyDescent="0.25"/>
    <row r="1119" ht="12" customHeight="1" x14ac:dyDescent="0.25"/>
    <row r="1120" ht="12" customHeight="1" x14ac:dyDescent="0.25"/>
    <row r="1121" ht="12" customHeight="1" x14ac:dyDescent="0.25"/>
    <row r="1122" ht="12" customHeight="1" x14ac:dyDescent="0.25"/>
    <row r="1123" ht="12" customHeight="1" x14ac:dyDescent="0.25"/>
    <row r="1124" ht="12" customHeight="1" x14ac:dyDescent="0.25"/>
    <row r="1125" ht="12" customHeight="1" x14ac:dyDescent="0.25"/>
    <row r="1126" ht="12" customHeight="1" x14ac:dyDescent="0.25"/>
    <row r="1127" ht="12" customHeight="1" x14ac:dyDescent="0.25"/>
    <row r="1128" ht="12" customHeight="1" x14ac:dyDescent="0.25"/>
    <row r="1129" ht="12" customHeight="1" x14ac:dyDescent="0.25"/>
    <row r="1130" ht="12" customHeight="1" x14ac:dyDescent="0.25"/>
    <row r="1131" ht="12" customHeight="1" x14ac:dyDescent="0.25"/>
    <row r="1132" ht="12" customHeight="1" x14ac:dyDescent="0.25"/>
    <row r="1133" ht="12" customHeight="1" x14ac:dyDescent="0.25"/>
    <row r="1134" ht="12" customHeight="1" x14ac:dyDescent="0.25"/>
    <row r="1135" ht="12" customHeight="1" x14ac:dyDescent="0.25"/>
    <row r="1136" ht="12" customHeight="1" x14ac:dyDescent="0.25"/>
    <row r="1137" ht="12" customHeight="1" x14ac:dyDescent="0.25"/>
    <row r="1138" ht="12" customHeight="1" x14ac:dyDescent="0.25"/>
    <row r="1139" ht="12" customHeight="1" x14ac:dyDescent="0.25"/>
    <row r="1140" ht="12" customHeight="1" x14ac:dyDescent="0.25"/>
    <row r="1141" ht="12" customHeight="1" x14ac:dyDescent="0.25"/>
    <row r="1142" ht="12" customHeight="1" x14ac:dyDescent="0.25"/>
    <row r="1143" ht="12" customHeight="1" x14ac:dyDescent="0.25"/>
    <row r="1144" ht="12" customHeight="1" x14ac:dyDescent="0.25"/>
    <row r="1145" ht="12" customHeight="1" x14ac:dyDescent="0.25"/>
    <row r="1146" ht="12" customHeight="1" x14ac:dyDescent="0.25"/>
    <row r="1147" ht="12" customHeight="1" x14ac:dyDescent="0.25"/>
    <row r="1148" ht="12" customHeight="1" x14ac:dyDescent="0.25"/>
    <row r="1149" ht="12" customHeight="1" x14ac:dyDescent="0.25"/>
    <row r="1150" ht="12" customHeight="1" x14ac:dyDescent="0.25"/>
    <row r="1151" ht="12" customHeight="1" x14ac:dyDescent="0.25"/>
    <row r="1152" ht="12" customHeight="1" x14ac:dyDescent="0.25"/>
    <row r="1153" ht="12" customHeight="1" x14ac:dyDescent="0.25"/>
    <row r="1154" ht="12" customHeight="1" x14ac:dyDescent="0.25"/>
    <row r="1155" ht="12" customHeight="1" x14ac:dyDescent="0.25"/>
    <row r="1156" ht="12" customHeight="1" x14ac:dyDescent="0.25"/>
    <row r="1157" ht="12" customHeight="1" x14ac:dyDescent="0.25"/>
    <row r="1158" ht="12" customHeight="1" x14ac:dyDescent="0.25"/>
    <row r="1159" ht="12" customHeight="1" x14ac:dyDescent="0.25"/>
    <row r="1160" ht="12" customHeight="1" x14ac:dyDescent="0.25"/>
    <row r="1161" ht="12" customHeight="1" x14ac:dyDescent="0.25"/>
    <row r="1162" ht="12" customHeight="1" x14ac:dyDescent="0.25"/>
    <row r="1163" ht="12" customHeight="1" x14ac:dyDescent="0.25"/>
    <row r="1164" ht="12" customHeight="1" x14ac:dyDescent="0.25"/>
    <row r="1165" ht="12" customHeight="1" x14ac:dyDescent="0.25"/>
    <row r="1166" ht="12" customHeight="1" x14ac:dyDescent="0.25"/>
    <row r="1167" ht="12" customHeight="1" x14ac:dyDescent="0.25"/>
    <row r="1168" ht="12" customHeight="1" x14ac:dyDescent="0.25"/>
    <row r="1169" ht="12" customHeight="1" x14ac:dyDescent="0.25"/>
    <row r="1170" ht="12" customHeight="1" x14ac:dyDescent="0.25"/>
    <row r="1171" ht="12" customHeight="1" x14ac:dyDescent="0.25"/>
    <row r="1172" ht="12" customHeight="1" x14ac:dyDescent="0.25"/>
    <row r="1173" ht="12" customHeight="1" x14ac:dyDescent="0.25"/>
    <row r="1174" ht="12" customHeight="1" x14ac:dyDescent="0.25"/>
    <row r="1175" ht="12" customHeight="1" x14ac:dyDescent="0.25"/>
    <row r="1176" ht="12" customHeight="1" x14ac:dyDescent="0.25"/>
    <row r="1177" ht="12" customHeight="1" x14ac:dyDescent="0.25"/>
    <row r="1178" ht="12" customHeight="1" x14ac:dyDescent="0.25"/>
    <row r="1179" ht="12" customHeight="1" x14ac:dyDescent="0.25"/>
    <row r="1180" ht="12" customHeight="1" x14ac:dyDescent="0.25"/>
    <row r="1181" ht="12" customHeight="1" x14ac:dyDescent="0.25"/>
    <row r="1182" ht="12" customHeight="1" x14ac:dyDescent="0.25"/>
    <row r="1183" ht="12" customHeight="1" x14ac:dyDescent="0.25"/>
    <row r="1184" ht="12" customHeight="1" x14ac:dyDescent="0.25"/>
    <row r="1185" ht="12" customHeight="1" x14ac:dyDescent="0.25"/>
    <row r="1186" ht="12" customHeight="1" x14ac:dyDescent="0.25"/>
    <row r="1187" ht="12" customHeight="1" x14ac:dyDescent="0.25"/>
    <row r="1188" ht="12" customHeight="1" x14ac:dyDescent="0.25"/>
    <row r="1189" ht="12" customHeight="1" x14ac:dyDescent="0.25"/>
    <row r="1190" ht="12" customHeight="1" x14ac:dyDescent="0.25"/>
    <row r="1191" ht="12" customHeight="1" x14ac:dyDescent="0.25"/>
    <row r="1192" ht="12" customHeight="1" x14ac:dyDescent="0.25"/>
    <row r="1193" ht="12" customHeight="1" x14ac:dyDescent="0.25"/>
    <row r="1194" ht="12" customHeight="1" x14ac:dyDescent="0.25"/>
    <row r="1195" ht="12" customHeight="1" x14ac:dyDescent="0.25"/>
    <row r="1196" ht="12" customHeight="1" x14ac:dyDescent="0.25"/>
    <row r="1197" ht="12" customHeight="1" x14ac:dyDescent="0.25"/>
    <row r="1198" ht="12" customHeight="1" x14ac:dyDescent="0.25"/>
    <row r="1199" ht="12" customHeight="1" x14ac:dyDescent="0.25"/>
    <row r="1200" ht="12" customHeight="1" x14ac:dyDescent="0.25"/>
    <row r="1201" ht="12" customHeight="1" x14ac:dyDescent="0.25"/>
    <row r="1202" ht="12" customHeight="1" x14ac:dyDescent="0.25"/>
    <row r="1203" ht="12" customHeight="1" x14ac:dyDescent="0.25"/>
    <row r="1204" ht="12" customHeight="1" x14ac:dyDescent="0.25"/>
    <row r="1205" ht="12" customHeight="1" x14ac:dyDescent="0.25"/>
    <row r="1206" ht="12" customHeight="1" x14ac:dyDescent="0.25"/>
    <row r="1207" ht="12" customHeight="1" x14ac:dyDescent="0.25"/>
    <row r="1208" ht="12" customHeight="1" x14ac:dyDescent="0.25"/>
    <row r="1209" ht="12" customHeight="1" x14ac:dyDescent="0.25"/>
    <row r="1210" ht="12" customHeight="1" x14ac:dyDescent="0.25"/>
    <row r="1211" ht="12" customHeight="1" x14ac:dyDescent="0.25"/>
    <row r="1212" ht="12" customHeight="1" x14ac:dyDescent="0.25"/>
    <row r="1213" ht="12" customHeight="1" x14ac:dyDescent="0.25"/>
    <row r="1214" ht="12" customHeight="1" x14ac:dyDescent="0.25"/>
    <row r="1215" ht="12" customHeight="1" x14ac:dyDescent="0.25"/>
    <row r="1216" ht="12" customHeight="1" x14ac:dyDescent="0.25"/>
    <row r="1217" ht="12" customHeight="1" x14ac:dyDescent="0.25"/>
    <row r="1218" ht="12" customHeight="1" x14ac:dyDescent="0.25"/>
    <row r="1219" ht="12" customHeight="1" x14ac:dyDescent="0.25"/>
    <row r="1220" ht="12" customHeight="1" x14ac:dyDescent="0.25"/>
    <row r="1221" ht="12" customHeight="1" x14ac:dyDescent="0.25"/>
    <row r="1222" ht="12" customHeight="1" x14ac:dyDescent="0.25"/>
    <row r="1223" ht="12" customHeight="1" x14ac:dyDescent="0.25"/>
    <row r="1224" ht="12" customHeight="1" x14ac:dyDescent="0.25"/>
    <row r="1225" ht="12" customHeight="1" x14ac:dyDescent="0.25"/>
    <row r="1226" ht="12" customHeight="1" x14ac:dyDescent="0.25"/>
    <row r="1227" ht="12" customHeight="1" x14ac:dyDescent="0.25"/>
    <row r="1228" ht="12" customHeight="1" x14ac:dyDescent="0.25"/>
    <row r="1229" ht="12" customHeight="1" x14ac:dyDescent="0.25"/>
    <row r="1230" ht="12" customHeight="1" x14ac:dyDescent="0.25"/>
    <row r="1231" ht="12" customHeight="1" x14ac:dyDescent="0.25"/>
    <row r="1232" ht="12" customHeight="1" x14ac:dyDescent="0.25"/>
    <row r="1233" ht="12" customHeight="1" x14ac:dyDescent="0.25"/>
    <row r="1234" ht="12" customHeight="1" x14ac:dyDescent="0.25"/>
    <row r="1235" ht="12" customHeight="1" x14ac:dyDescent="0.25"/>
    <row r="1236" ht="12" customHeight="1" x14ac:dyDescent="0.25"/>
    <row r="1237" ht="12" customHeight="1" x14ac:dyDescent="0.25"/>
    <row r="1238" ht="12" customHeight="1" x14ac:dyDescent="0.25"/>
    <row r="1239" ht="12" customHeight="1" x14ac:dyDescent="0.25"/>
    <row r="1240" ht="12" customHeight="1" x14ac:dyDescent="0.25"/>
    <row r="1241" ht="12" customHeight="1" x14ac:dyDescent="0.25"/>
    <row r="1242" ht="12" customHeight="1" x14ac:dyDescent="0.25"/>
    <row r="1243" ht="12" customHeight="1" x14ac:dyDescent="0.25"/>
    <row r="1244" ht="12" customHeight="1" x14ac:dyDescent="0.25"/>
    <row r="1245" ht="12" customHeight="1" x14ac:dyDescent="0.25"/>
    <row r="1246" ht="12" customHeight="1" x14ac:dyDescent="0.25"/>
    <row r="1247" ht="12" customHeight="1" x14ac:dyDescent="0.25"/>
    <row r="1248" ht="12" customHeight="1" x14ac:dyDescent="0.25"/>
    <row r="1249" ht="12" customHeight="1" x14ac:dyDescent="0.25"/>
    <row r="1250" ht="12" customHeight="1" x14ac:dyDescent="0.25"/>
    <row r="1251" ht="12" customHeight="1" x14ac:dyDescent="0.25"/>
    <row r="1252" ht="12" customHeight="1" x14ac:dyDescent="0.25"/>
    <row r="1253" ht="12" customHeight="1" x14ac:dyDescent="0.25"/>
    <row r="1254" ht="12" customHeight="1" x14ac:dyDescent="0.25"/>
    <row r="1255" ht="12" customHeight="1" x14ac:dyDescent="0.25"/>
    <row r="1256" ht="12" customHeight="1" x14ac:dyDescent="0.25"/>
    <row r="1257" ht="12" customHeight="1" x14ac:dyDescent="0.25"/>
    <row r="1258" ht="12" customHeight="1" x14ac:dyDescent="0.25"/>
    <row r="1259" ht="12" customHeight="1" x14ac:dyDescent="0.25"/>
    <row r="1260" ht="12" customHeight="1" x14ac:dyDescent="0.25"/>
    <row r="1261" ht="12" customHeight="1" x14ac:dyDescent="0.25"/>
    <row r="1262" ht="12" customHeight="1" x14ac:dyDescent="0.25"/>
    <row r="1263" ht="12" customHeight="1" x14ac:dyDescent="0.25"/>
    <row r="1264" ht="12" customHeight="1" x14ac:dyDescent="0.25"/>
    <row r="1265" ht="12" customHeight="1" x14ac:dyDescent="0.25"/>
    <row r="1266" ht="12" customHeight="1" x14ac:dyDescent="0.25"/>
    <row r="1267" ht="12" customHeight="1" x14ac:dyDescent="0.25"/>
    <row r="1268" ht="12" customHeight="1" x14ac:dyDescent="0.25"/>
    <row r="1269" ht="12" customHeight="1" x14ac:dyDescent="0.25"/>
    <row r="1270" ht="12" customHeight="1" x14ac:dyDescent="0.25"/>
    <row r="1271" ht="12" customHeight="1" x14ac:dyDescent="0.25"/>
    <row r="1272" ht="12" customHeight="1" x14ac:dyDescent="0.25"/>
    <row r="1273" ht="12" customHeight="1" x14ac:dyDescent="0.25"/>
    <row r="1274" ht="12" customHeight="1" x14ac:dyDescent="0.25"/>
    <row r="1275" ht="12" customHeight="1" x14ac:dyDescent="0.25"/>
    <row r="1276" ht="12" customHeight="1" x14ac:dyDescent="0.25"/>
    <row r="1277" ht="12" customHeight="1" x14ac:dyDescent="0.25"/>
    <row r="1278" ht="12" customHeight="1" x14ac:dyDescent="0.25"/>
    <row r="1279" ht="12" customHeight="1" x14ac:dyDescent="0.25"/>
    <row r="1280" ht="12" customHeight="1" x14ac:dyDescent="0.25"/>
    <row r="1281" ht="12" customHeight="1" x14ac:dyDescent="0.25"/>
    <row r="1282" ht="12" customHeight="1" x14ac:dyDescent="0.25"/>
    <row r="1283" ht="12" customHeight="1" x14ac:dyDescent="0.25"/>
    <row r="1284" ht="12" customHeight="1" x14ac:dyDescent="0.25"/>
    <row r="1285" ht="12" customHeight="1" x14ac:dyDescent="0.25"/>
    <row r="1286" ht="12" customHeight="1" x14ac:dyDescent="0.25"/>
    <row r="1287" ht="12" customHeight="1" x14ac:dyDescent="0.25"/>
    <row r="1288" ht="12" customHeight="1" x14ac:dyDescent="0.25"/>
    <row r="1289" ht="12" customHeight="1" x14ac:dyDescent="0.25"/>
    <row r="1290" ht="12" customHeight="1" x14ac:dyDescent="0.25"/>
    <row r="1291" ht="12" customHeight="1" x14ac:dyDescent="0.25"/>
    <row r="1292" ht="12" customHeight="1" x14ac:dyDescent="0.25"/>
    <row r="1293" ht="12" customHeight="1" x14ac:dyDescent="0.25"/>
    <row r="1294" ht="12" customHeight="1" x14ac:dyDescent="0.25"/>
    <row r="1295" ht="12" customHeight="1" x14ac:dyDescent="0.25"/>
    <row r="1296" ht="12" customHeight="1" x14ac:dyDescent="0.25"/>
    <row r="1297" ht="12" customHeight="1" x14ac:dyDescent="0.25"/>
    <row r="1298" ht="12" customHeight="1" x14ac:dyDescent="0.25"/>
    <row r="1299" ht="12" customHeight="1" x14ac:dyDescent="0.25"/>
    <row r="1300" ht="12" customHeight="1" x14ac:dyDescent="0.25"/>
    <row r="1301" ht="12" customHeight="1" x14ac:dyDescent="0.25"/>
    <row r="1302" ht="12" customHeight="1" x14ac:dyDescent="0.25"/>
    <row r="1303" ht="12" customHeight="1" x14ac:dyDescent="0.25"/>
    <row r="1304" ht="12" customHeight="1" x14ac:dyDescent="0.25"/>
    <row r="1305" ht="12" customHeight="1" x14ac:dyDescent="0.25"/>
    <row r="1306" ht="12" customHeight="1" x14ac:dyDescent="0.25"/>
    <row r="1307" ht="12" customHeight="1" x14ac:dyDescent="0.25"/>
    <row r="1308" ht="12" customHeight="1" x14ac:dyDescent="0.25"/>
    <row r="1309" ht="12" customHeight="1" x14ac:dyDescent="0.25"/>
    <row r="1310" ht="12" customHeight="1" x14ac:dyDescent="0.25"/>
    <row r="1311" ht="12" customHeight="1" x14ac:dyDescent="0.25"/>
    <row r="1312" ht="12" customHeight="1" x14ac:dyDescent="0.25"/>
    <row r="1313" ht="12" customHeight="1" x14ac:dyDescent="0.25"/>
    <row r="1314" ht="12" customHeight="1" x14ac:dyDescent="0.25"/>
    <row r="1315" ht="12" customHeight="1" x14ac:dyDescent="0.25"/>
    <row r="1316" ht="12" customHeight="1" x14ac:dyDescent="0.25"/>
    <row r="1317" ht="12" customHeight="1" x14ac:dyDescent="0.25"/>
    <row r="1318" ht="12" customHeight="1" x14ac:dyDescent="0.25"/>
    <row r="1319" ht="12" customHeight="1" x14ac:dyDescent="0.25"/>
    <row r="1320" ht="12" customHeight="1" x14ac:dyDescent="0.25"/>
    <row r="1321" ht="12" customHeight="1" x14ac:dyDescent="0.25"/>
    <row r="1322" ht="12" customHeight="1" x14ac:dyDescent="0.25"/>
    <row r="1323" ht="12" customHeight="1" x14ac:dyDescent="0.25"/>
    <row r="1324" ht="12" customHeight="1" x14ac:dyDescent="0.25"/>
    <row r="1325" ht="12" customHeight="1" x14ac:dyDescent="0.25"/>
    <row r="1326" ht="12" customHeight="1" x14ac:dyDescent="0.25"/>
    <row r="1327" ht="12" customHeight="1" x14ac:dyDescent="0.25"/>
    <row r="1328" ht="12" customHeight="1" x14ac:dyDescent="0.25"/>
    <row r="1329" ht="12" customHeight="1" x14ac:dyDescent="0.25"/>
    <row r="1330" ht="12" customHeight="1" x14ac:dyDescent="0.25"/>
    <row r="1331" ht="12" customHeight="1" x14ac:dyDescent="0.25"/>
    <row r="1332" ht="12" customHeight="1" x14ac:dyDescent="0.25"/>
    <row r="1333" ht="12" customHeight="1" x14ac:dyDescent="0.25"/>
    <row r="1334" ht="12" customHeight="1" x14ac:dyDescent="0.25"/>
    <row r="1335" ht="12" customHeight="1" x14ac:dyDescent="0.25"/>
    <row r="1336" ht="12" customHeight="1" x14ac:dyDescent="0.25"/>
    <row r="1337" ht="12" customHeight="1" x14ac:dyDescent="0.25"/>
    <row r="1338" ht="12" customHeight="1" x14ac:dyDescent="0.25"/>
    <row r="1339" ht="12" customHeight="1" x14ac:dyDescent="0.25"/>
    <row r="1340" ht="12" customHeight="1" x14ac:dyDescent="0.25"/>
    <row r="1341" ht="12" customHeight="1" x14ac:dyDescent="0.25"/>
    <row r="1342" ht="12" customHeight="1" x14ac:dyDescent="0.25"/>
    <row r="1343" ht="12" customHeight="1" x14ac:dyDescent="0.25"/>
    <row r="1344" ht="12" customHeight="1" x14ac:dyDescent="0.25"/>
    <row r="1345" ht="12" customHeight="1" x14ac:dyDescent="0.25"/>
    <row r="1346" ht="12" customHeight="1" x14ac:dyDescent="0.25"/>
    <row r="1347" ht="12" customHeight="1" x14ac:dyDescent="0.25"/>
    <row r="1348" ht="12" customHeight="1" x14ac:dyDescent="0.25"/>
    <row r="1349" ht="12" customHeight="1" x14ac:dyDescent="0.25"/>
    <row r="1350" ht="12" customHeight="1" x14ac:dyDescent="0.25"/>
    <row r="1351" ht="12" customHeight="1" x14ac:dyDescent="0.25"/>
    <row r="1352" ht="12" customHeight="1" x14ac:dyDescent="0.25"/>
    <row r="1353" ht="12" customHeight="1" x14ac:dyDescent="0.25"/>
    <row r="1354" ht="12" customHeight="1" x14ac:dyDescent="0.25"/>
    <row r="1355" ht="12" customHeight="1" x14ac:dyDescent="0.25"/>
    <row r="1356" ht="12" customHeight="1" x14ac:dyDescent="0.25"/>
    <row r="1357" ht="12" customHeight="1" x14ac:dyDescent="0.25"/>
    <row r="1358" ht="12" customHeight="1" x14ac:dyDescent="0.25"/>
    <row r="1359" ht="12" customHeight="1" x14ac:dyDescent="0.25"/>
    <row r="1360" ht="12" customHeight="1" x14ac:dyDescent="0.25"/>
    <row r="1361" ht="12" customHeight="1" x14ac:dyDescent="0.25"/>
    <row r="1362" ht="12" customHeight="1" x14ac:dyDescent="0.25"/>
    <row r="1363" ht="12" customHeight="1" x14ac:dyDescent="0.25"/>
    <row r="1364" ht="12" customHeight="1" x14ac:dyDescent="0.25"/>
    <row r="1365" ht="12" customHeight="1" x14ac:dyDescent="0.25"/>
    <row r="1366" ht="12" customHeight="1" x14ac:dyDescent="0.25"/>
    <row r="1367" ht="12" customHeight="1" x14ac:dyDescent="0.25"/>
    <row r="1368" ht="12" customHeight="1" x14ac:dyDescent="0.25"/>
    <row r="1369" ht="12" customHeight="1" x14ac:dyDescent="0.25"/>
    <row r="1370" ht="12" customHeight="1" x14ac:dyDescent="0.25"/>
    <row r="1371" ht="12" customHeight="1" x14ac:dyDescent="0.25"/>
    <row r="1372" ht="12" customHeight="1" x14ac:dyDescent="0.25"/>
    <row r="1373" ht="12" customHeight="1" x14ac:dyDescent="0.25"/>
    <row r="1374" ht="12" customHeight="1" x14ac:dyDescent="0.25"/>
    <row r="1375" ht="12" customHeight="1" x14ac:dyDescent="0.25"/>
    <row r="1376" ht="12" customHeight="1" x14ac:dyDescent="0.25"/>
    <row r="1377" ht="12" customHeight="1" x14ac:dyDescent="0.25"/>
    <row r="1378" ht="12" customHeight="1" x14ac:dyDescent="0.25"/>
  </sheetData>
  <mergeCells count="1">
    <mergeCell ref="BB1:BG1"/>
  </mergeCells>
  <phoneticPr fontId="6" type="noConversion"/>
  <conditionalFormatting sqref="A201:AY201 BA201:BB201 BC3:BN290 A202:BB290 A3:BB200">
    <cfRule type="expression" dxfId="220" priority="25">
      <formula>AND(ROW(A3)=CELL("строка"),$BA$1="Подсветка ВКЛ")</formula>
    </cfRule>
  </conditionalFormatting>
  <conditionalFormatting sqref="AZ201">
    <cfRule type="expression" dxfId="219" priority="1">
      <formula>AND(ROW(AZ201)=CELL("строка"),$BA$1="Подсветка ВКЛ")</formula>
    </cfRule>
  </conditionalFormatting>
  <dataValidations disablePrompts="1" count="2">
    <dataValidation type="list" allowBlank="1" showInputMessage="1" showErrorMessage="1" sqref="BA1" xr:uid="{D25B6229-7669-4DEA-8ABE-3DA928779A06}">
      <formula1>"Подсветка ВКЛ,Подсветка ВЫКЛ"</formula1>
    </dataValidation>
    <dataValidation type="textLength" operator="lessThanOrEqual" showInputMessage="1" showErrorMessage="1" errorTitle="Длина превышена" error="Это значение должно иметь длину 50 или меньше символов." promptTitle="Текст (обязательные)" prompt="Максимальная длина: 50 символов." sqref="BO3:BO290" xr:uid="{6950107B-23BA-42B4-B002-702FA5D87A84}">
      <formula1>50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E125-6437-4D12-91C5-4089C4CB588B}">
  <dimension ref="D1:Q37"/>
  <sheetViews>
    <sheetView topLeftCell="C1" workbookViewId="0">
      <selection activeCell="K9" sqref="K9"/>
    </sheetView>
  </sheetViews>
  <sheetFormatPr defaultColWidth="9.140625" defaultRowHeight="15" x14ac:dyDescent="0.25"/>
  <cols>
    <col min="1" max="3" width="9.140625" style="174"/>
    <col min="4" max="4" width="13.7109375" style="174" bestFit="1" customWidth="1"/>
    <col min="5" max="5" width="10.140625" style="174" bestFit="1" customWidth="1"/>
    <col min="6" max="6" width="12.42578125" style="174" bestFit="1" customWidth="1"/>
    <col min="7" max="7" width="10.28515625" style="174" bestFit="1" customWidth="1"/>
    <col min="8" max="8" width="7" style="174" bestFit="1" customWidth="1"/>
    <col min="9" max="9" width="13.140625" style="174" bestFit="1" customWidth="1"/>
    <col min="10" max="11" width="9.140625" style="174"/>
    <col min="12" max="12" width="12" style="174" bestFit="1" customWidth="1"/>
    <col min="13" max="13" width="9" style="174" bestFit="1" customWidth="1"/>
    <col min="14" max="14" width="8.5703125" style="174" bestFit="1" customWidth="1"/>
    <col min="15" max="15" width="6.7109375" style="174" bestFit="1" customWidth="1"/>
    <col min="16" max="17" width="11.85546875" style="174" bestFit="1" customWidth="1"/>
    <col min="18" max="16384" width="9.140625" style="174"/>
  </cols>
  <sheetData>
    <row r="1" spans="4:17" x14ac:dyDescent="0.25">
      <c r="D1" s="304" t="s">
        <v>727</v>
      </c>
      <c r="G1" s="174">
        <f>COUNT(Таблица4[№ кв])</f>
        <v>35</v>
      </c>
      <c r="H1" s="174">
        <f>SUM(Таблица4[S])</f>
        <v>1674.7000000000005</v>
      </c>
    </row>
    <row r="2" spans="4:17" x14ac:dyDescent="0.25">
      <c r="D2" s="174" t="s">
        <v>724</v>
      </c>
      <c r="E2" s="174" t="s">
        <v>13</v>
      </c>
      <c r="F2" s="174" t="s">
        <v>725</v>
      </c>
      <c r="G2" s="174" t="s">
        <v>453</v>
      </c>
      <c r="H2" s="174" t="s">
        <v>454</v>
      </c>
      <c r="I2" s="174" t="s">
        <v>723</v>
      </c>
      <c r="L2" s="302" t="s">
        <v>728</v>
      </c>
      <c r="M2" s="302" t="s">
        <v>728</v>
      </c>
      <c r="N2" s="21"/>
      <c r="O2" s="21"/>
      <c r="P2" s="21"/>
      <c r="Q2"/>
    </row>
    <row r="3" spans="4:17" x14ac:dyDescent="0.25">
      <c r="D3" s="174">
        <v>1</v>
      </c>
      <c r="E3" s="174">
        <v>3</v>
      </c>
      <c r="F3" s="174">
        <v>2</v>
      </c>
      <c r="G3" s="174">
        <v>10</v>
      </c>
      <c r="H3" s="174">
        <v>54.78</v>
      </c>
      <c r="I3" s="174" t="s">
        <v>720</v>
      </c>
      <c r="L3" s="302" t="s">
        <v>729</v>
      </c>
      <c r="M3" s="21" t="s">
        <v>722</v>
      </c>
      <c r="N3" s="21" t="s">
        <v>720</v>
      </c>
      <c r="O3" s="21" t="s">
        <v>721</v>
      </c>
      <c r="P3" s="21" t="s">
        <v>726</v>
      </c>
      <c r="Q3"/>
    </row>
    <row r="4" spans="4:17" x14ac:dyDescent="0.25">
      <c r="D4" s="174">
        <v>1</v>
      </c>
      <c r="E4" s="174">
        <v>5</v>
      </c>
      <c r="F4" s="174">
        <v>2</v>
      </c>
      <c r="G4" s="174">
        <v>20</v>
      </c>
      <c r="H4" s="174">
        <v>60.11</v>
      </c>
      <c r="I4" s="174" t="s">
        <v>721</v>
      </c>
      <c r="L4" s="21">
        <v>0</v>
      </c>
      <c r="M4" s="303">
        <v>3</v>
      </c>
      <c r="N4" s="303">
        <v>2</v>
      </c>
      <c r="O4" s="303">
        <v>3</v>
      </c>
      <c r="P4" s="303">
        <v>8</v>
      </c>
      <c r="Q4"/>
    </row>
    <row r="5" spans="4:17" x14ac:dyDescent="0.25">
      <c r="D5" s="174">
        <v>1</v>
      </c>
      <c r="E5" s="174">
        <v>6</v>
      </c>
      <c r="F5" s="174">
        <v>0</v>
      </c>
      <c r="G5" s="174">
        <v>25</v>
      </c>
      <c r="H5" s="174">
        <v>29.69</v>
      </c>
      <c r="I5" s="174" t="s">
        <v>721</v>
      </c>
      <c r="L5" s="21">
        <v>1</v>
      </c>
      <c r="M5" s="303">
        <v>2</v>
      </c>
      <c r="N5" s="303">
        <v>3</v>
      </c>
      <c r="O5" s="303">
        <v>3</v>
      </c>
      <c r="P5" s="303">
        <v>8</v>
      </c>
      <c r="Q5"/>
    </row>
    <row r="6" spans="4:17" x14ac:dyDescent="0.25">
      <c r="D6" s="174">
        <v>1</v>
      </c>
      <c r="E6" s="174">
        <v>7</v>
      </c>
      <c r="F6" s="174">
        <v>2</v>
      </c>
      <c r="G6" s="174">
        <v>33</v>
      </c>
      <c r="H6" s="174">
        <v>54.85</v>
      </c>
      <c r="I6" s="174" t="s">
        <v>722</v>
      </c>
      <c r="L6" s="21">
        <v>2</v>
      </c>
      <c r="M6" s="303">
        <v>7</v>
      </c>
      <c r="N6" s="303">
        <v>6</v>
      </c>
      <c r="O6" s="303">
        <v>6</v>
      </c>
      <c r="P6" s="303">
        <v>19</v>
      </c>
    </row>
    <row r="7" spans="4:17" x14ac:dyDescent="0.25">
      <c r="D7" s="174">
        <v>1</v>
      </c>
      <c r="E7" s="174">
        <v>8</v>
      </c>
      <c r="F7" s="174">
        <v>1</v>
      </c>
      <c r="G7" s="174">
        <v>42</v>
      </c>
      <c r="H7" s="174">
        <v>45.26</v>
      </c>
      <c r="I7" s="174" t="s">
        <v>720</v>
      </c>
      <c r="L7" s="21" t="s">
        <v>726</v>
      </c>
      <c r="M7" s="303">
        <v>12</v>
      </c>
      <c r="N7" s="303">
        <v>11</v>
      </c>
      <c r="O7" s="303">
        <v>12</v>
      </c>
      <c r="P7" s="303">
        <v>35</v>
      </c>
    </row>
    <row r="8" spans="4:17" x14ac:dyDescent="0.25">
      <c r="D8" s="174">
        <v>1</v>
      </c>
      <c r="E8" s="174">
        <v>11</v>
      </c>
      <c r="F8" s="174">
        <v>2</v>
      </c>
      <c r="G8" s="174">
        <v>56</v>
      </c>
      <c r="H8" s="174">
        <v>60.02</v>
      </c>
      <c r="I8" s="174" t="s">
        <v>720</v>
      </c>
      <c r="L8" s="21"/>
      <c r="M8" s="21"/>
      <c r="N8" s="21"/>
    </row>
    <row r="9" spans="4:17" x14ac:dyDescent="0.25">
      <c r="D9" s="174">
        <v>1</v>
      </c>
      <c r="E9" s="174">
        <v>13</v>
      </c>
      <c r="F9" s="174">
        <v>2</v>
      </c>
      <c r="G9" s="174">
        <v>70</v>
      </c>
      <c r="H9" s="174">
        <v>54.69</v>
      </c>
      <c r="I9" s="174" t="s">
        <v>722</v>
      </c>
      <c r="L9" s="21"/>
      <c r="M9" s="21"/>
      <c r="N9" s="21"/>
    </row>
    <row r="10" spans="4:17" x14ac:dyDescent="0.25">
      <c r="D10" s="174">
        <v>1</v>
      </c>
      <c r="E10" s="174">
        <v>15</v>
      </c>
      <c r="F10" s="174">
        <v>2</v>
      </c>
      <c r="G10" s="174">
        <v>81</v>
      </c>
      <c r="H10" s="174">
        <v>54.47</v>
      </c>
      <c r="I10" s="174" t="s">
        <v>721</v>
      </c>
      <c r="L10" s="21"/>
      <c r="M10" s="21"/>
      <c r="N10" s="21"/>
    </row>
    <row r="11" spans="4:17" x14ac:dyDescent="0.25">
      <c r="D11" s="174">
        <v>1</v>
      </c>
      <c r="E11" s="174">
        <v>16</v>
      </c>
      <c r="F11" s="174">
        <v>0</v>
      </c>
      <c r="G11" s="174">
        <v>85</v>
      </c>
      <c r="H11" s="174">
        <v>29.4</v>
      </c>
      <c r="I11" s="174" t="s">
        <v>722</v>
      </c>
      <c r="L11" s="21"/>
      <c r="M11" s="21"/>
      <c r="N11" s="21"/>
    </row>
    <row r="12" spans="4:17" x14ac:dyDescent="0.25">
      <c r="D12" s="174">
        <v>1</v>
      </c>
      <c r="E12" s="174">
        <v>17</v>
      </c>
      <c r="F12" s="174">
        <v>2</v>
      </c>
      <c r="G12" s="174">
        <v>92</v>
      </c>
      <c r="H12" s="174">
        <v>59.73</v>
      </c>
      <c r="I12" s="174" t="s">
        <v>722</v>
      </c>
      <c r="L12" s="21"/>
      <c r="M12" s="21"/>
      <c r="N12" s="21"/>
    </row>
    <row r="13" spans="4:17" x14ac:dyDescent="0.25">
      <c r="D13" s="174">
        <v>1</v>
      </c>
      <c r="E13" s="174">
        <v>17</v>
      </c>
      <c r="F13" s="174">
        <v>1</v>
      </c>
      <c r="G13" s="174">
        <v>96</v>
      </c>
      <c r="H13" s="174">
        <v>44.9</v>
      </c>
      <c r="I13" s="174" t="s">
        <v>721</v>
      </c>
      <c r="L13" s="21"/>
      <c r="M13" s="21"/>
      <c r="N13" s="21"/>
    </row>
    <row r="14" spans="4:17" x14ac:dyDescent="0.25">
      <c r="D14" s="174">
        <v>1</v>
      </c>
      <c r="E14" s="174">
        <v>18</v>
      </c>
      <c r="F14" s="174">
        <v>2</v>
      </c>
      <c r="G14" s="174">
        <v>100</v>
      </c>
      <c r="H14" s="174">
        <v>54.4</v>
      </c>
      <c r="I14" s="174" t="s">
        <v>721</v>
      </c>
      <c r="L14" s="21"/>
      <c r="M14" s="21"/>
      <c r="N14" s="21"/>
    </row>
    <row r="15" spans="4:17" x14ac:dyDescent="0.25">
      <c r="D15" s="174">
        <v>1</v>
      </c>
      <c r="E15" s="174">
        <v>19</v>
      </c>
      <c r="F15" s="174">
        <v>2</v>
      </c>
      <c r="G15" s="174">
        <v>105</v>
      </c>
      <c r="H15" s="174">
        <v>54.47</v>
      </c>
      <c r="I15" s="174" t="s">
        <v>720</v>
      </c>
      <c r="L15" s="21"/>
      <c r="M15" s="21"/>
      <c r="N15" s="21"/>
    </row>
    <row r="16" spans="4:17" x14ac:dyDescent="0.25">
      <c r="D16" s="174">
        <v>2</v>
      </c>
      <c r="E16" s="174">
        <v>3</v>
      </c>
      <c r="F16" s="174">
        <v>2</v>
      </c>
      <c r="G16" s="174">
        <v>120</v>
      </c>
      <c r="H16" s="174">
        <v>60.94</v>
      </c>
      <c r="I16" s="174" t="s">
        <v>720</v>
      </c>
      <c r="L16" s="21"/>
      <c r="M16" s="21"/>
      <c r="N16" s="21"/>
    </row>
    <row r="17" spans="4:14" x14ac:dyDescent="0.25">
      <c r="D17" s="174">
        <v>2</v>
      </c>
      <c r="E17" s="174">
        <v>5</v>
      </c>
      <c r="F17" s="174">
        <v>2</v>
      </c>
      <c r="G17" s="174">
        <v>127</v>
      </c>
      <c r="H17" s="174">
        <v>65.72</v>
      </c>
      <c r="I17" s="174" t="s">
        <v>722</v>
      </c>
      <c r="L17" s="21"/>
      <c r="M17" s="21"/>
      <c r="N17" s="21"/>
    </row>
    <row r="18" spans="4:14" x14ac:dyDescent="0.25">
      <c r="D18" s="174">
        <v>2</v>
      </c>
      <c r="E18" s="174">
        <v>5</v>
      </c>
      <c r="F18" s="174">
        <v>0</v>
      </c>
      <c r="G18" s="174">
        <v>129</v>
      </c>
      <c r="H18" s="174">
        <v>29.5</v>
      </c>
      <c r="I18" s="174" t="s">
        <v>720</v>
      </c>
      <c r="L18" s="21"/>
      <c r="M18" s="21"/>
      <c r="N18" s="21"/>
    </row>
    <row r="19" spans="4:14" x14ac:dyDescent="0.25">
      <c r="D19" s="174">
        <v>2</v>
      </c>
      <c r="E19" s="174">
        <v>6</v>
      </c>
      <c r="F19" s="174">
        <v>1</v>
      </c>
      <c r="G19" s="174">
        <v>134</v>
      </c>
      <c r="H19" s="174">
        <v>36.630000000000003</v>
      </c>
      <c r="I19" s="174" t="s">
        <v>721</v>
      </c>
      <c r="L19" s="21"/>
      <c r="M19" s="21"/>
      <c r="N19" s="21"/>
    </row>
    <row r="20" spans="4:14" x14ac:dyDescent="0.25">
      <c r="D20" s="174">
        <v>2</v>
      </c>
      <c r="E20" s="174">
        <v>7</v>
      </c>
      <c r="F20" s="174">
        <v>2</v>
      </c>
      <c r="G20" s="174">
        <v>143</v>
      </c>
      <c r="H20" s="174">
        <v>63.44</v>
      </c>
      <c r="I20" s="174" t="s">
        <v>722</v>
      </c>
    </row>
    <row r="21" spans="4:14" x14ac:dyDescent="0.25">
      <c r="D21" s="174">
        <v>2</v>
      </c>
      <c r="E21" s="174">
        <v>9</v>
      </c>
      <c r="F21" s="174">
        <v>0</v>
      </c>
      <c r="G21" s="174">
        <v>154</v>
      </c>
      <c r="H21" s="174">
        <v>27.99</v>
      </c>
      <c r="I21" s="174" t="s">
        <v>721</v>
      </c>
    </row>
    <row r="22" spans="4:14" x14ac:dyDescent="0.25">
      <c r="D22" s="174">
        <v>2</v>
      </c>
      <c r="E22" s="174">
        <v>10</v>
      </c>
      <c r="F22" s="174">
        <v>0</v>
      </c>
      <c r="G22" s="174">
        <v>160</v>
      </c>
      <c r="H22" s="174">
        <v>27.92</v>
      </c>
      <c r="I22" s="174" t="s">
        <v>722</v>
      </c>
    </row>
    <row r="23" spans="4:14" x14ac:dyDescent="0.25">
      <c r="D23" s="174">
        <v>2</v>
      </c>
      <c r="E23" s="174">
        <v>11</v>
      </c>
      <c r="F23" s="174">
        <v>1</v>
      </c>
      <c r="G23" s="174">
        <v>164</v>
      </c>
      <c r="H23" s="174">
        <v>36.56</v>
      </c>
      <c r="I23" s="174" t="s">
        <v>720</v>
      </c>
    </row>
    <row r="24" spans="4:14" x14ac:dyDescent="0.25">
      <c r="D24" s="174">
        <v>2</v>
      </c>
      <c r="E24" s="174">
        <v>11</v>
      </c>
      <c r="F24" s="174">
        <v>2</v>
      </c>
      <c r="G24" s="174">
        <v>167</v>
      </c>
      <c r="H24" s="174">
        <v>63.37</v>
      </c>
      <c r="I24" s="174" t="s">
        <v>720</v>
      </c>
    </row>
    <row r="25" spans="4:14" x14ac:dyDescent="0.25">
      <c r="D25" s="174">
        <v>2</v>
      </c>
      <c r="E25" s="174">
        <v>12</v>
      </c>
      <c r="F25" s="174">
        <v>2</v>
      </c>
      <c r="G25" s="174">
        <v>169</v>
      </c>
      <c r="H25" s="174">
        <v>65.650000000000006</v>
      </c>
      <c r="I25" s="174" t="s">
        <v>721</v>
      </c>
    </row>
    <row r="26" spans="4:14" x14ac:dyDescent="0.25">
      <c r="D26" s="174">
        <v>2</v>
      </c>
      <c r="E26" s="174">
        <v>12</v>
      </c>
      <c r="F26" s="174">
        <v>0</v>
      </c>
      <c r="G26" s="174">
        <v>171</v>
      </c>
      <c r="H26" s="174">
        <v>29.43</v>
      </c>
      <c r="I26" s="174" t="s">
        <v>722</v>
      </c>
    </row>
    <row r="27" spans="4:14" x14ac:dyDescent="0.25">
      <c r="D27" s="174">
        <v>2</v>
      </c>
      <c r="E27" s="174">
        <v>13</v>
      </c>
      <c r="F27" s="174">
        <v>2</v>
      </c>
      <c r="G27" s="174">
        <v>180</v>
      </c>
      <c r="H27" s="174">
        <v>60.87</v>
      </c>
      <c r="I27" s="174" t="s">
        <v>721</v>
      </c>
    </row>
    <row r="28" spans="4:14" x14ac:dyDescent="0.25">
      <c r="D28" s="174">
        <v>3</v>
      </c>
      <c r="E28" s="174">
        <v>4</v>
      </c>
      <c r="F28" s="174">
        <v>1</v>
      </c>
      <c r="G28" s="174">
        <v>196</v>
      </c>
      <c r="H28" s="174">
        <v>36.39</v>
      </c>
      <c r="I28" s="174" t="s">
        <v>720</v>
      </c>
    </row>
    <row r="29" spans="4:14" x14ac:dyDescent="0.25">
      <c r="D29" s="174">
        <v>3</v>
      </c>
      <c r="E29" s="174">
        <v>6</v>
      </c>
      <c r="F29" s="174">
        <v>1</v>
      </c>
      <c r="G29" s="174">
        <v>208</v>
      </c>
      <c r="H29" s="174">
        <v>36.39</v>
      </c>
      <c r="I29" s="174" t="s">
        <v>722</v>
      </c>
    </row>
    <row r="30" spans="4:14" x14ac:dyDescent="0.25">
      <c r="D30" s="174">
        <v>3</v>
      </c>
      <c r="E30" s="174">
        <v>7</v>
      </c>
      <c r="F30" s="174">
        <v>0</v>
      </c>
      <c r="G30" s="174">
        <v>216</v>
      </c>
      <c r="H30" s="174">
        <v>29.73</v>
      </c>
      <c r="I30" s="174" t="s">
        <v>721</v>
      </c>
    </row>
    <row r="31" spans="4:14" x14ac:dyDescent="0.25">
      <c r="D31" s="174">
        <v>3</v>
      </c>
      <c r="E31" s="174">
        <v>11</v>
      </c>
      <c r="F31" s="174">
        <v>2</v>
      </c>
      <c r="G31" s="174">
        <v>239</v>
      </c>
      <c r="H31" s="174">
        <v>59.17</v>
      </c>
      <c r="I31" s="174" t="s">
        <v>720</v>
      </c>
    </row>
    <row r="32" spans="4:14" x14ac:dyDescent="0.25">
      <c r="D32" s="174">
        <v>3</v>
      </c>
      <c r="E32" s="174">
        <v>12</v>
      </c>
      <c r="F32" s="174">
        <v>1</v>
      </c>
      <c r="G32" s="174">
        <v>241</v>
      </c>
      <c r="H32" s="174">
        <v>44.16</v>
      </c>
      <c r="I32" s="174" t="s">
        <v>721</v>
      </c>
    </row>
    <row r="33" spans="4:9" x14ac:dyDescent="0.25">
      <c r="D33" s="174">
        <v>3</v>
      </c>
      <c r="E33" s="174">
        <v>13</v>
      </c>
      <c r="F33" s="174">
        <v>2</v>
      </c>
      <c r="G33" s="174">
        <v>250</v>
      </c>
      <c r="H33" s="174">
        <v>56</v>
      </c>
      <c r="I33" s="174" t="s">
        <v>721</v>
      </c>
    </row>
    <row r="34" spans="4:9" x14ac:dyDescent="0.25">
      <c r="D34" s="174">
        <v>3</v>
      </c>
      <c r="E34" s="174">
        <v>15</v>
      </c>
      <c r="F34" s="174">
        <v>2</v>
      </c>
      <c r="G34" s="174">
        <v>263</v>
      </c>
      <c r="H34" s="174">
        <v>59.03</v>
      </c>
      <c r="I34" s="174" t="s">
        <v>722</v>
      </c>
    </row>
    <row r="35" spans="4:9" x14ac:dyDescent="0.25">
      <c r="D35" s="174">
        <v>3</v>
      </c>
      <c r="E35" s="174">
        <v>17</v>
      </c>
      <c r="F35" s="174">
        <v>0</v>
      </c>
      <c r="G35" s="174">
        <v>276</v>
      </c>
      <c r="H35" s="174">
        <v>29.43</v>
      </c>
      <c r="I35" s="174" t="s">
        <v>720</v>
      </c>
    </row>
    <row r="36" spans="4:9" x14ac:dyDescent="0.25">
      <c r="D36" s="174">
        <v>3</v>
      </c>
      <c r="E36" s="174">
        <v>18</v>
      </c>
      <c r="F36" s="174">
        <v>1</v>
      </c>
      <c r="G36" s="174">
        <v>277</v>
      </c>
      <c r="H36" s="174">
        <v>43.88</v>
      </c>
      <c r="I36" s="174" t="s">
        <v>722</v>
      </c>
    </row>
    <row r="37" spans="4:9" x14ac:dyDescent="0.25">
      <c r="D37" s="174">
        <v>3</v>
      </c>
      <c r="E37" s="174">
        <v>19</v>
      </c>
      <c r="F37" s="174">
        <v>2</v>
      </c>
      <c r="G37" s="174">
        <v>286</v>
      </c>
      <c r="H37" s="174">
        <v>55.73</v>
      </c>
      <c r="I37" s="174" t="s">
        <v>722</v>
      </c>
    </row>
  </sheetData>
  <phoneticPr fontId="6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AV512"/>
  <sheetViews>
    <sheetView topLeftCell="F1" zoomScale="70" zoomScaleNormal="70" workbookViewId="0">
      <selection activeCell="O298" sqref="O298"/>
    </sheetView>
  </sheetViews>
  <sheetFormatPr defaultColWidth="9.140625" defaultRowHeight="15" x14ac:dyDescent="0.25"/>
  <cols>
    <col min="1" max="1" width="6.7109375" customWidth="1"/>
    <col min="2" max="2" width="5.7109375" customWidth="1"/>
    <col min="3" max="3" width="5.5703125" customWidth="1"/>
    <col min="4" max="5" width="5.7109375" customWidth="1"/>
    <col min="6" max="6" width="10.42578125" customWidth="1"/>
    <col min="7" max="7" width="5.7109375" customWidth="1"/>
    <col min="8" max="8" width="9.7109375" customWidth="1"/>
    <col min="9" max="9" width="13.28515625" customWidth="1"/>
    <col min="10" max="10" width="12.5703125" customWidth="1"/>
    <col min="11" max="11" width="15.5703125" customWidth="1"/>
    <col min="12" max="12" width="12.7109375" customWidth="1"/>
    <col min="13" max="13" width="13.140625" customWidth="1"/>
    <col min="14" max="14" width="14.140625" customWidth="1"/>
    <col min="15" max="15" width="13.28515625" customWidth="1"/>
    <col min="16" max="16" width="16.7109375" customWidth="1"/>
    <col min="17" max="17" width="17.5703125" customWidth="1"/>
    <col min="18" max="18" width="16.140625" customWidth="1"/>
    <col min="19" max="19" width="11.5703125" customWidth="1"/>
    <col min="20" max="20" width="23.5703125" customWidth="1"/>
    <col min="21" max="21" width="13.42578125" customWidth="1"/>
    <col min="22" max="22" width="13.5703125" customWidth="1"/>
    <col min="23" max="23" width="17.5703125" customWidth="1"/>
    <col min="24" max="31" width="10.7109375" customWidth="1"/>
    <col min="32" max="32" width="14.140625" customWidth="1"/>
    <col min="33" max="41" width="10.7109375" customWidth="1"/>
    <col min="42" max="42" width="16.28515625" customWidth="1"/>
    <col min="43" max="43" width="16.140625" customWidth="1"/>
    <col min="44" max="44" width="21.7109375" customWidth="1"/>
    <col min="45" max="45" width="12.140625" customWidth="1"/>
    <col min="46" max="46" width="11.7109375" bestFit="1" customWidth="1"/>
  </cols>
  <sheetData>
    <row r="1" spans="1:48" ht="15.75" thickBot="1" x14ac:dyDescent="0.3">
      <c r="E1" s="32">
        <f>SUBTOTAL(3,наценка7[Тип кв])</f>
        <v>8</v>
      </c>
      <c r="F1" s="31">
        <f>SUBTOTAL(9,наценка7[Кухня])</f>
        <v>91.36</v>
      </c>
      <c r="G1" s="31">
        <f>SUBTOTAL(9,наценка7[Ванная])</f>
        <v>31.199999999999996</v>
      </c>
      <c r="H1" s="326" t="s">
        <v>114</v>
      </c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8"/>
      <c r="T1" s="31">
        <f>SUBTOTAL(9,наценка7[Расчетная проектная площадь])</f>
        <v>625.27999999999986</v>
      </c>
      <c r="U1" s="30">
        <f>коэффициенты!AA1</f>
        <v>89000</v>
      </c>
      <c r="X1" s="329" t="s">
        <v>115</v>
      </c>
      <c r="Y1" s="330"/>
      <c r="Z1" s="330"/>
      <c r="AA1" s="330"/>
      <c r="AB1" s="330"/>
      <c r="AC1" s="330"/>
      <c r="AD1" s="330"/>
      <c r="AE1" s="330"/>
      <c r="AF1" s="330"/>
      <c r="AG1" s="330"/>
      <c r="AH1" s="330"/>
      <c r="AI1" s="330"/>
      <c r="AJ1" s="330"/>
      <c r="AK1" s="330"/>
      <c r="AL1" s="330"/>
      <c r="AM1" s="330"/>
      <c r="AN1" s="330"/>
      <c r="AO1" s="331"/>
      <c r="AQ1" s="26">
        <f>AR1/T1</f>
        <v>111945.41625000001</v>
      </c>
      <c r="AR1" s="26">
        <f>SUBTOTAL(9,наценка7[Стоимость ОН без отделки])</f>
        <v>69997229.872799993</v>
      </c>
    </row>
    <row r="2" spans="1:48" s="105" customFormat="1" ht="29.25" customHeight="1" x14ac:dyDescent="0.25">
      <c r="A2" s="22" t="s">
        <v>2</v>
      </c>
      <c r="B2" s="8" t="s">
        <v>14</v>
      </c>
      <c r="C2" s="8" t="s">
        <v>13</v>
      </c>
      <c r="D2" s="23" t="s">
        <v>28</v>
      </c>
      <c r="E2" s="8" t="s">
        <v>15</v>
      </c>
      <c r="F2" s="4" t="s">
        <v>46</v>
      </c>
      <c r="G2" s="4" t="s">
        <v>47</v>
      </c>
      <c r="H2" s="4" t="s">
        <v>82</v>
      </c>
      <c r="I2" s="4" t="s">
        <v>134</v>
      </c>
      <c r="J2" s="4" t="s">
        <v>86</v>
      </c>
      <c r="K2" s="4" t="s">
        <v>32</v>
      </c>
      <c r="L2" s="4" t="s">
        <v>80</v>
      </c>
      <c r="M2" s="4" t="s">
        <v>48</v>
      </c>
      <c r="N2" s="4" t="s">
        <v>95</v>
      </c>
      <c r="O2" s="4" t="s">
        <v>90</v>
      </c>
      <c r="P2" s="4" t="s">
        <v>40</v>
      </c>
      <c r="Q2" s="278" t="s">
        <v>100</v>
      </c>
      <c r="R2" s="279" t="s">
        <v>120</v>
      </c>
      <c r="S2" s="4" t="s">
        <v>91</v>
      </c>
      <c r="T2" s="8" t="s">
        <v>63</v>
      </c>
      <c r="U2" s="24" t="s">
        <v>29</v>
      </c>
      <c r="V2" s="56" t="s">
        <v>42</v>
      </c>
      <c r="W2" s="25" t="s">
        <v>92</v>
      </c>
      <c r="X2" s="106" t="s">
        <v>23</v>
      </c>
      <c r="Y2" s="106" t="s">
        <v>94</v>
      </c>
      <c r="Z2" s="107" t="s">
        <v>24</v>
      </c>
      <c r="AA2" s="107" t="s">
        <v>74</v>
      </c>
      <c r="AB2" s="107" t="s">
        <v>76</v>
      </c>
      <c r="AC2" s="107" t="s">
        <v>41</v>
      </c>
      <c r="AD2" s="107" t="s">
        <v>99</v>
      </c>
      <c r="AE2" s="107" t="s">
        <v>26</v>
      </c>
      <c r="AF2" s="107" t="s">
        <v>39</v>
      </c>
      <c r="AG2" s="107" t="s">
        <v>33</v>
      </c>
      <c r="AH2" s="107" t="s">
        <v>122</v>
      </c>
      <c r="AI2" s="107" t="s">
        <v>123</v>
      </c>
      <c r="AJ2" s="107" t="s">
        <v>27</v>
      </c>
      <c r="AK2" s="107" t="s">
        <v>102</v>
      </c>
      <c r="AL2" s="214" t="s">
        <v>111</v>
      </c>
      <c r="AM2" s="214" t="s">
        <v>121</v>
      </c>
      <c r="AN2" s="214" t="s">
        <v>96</v>
      </c>
      <c r="AO2" s="214" t="s">
        <v>72</v>
      </c>
      <c r="AP2" s="58" t="s">
        <v>43</v>
      </c>
      <c r="AQ2" s="50" t="s">
        <v>30</v>
      </c>
      <c r="AR2" s="49" t="s">
        <v>31</v>
      </c>
      <c r="AS2" s="33" t="s">
        <v>0</v>
      </c>
      <c r="AT2" s="282" t="s">
        <v>429</v>
      </c>
      <c r="AU2" s="105" t="s">
        <v>431</v>
      </c>
      <c r="AV2" s="105" t="s">
        <v>430</v>
      </c>
    </row>
    <row r="3" spans="1:48" s="68" customFormat="1" hidden="1" x14ac:dyDescent="0.25">
      <c r="A3" s="65">
        <v>1</v>
      </c>
      <c r="B3" s="2">
        <f>_xlfn.XLOOKUP(наценка7[[#This Row],[№]],Д402[№],Д402[Секция],"-",0)</f>
        <v>1</v>
      </c>
      <c r="C3" s="2">
        <f>_xlfn.XLOOKUP(наценка7[[#This Row],[№]],Д402[№],Д402[Этаж],"-",0)</f>
        <v>2</v>
      </c>
      <c r="D3" s="2">
        <f>_xlfn.XLOOKUP(наценка7[[#This Row],[№]],Д402[№],Д402[№ на этаже],"-",0)</f>
        <v>1</v>
      </c>
      <c r="E3" s="2">
        <f>_xlfn.XLOOKUP(наценка7[[#This Row],[№]],Д402[№],Д402[Тип кв],"-",0)</f>
        <v>0</v>
      </c>
      <c r="F3" s="51">
        <f>_xlfn.XLOOKUP(наценка7[[#This Row],[№]],Д402[№],Д402[Кухня],"-",0)</f>
        <v>6.15</v>
      </c>
      <c r="G3" s="51">
        <f>_xlfn.XLOOKUP(наценка7[[#This Row],[№]],Д402[№],Д402[Ванная],"-",0)</f>
        <v>5.0199999999999996</v>
      </c>
      <c r="H3" s="51" t="s">
        <v>84</v>
      </c>
      <c r="I3" s="51"/>
      <c r="J3" s="51"/>
      <c r="K3" s="51" t="s">
        <v>101</v>
      </c>
      <c r="L3" s="51" t="s">
        <v>717</v>
      </c>
      <c r="M3" s="51" t="s">
        <v>83</v>
      </c>
      <c r="N3" s="51"/>
      <c r="O3" s="51" t="s">
        <v>119</v>
      </c>
      <c r="P3" s="51"/>
      <c r="Q3" s="129"/>
      <c r="R3" s="51"/>
      <c r="S3" s="51" t="s">
        <v>101</v>
      </c>
      <c r="T3" s="51">
        <f>_xlfn.XLOOKUP(наценка7[[#This Row],[№]],Д402[№],Д402[Расчетная проектная площадь],"-",0)</f>
        <v>29.69</v>
      </c>
      <c r="U3" s="17">
        <f t="shared" ref="U3:U8" si="0">$U$1</f>
        <v>89000</v>
      </c>
      <c r="V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3" s="67">
        <f>наценка7[[#This Row],[Цена м2 базовая]]*наценка7[[#This Row],[Базовой K]]</f>
        <v>139730</v>
      </c>
      <c r="X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3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3" s="55" t="str">
        <f>IF(наценка7[[#This Row],[Потолок ]]="ДА",коэффициенты!$C$13,"")</f>
        <v/>
      </c>
      <c r="AG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" s="55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" s="55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3" s="52">
        <f>SUM(наценка7[[#This Row],[еврокухня]:[Лифт]])*наценка7[[#This Row],[Цена м2 с БK]]+наценка7[[#This Row],[Цена м2 с БK]]</f>
        <v>139730</v>
      </c>
      <c r="AQ3" s="51">
        <f>VLOOKUP(наценка7[[#This Row],[№]],Д402[],COLUMN(Д402[[#This Row],[утв цена м2]]),0)</f>
        <v>140962.5</v>
      </c>
      <c r="AR3" s="3">
        <f>наценка7[[#This Row],[утв цена м2]]*наценка7[[#This Row],[Расчетная проектная площадь]]</f>
        <v>4185176.625</v>
      </c>
      <c r="AS3" s="27" t="str">
        <f>VLOOKUP(наценка7[[#This Row],[№]],Д402[],COLUMN('Реестр ОН'!$BA$1),0)</f>
        <v>Стр. Резерв</v>
      </c>
      <c r="AT3" s="280">
        <f>ROUND(наценка7[[#This Row],[Цена м2 с учетом всех K]]*наценка7[[#This Row],[Расчетная проектная площадь]],0)</f>
        <v>4148584</v>
      </c>
      <c r="AU3" s="68">
        <v>4148584</v>
      </c>
      <c r="AV3" s="68" t="b">
        <f>наценка7[[#This Row],[Аллио]]=наценка7[[#This Row],[Первичка тест]]</f>
        <v>1</v>
      </c>
    </row>
    <row r="4" spans="1:48" s="68" customFormat="1" hidden="1" x14ac:dyDescent="0.25">
      <c r="A4" s="65">
        <v>2</v>
      </c>
      <c r="B4" s="2">
        <f>_xlfn.XLOOKUP(наценка7[[#This Row],[№]],Д402[№],Д402[Секция],"-",0)</f>
        <v>1</v>
      </c>
      <c r="C4" s="2">
        <f>_xlfn.XLOOKUP(наценка7[[#This Row],[№]],Д402[№],Д402[Этаж],"-",0)</f>
        <v>2</v>
      </c>
      <c r="D4" s="2">
        <f>_xlfn.XLOOKUP(наценка7[[#This Row],[№]],Д402[№],Д402[№ на этаже],"-",0)</f>
        <v>2</v>
      </c>
      <c r="E4" s="2">
        <f>_xlfn.XLOOKUP(наценка7[[#This Row],[№]],Д402[№],Д402[Тип кв],"-",0)</f>
        <v>2</v>
      </c>
      <c r="F4" s="51">
        <f>_xlfn.XLOOKUP(наценка7[[#This Row],[№]],Д402[№],Д402[Кухня],"-",0)</f>
        <v>17.7</v>
      </c>
      <c r="G4" s="51">
        <f>_xlfn.XLOOKUP(наценка7[[#This Row],[№]],Д402[№],Д402[Ванная],"-",0)</f>
        <v>4.25</v>
      </c>
      <c r="H4" s="51" t="s">
        <v>85</v>
      </c>
      <c r="I4" s="51"/>
      <c r="J4" s="51" t="s">
        <v>101</v>
      </c>
      <c r="K4" s="51"/>
      <c r="L4" s="51"/>
      <c r="M4" s="51" t="s">
        <v>83</v>
      </c>
      <c r="N4" s="51"/>
      <c r="O4" s="51" t="s">
        <v>101</v>
      </c>
      <c r="P4" s="51"/>
      <c r="Q4" s="129"/>
      <c r="R4" s="51" t="s">
        <v>101</v>
      </c>
      <c r="S4" s="51"/>
      <c r="T4" s="51">
        <f>_xlfn.XLOOKUP(наценка7[[#This Row],[№]],Д402[№],Д402[Расчетная проектная площадь],"-",0)</f>
        <v>60.11</v>
      </c>
      <c r="U4" s="17">
        <f t="shared" si="0"/>
        <v>89000</v>
      </c>
      <c r="V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" s="67">
        <f>наценка7[[#This Row],[Цена м2 базовая]]*наценка7[[#This Row],[Базовой K]]</f>
        <v>113030</v>
      </c>
      <c r="X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4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4" s="55" t="str">
        <f>IF(наценка7[[#This Row],[Потолок ]]="ДА",коэффициенты!$C$13,"")</f>
        <v/>
      </c>
      <c r="AG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4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4" s="55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" s="55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" s="52">
        <f>SUM(наценка7[[#This Row],[еврокухня]:[Лифт]])*наценка7[[#This Row],[Цена м2 с БK]]+наценка7[[#This Row],[Цена м2 с БK]]</f>
        <v>119811.8</v>
      </c>
      <c r="AQ4" s="51">
        <f>VLOOKUP(наценка7[[#This Row],[№]],Д402[],COLUMN(Д402[[#This Row],[утв цена м2]]),0)</f>
        <v>125299.01</v>
      </c>
      <c r="AR4" s="3">
        <f>наценка7[[#This Row],[утв цена м2]]*наценка7[[#This Row],[Расчетная проектная площадь]]</f>
        <v>7531723.4910999993</v>
      </c>
      <c r="AS4" s="27" t="str">
        <f>VLOOKUP(наценка7[[#This Row],[№]],Д402[],COLUMN('Реестр ОН'!$BA$1),0)</f>
        <v>Стр. Резерв</v>
      </c>
      <c r="AT4" s="280">
        <f>ROUND(наценка7[[#This Row],[Цена м2 с учетом всех K]]*наценка7[[#This Row],[Расчетная проектная площадь]],0)</f>
        <v>7201887</v>
      </c>
      <c r="AU4" s="68">
        <v>7201887</v>
      </c>
      <c r="AV4" s="68" t="b">
        <f>наценка7[[#This Row],[Аллио]]=наценка7[[#This Row],[Первичка тест]]</f>
        <v>1</v>
      </c>
    </row>
    <row r="5" spans="1:48" s="68" customFormat="1" hidden="1" x14ac:dyDescent="0.25">
      <c r="A5" s="65">
        <v>3</v>
      </c>
      <c r="B5" s="2">
        <f>_xlfn.XLOOKUP(наценка7[[#This Row],[№]],Д402[№],Д402[Секция],"-",0)</f>
        <v>1</v>
      </c>
      <c r="C5" s="2">
        <f>_xlfn.XLOOKUP(наценка7[[#This Row],[№]],Д402[№],Д402[Этаж],"-",0)</f>
        <v>2</v>
      </c>
      <c r="D5" s="2">
        <f>_xlfn.XLOOKUP(наценка7[[#This Row],[№]],Д402[№],Д402[№ на этаже],"-",0)</f>
        <v>3</v>
      </c>
      <c r="E5" s="2">
        <f>_xlfn.XLOOKUP(наценка7[[#This Row],[№]],Д402[№],Д402[Тип кв],"-",0)</f>
        <v>2</v>
      </c>
      <c r="F5" s="51">
        <f>_xlfn.XLOOKUP(наценка7[[#This Row],[№]],Д402[№],Д402[Кухня],"-",0)</f>
        <v>14.62</v>
      </c>
      <c r="G5" s="51">
        <f>_xlfn.XLOOKUP(наценка7[[#This Row],[№]],Д402[№],Д402[Ванная],"-",0)</f>
        <v>3.86</v>
      </c>
      <c r="H5" s="51" t="s">
        <v>87</v>
      </c>
      <c r="I5" s="51"/>
      <c r="J5" s="51" t="s">
        <v>101</v>
      </c>
      <c r="K5" s="51"/>
      <c r="L5" s="51"/>
      <c r="M5" s="51" t="s">
        <v>83</v>
      </c>
      <c r="N5" s="51"/>
      <c r="O5" s="51" t="s">
        <v>101</v>
      </c>
      <c r="P5" s="51"/>
      <c r="Q5" s="129"/>
      <c r="R5" s="129"/>
      <c r="S5" s="51"/>
      <c r="T5" s="51">
        <f>_xlfn.XLOOKUP(наценка7[[#This Row],[№]],Д402[№],Д402[Расчетная проектная площадь],"-",0)</f>
        <v>54.68</v>
      </c>
      <c r="U5" s="17">
        <f t="shared" si="0"/>
        <v>89000</v>
      </c>
      <c r="V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5" s="67">
        <f>наценка7[[#This Row],[Цена м2 базовая]]*наценка7[[#This Row],[Базовой K]]</f>
        <v>113030</v>
      </c>
      <c r="X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5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5" s="55" t="str">
        <f>IF(наценка7[[#This Row],[Потолок ]]="ДА",коэффициенты!$C$13,"")</f>
        <v/>
      </c>
      <c r="AG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" s="55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" s="55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" s="52">
        <f>SUM(наценка7[[#This Row],[еврокухня]:[Лифт]])*наценка7[[#This Row],[Цена м2 с БK]]+наценка7[[#This Row],[Цена м2 с БK]]</f>
        <v>117551.2</v>
      </c>
      <c r="AQ5" s="51">
        <f>VLOOKUP(наценка7[[#This Row],[№]],Д402[],COLUMN(Д402[[#This Row],[утв цена м2]]),0)</f>
        <v>119377.62</v>
      </c>
      <c r="AR5" s="3">
        <f>наценка7[[#This Row],[утв цена м2]]*наценка7[[#This Row],[Расчетная проектная площадь]]</f>
        <v>6527568.2615999999</v>
      </c>
      <c r="AS5" s="27" t="str">
        <f>VLOOKUP(наценка7[[#This Row],[№]],Д402[],COLUMN('Реестр ОН'!$BA$1),0)</f>
        <v>Стр. Резерв</v>
      </c>
      <c r="AT5" s="280">
        <f>ROUND(наценка7[[#This Row],[Цена м2 с учетом всех K]]*наценка7[[#This Row],[Расчетная проектная площадь]],0)</f>
        <v>6427700</v>
      </c>
      <c r="AU5" s="68">
        <v>6427700</v>
      </c>
      <c r="AV5" s="68" t="b">
        <f>наценка7[[#This Row],[Аллио]]=наценка7[[#This Row],[Первичка тест]]</f>
        <v>1</v>
      </c>
    </row>
    <row r="6" spans="1:48" s="68" customFormat="1" hidden="1" x14ac:dyDescent="0.25">
      <c r="A6" s="65">
        <v>4</v>
      </c>
      <c r="B6" s="2">
        <f>_xlfn.XLOOKUP(наценка7[[#This Row],[№]],Д402[№],Д402[Секция],"-",0)</f>
        <v>1</v>
      </c>
      <c r="C6" s="2">
        <f>_xlfn.XLOOKUP(наценка7[[#This Row],[№]],Д402[№],Д402[Этаж],"-",0)</f>
        <v>2</v>
      </c>
      <c r="D6" s="2">
        <f>_xlfn.XLOOKUP(наценка7[[#This Row],[№]],Д402[№],Д402[№ на этаже],"-",0)</f>
        <v>4</v>
      </c>
      <c r="E6" s="2">
        <f>_xlfn.XLOOKUP(наценка7[[#This Row],[№]],Д402[№],Д402[Тип кв],"-",0)</f>
        <v>2</v>
      </c>
      <c r="F6" s="51">
        <f>_xlfn.XLOOKUP(наценка7[[#This Row],[№]],Д402[№],Д402[Кухня],"-",0)</f>
        <v>19.329999999999998</v>
      </c>
      <c r="G6" s="51">
        <f>_xlfn.XLOOKUP(наценка7[[#This Row],[№]],Д402[№],Д402[Ванная],"-",0)</f>
        <v>4.4400000000000004</v>
      </c>
      <c r="H6" s="51" t="s">
        <v>87</v>
      </c>
      <c r="I6" s="51"/>
      <c r="J6" s="51"/>
      <c r="K6" s="51"/>
      <c r="L6" s="51" t="s">
        <v>119</v>
      </c>
      <c r="M6" s="51" t="s">
        <v>83</v>
      </c>
      <c r="N6" s="51"/>
      <c r="O6" s="51" t="s">
        <v>119</v>
      </c>
      <c r="P6" s="51"/>
      <c r="Q6" s="129"/>
      <c r="R6" s="129"/>
      <c r="S6" s="51"/>
      <c r="T6" s="51">
        <f>_xlfn.XLOOKUP(наценка7[[#This Row],[№]],Д402[№],Д402[Расчетная проектная площадь],"-",0)</f>
        <v>57.28</v>
      </c>
      <c r="U6" s="17">
        <f t="shared" si="0"/>
        <v>89000</v>
      </c>
      <c r="V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6" s="67">
        <f>наценка7[[#This Row],[Цена м2 базовая]]*наценка7[[#This Row],[Базовой K]]</f>
        <v>113030</v>
      </c>
      <c r="X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6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6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6" s="55" t="str">
        <f>IF(наценка7[[#This Row],[Потолок ]]="ДА",коэффициенты!$C$13,"")</f>
        <v/>
      </c>
      <c r="AG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-0.02</v>
      </c>
      <c r="AM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" s="55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" s="55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" s="52">
        <f>SUM(наценка7[[#This Row],[еврокухня]:[Лифт]])*наценка7[[#This Row],[Цена м2 с БK]]+наценка7[[#This Row],[Цена м2 с БK]]</f>
        <v>116420.9</v>
      </c>
      <c r="AQ6" s="51">
        <f>VLOOKUP(наценка7[[#This Row],[№]],Д402[],COLUMN(Д402[[#This Row],[утв цена м2]]),0)</f>
        <v>120606.5</v>
      </c>
      <c r="AR6" s="3">
        <f>наценка7[[#This Row],[утв цена м2]]*наценка7[[#This Row],[Расчетная проектная площадь]]</f>
        <v>6908340.3200000003</v>
      </c>
      <c r="AS6" s="27" t="str">
        <f>VLOOKUP(наценка7[[#This Row],[№]],Д402[],COLUMN('Реестр ОН'!$BA$1),0)</f>
        <v>Стр. Резерв</v>
      </c>
      <c r="AT6" s="280">
        <f>ROUND(наценка7[[#This Row],[Цена м2 с учетом всех K]]*наценка7[[#This Row],[Расчетная проектная площадь]],0)</f>
        <v>6668589</v>
      </c>
      <c r="AU6" s="68">
        <v>6668589</v>
      </c>
      <c r="AV6" s="68" t="b">
        <f>наценка7[[#This Row],[Аллио]]=наценка7[[#This Row],[Первичка тест]]</f>
        <v>1</v>
      </c>
    </row>
    <row r="7" spans="1:48" s="68" customFormat="1" hidden="1" x14ac:dyDescent="0.25">
      <c r="A7" s="65">
        <v>5</v>
      </c>
      <c r="B7" s="2">
        <f>_xlfn.XLOOKUP(наценка7[[#This Row],[№]],Д402[№],Д402[Секция],"-",0)</f>
        <v>1</v>
      </c>
      <c r="C7" s="2">
        <f>_xlfn.XLOOKUP(наценка7[[#This Row],[№]],Д402[№],Д402[Этаж],"-",0)</f>
        <v>2</v>
      </c>
      <c r="D7" s="2">
        <f>_xlfn.XLOOKUP(наценка7[[#This Row],[№]],Д402[№],Д402[№ на этаже],"-",0)</f>
        <v>5</v>
      </c>
      <c r="E7" s="2">
        <f>_xlfn.XLOOKUP(наценка7[[#This Row],[№]],Д402[№],Д402[Тип кв],"-",0)</f>
        <v>1</v>
      </c>
      <c r="F7" s="51">
        <f>_xlfn.XLOOKUP(наценка7[[#This Row],[№]],Д402[№],Д402[Кухня],"-",0)</f>
        <v>15.1</v>
      </c>
      <c r="G7" s="51">
        <f>_xlfn.XLOOKUP(наценка7[[#This Row],[№]],Д402[№],Д402[Ванная],"-",0)</f>
        <v>4.4400000000000004</v>
      </c>
      <c r="H7" s="51" t="s">
        <v>87</v>
      </c>
      <c r="I7" s="51"/>
      <c r="J7" s="51" t="s">
        <v>101</v>
      </c>
      <c r="K7" s="51" t="s">
        <v>101</v>
      </c>
      <c r="L7" s="51"/>
      <c r="M7" s="51" t="s">
        <v>83</v>
      </c>
      <c r="N7" s="51"/>
      <c r="O7" s="51" t="s">
        <v>119</v>
      </c>
      <c r="P7" s="51"/>
      <c r="Q7" s="129"/>
      <c r="R7" s="129"/>
      <c r="S7" s="51"/>
      <c r="T7" s="51">
        <f>_xlfn.XLOOKUP(наценка7[[#This Row],[№]],Д402[№],Д402[Расчетная проектная площадь],"-",0)</f>
        <v>37.01</v>
      </c>
      <c r="U7" s="17">
        <f t="shared" si="0"/>
        <v>89000</v>
      </c>
      <c r="V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7" s="67">
        <f>наценка7[[#This Row],[Цена м2 базовая]]*наценка7[[#This Row],[Базовой K]]</f>
        <v>119260</v>
      </c>
      <c r="X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7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7" s="55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7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7" s="55" t="str">
        <f>IF(наценка7[[#This Row],[Потолок ]]="ДА",коэффициенты!$C$13,"")</f>
        <v/>
      </c>
      <c r="AG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" s="55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" s="55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" s="52">
        <f>SUM(наценка7[[#This Row],[еврокухня]:[Лифт]])*наценка7[[#This Row],[Цена м2 с БK]]+наценка7[[#This Row],[Цена м2 с БK]]</f>
        <v>125223</v>
      </c>
      <c r="AQ7" s="51">
        <f>VLOOKUP(наценка7[[#This Row],[№]],Д402[],COLUMN(Д402[[#This Row],[утв цена м2]]),0)</f>
        <v>130932.21</v>
      </c>
      <c r="AR7" s="3">
        <f>наценка7[[#This Row],[утв цена м2]]*наценка7[[#This Row],[Расчетная проектная площадь]]</f>
        <v>4845801.0921</v>
      </c>
      <c r="AS7" s="27" t="str">
        <f>VLOOKUP(наценка7[[#This Row],[№]],Д402[],COLUMN('Реестр ОН'!$BA$1),0)</f>
        <v>Стр. Резерв</v>
      </c>
      <c r="AT7" s="280">
        <f>ROUND(наценка7[[#This Row],[Цена м2 с учетом всех K]]*наценка7[[#This Row],[Расчетная проектная площадь]],0)</f>
        <v>4634503</v>
      </c>
      <c r="AU7" s="68">
        <v>4634503</v>
      </c>
      <c r="AV7" s="68" t="b">
        <f>наценка7[[#This Row],[Аллио]]=наценка7[[#This Row],[Первичка тест]]</f>
        <v>1</v>
      </c>
    </row>
    <row r="8" spans="1:48" s="68" customFormat="1" hidden="1" x14ac:dyDescent="0.25">
      <c r="A8" s="65">
        <v>6</v>
      </c>
      <c r="B8" s="2">
        <f>_xlfn.XLOOKUP(наценка7[[#This Row],[№]],Д402[№],Д402[Секция],"-",0)</f>
        <v>1</v>
      </c>
      <c r="C8" s="2">
        <f>_xlfn.XLOOKUP(наценка7[[#This Row],[№]],Д402[№],Д402[Этаж],"-",0)</f>
        <v>2</v>
      </c>
      <c r="D8" s="2">
        <f>_xlfn.XLOOKUP(наценка7[[#This Row],[№]],Д402[№],Д402[№ на этаже],"-",0)</f>
        <v>6</v>
      </c>
      <c r="E8" s="2">
        <f>_xlfn.XLOOKUP(наценка7[[#This Row],[№]],Д402[№],Д402[Тип кв],"-",0)</f>
        <v>1</v>
      </c>
      <c r="F8" s="51">
        <f>_xlfn.XLOOKUP(наценка7[[#This Row],[№]],Д402[№],Д402[Кухня],"-",0)</f>
        <v>16.93</v>
      </c>
      <c r="G8" s="51">
        <f>_xlfn.XLOOKUP(наценка7[[#This Row],[№]],Д402[№],Д402[Ванная],"-",0)</f>
        <v>4.46</v>
      </c>
      <c r="H8" s="51" t="s">
        <v>84</v>
      </c>
      <c r="I8" s="51"/>
      <c r="J8" s="51" t="s">
        <v>101</v>
      </c>
      <c r="K8" s="51" t="s">
        <v>101</v>
      </c>
      <c r="L8" s="51"/>
      <c r="M8" s="51" t="s">
        <v>83</v>
      </c>
      <c r="N8" s="51" t="s">
        <v>101</v>
      </c>
      <c r="O8" s="51" t="s">
        <v>119</v>
      </c>
      <c r="P8" s="51"/>
      <c r="Q8" s="129"/>
      <c r="R8" s="129"/>
      <c r="S8" s="51"/>
      <c r="T8" s="51">
        <f>_xlfn.XLOOKUP(наценка7[[#This Row],[№]],Д402[№],Д402[Расчетная проектная площадь],"-",0)</f>
        <v>45.26</v>
      </c>
      <c r="U8" s="17">
        <f t="shared" si="0"/>
        <v>89000</v>
      </c>
      <c r="V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8" s="67">
        <f>наценка7[[#This Row],[Цена м2 базовая]]*наценка7[[#This Row],[Базовой K]]</f>
        <v>119260</v>
      </c>
      <c r="X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8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8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8" s="55" t="str">
        <f>IF(наценка7[[#This Row],[Потолок ]]="ДА",коэффициенты!$C$13,"")</f>
        <v/>
      </c>
      <c r="AG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" s="55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" s="52">
        <f>SUM(наценка7[[#This Row],[еврокухня]:[Лифт]])*наценка7[[#This Row],[Цена м2 с БK]]+наценка7[[#This Row],[Цена м2 с БK]]</f>
        <v>121645.2</v>
      </c>
      <c r="AQ8" s="51">
        <f>VLOOKUP(наценка7[[#This Row],[№]],Д402[],COLUMN(Д402[[#This Row],[утв цена м2]]),0)</f>
        <v>128493.77</v>
      </c>
      <c r="AR8" s="3">
        <f>наценка7[[#This Row],[утв цена м2]]*наценка7[[#This Row],[Расчетная проектная площадь]]</f>
        <v>5815628.0301999999</v>
      </c>
      <c r="AS8" s="27" t="str">
        <f>VLOOKUP(наценка7[[#This Row],[№]],Д402[],COLUMN('Реестр ОН'!$BA$1),0)</f>
        <v>Стр. Резерв</v>
      </c>
      <c r="AT8" s="280">
        <f>ROUND(наценка7[[#This Row],[Цена м2 с учетом всех K]]*наценка7[[#This Row],[Расчетная проектная площадь]],0)</f>
        <v>5505662</v>
      </c>
      <c r="AU8" s="68">
        <v>5505662</v>
      </c>
      <c r="AV8" s="68" t="b">
        <f>наценка7[[#This Row],[Аллио]]=наценка7[[#This Row],[Первичка тест]]</f>
        <v>1</v>
      </c>
    </row>
    <row r="9" spans="1:48" hidden="1" x14ac:dyDescent="0.25">
      <c r="A9" s="65">
        <v>7</v>
      </c>
      <c r="B9" s="2">
        <f>_xlfn.XLOOKUP(наценка7[[#This Row],[№]],Д402[№],Д402[Секция],"-",0)</f>
        <v>1</v>
      </c>
      <c r="C9" s="2">
        <f>_xlfn.XLOOKUP(наценка7[[#This Row],[№]],Д402[№],Д402[Этаж],"-",0)</f>
        <v>3</v>
      </c>
      <c r="D9" s="2">
        <f>_xlfn.XLOOKUP(наценка7[[#This Row],[№]],Д402[№],Д402[№ на этаже],"-",0)</f>
        <v>1</v>
      </c>
      <c r="E9" s="2">
        <f>_xlfn.XLOOKUP(наценка7[[#This Row],[№]],Д402[№],Д402[Тип кв],"-",0)</f>
        <v>0</v>
      </c>
      <c r="F9" s="51">
        <f>_xlfn.XLOOKUP(наценка7[[#This Row],[№]],Д402[№],Д402[Кухня],"-",0)</f>
        <v>6.15</v>
      </c>
      <c r="G9" s="51">
        <f>_xlfn.XLOOKUP(наценка7[[#This Row],[№]],Д402[№],Д402[Ванная],"-",0)</f>
        <v>5.0199999999999996</v>
      </c>
      <c r="H9" s="51" t="s">
        <v>84</v>
      </c>
      <c r="I9" s="51"/>
      <c r="J9" s="51"/>
      <c r="K9" s="51" t="s">
        <v>101</v>
      </c>
      <c r="L9" s="51" t="s">
        <v>119</v>
      </c>
      <c r="M9" s="51" t="s">
        <v>83</v>
      </c>
      <c r="N9" s="51"/>
      <c r="O9" s="51" t="s">
        <v>119</v>
      </c>
      <c r="P9" s="51"/>
      <c r="Q9" s="129"/>
      <c r="R9" s="51"/>
      <c r="S9" s="51" t="s">
        <v>101</v>
      </c>
      <c r="T9" s="51">
        <f>_xlfn.XLOOKUP(наценка7[[#This Row],[№]],Д402[№],Д402[Расчетная проектная площадь],"-",0)</f>
        <v>29.69</v>
      </c>
      <c r="U9" s="17">
        <f t="shared" ref="U9:U72" si="1">$U$1</f>
        <v>89000</v>
      </c>
      <c r="V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9" s="18">
        <f>наценка7[[#This Row],[Цена м2 базовая]]*наценка7[[#This Row],[Базовой K]]</f>
        <v>139730</v>
      </c>
      <c r="X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9" s="55" t="str">
        <f>IF(наценка7[[#This Row],[Потолок ]]="ДА",коэффициенты!$C$13,"")</f>
        <v/>
      </c>
      <c r="AG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9" s="52">
        <f>SUM(наценка7[[#This Row],[еврокухня]:[Лифт]])*наценка7[[#This Row],[Цена м2 с БK]]+наценка7[[#This Row],[Цена м2 с БK]]</f>
        <v>139730</v>
      </c>
      <c r="AQ9" s="51">
        <f>VLOOKUP(наценка7[[#This Row],[№]],Д402[],COLUMN(Д402[[#This Row],[утв цена м2]]),0)</f>
        <v>141162.5</v>
      </c>
      <c r="AR9" s="3">
        <f>наценка7[[#This Row],[утв цена м2]]*наценка7[[#This Row],[Расчетная проектная площадь]]</f>
        <v>4191114.625</v>
      </c>
      <c r="AS9" s="27" t="str">
        <f>VLOOKUP(наценка7[[#This Row],[№]],Д402[],COLUMN('Реестр ОН'!$BA$1),0)</f>
        <v>Свободно</v>
      </c>
      <c r="AT9" s="281">
        <f>ROUND(наценка7[[#This Row],[Цена м2 с учетом всех K]]*наценка7[[#This Row],[Расчетная проектная площадь]],0)</f>
        <v>4148584</v>
      </c>
      <c r="AU9" s="286">
        <v>4148584</v>
      </c>
      <c r="AV9" s="286" t="b">
        <f>наценка7[[#This Row],[Аллио]]=наценка7[[#This Row],[Первичка тест]]</f>
        <v>1</v>
      </c>
    </row>
    <row r="10" spans="1:48" hidden="1" x14ac:dyDescent="0.25">
      <c r="A10" s="65">
        <v>8</v>
      </c>
      <c r="B10" s="2">
        <f>_xlfn.XLOOKUP(наценка7[[#This Row],[№]],Д402[№],Д402[Секция],"-",0)</f>
        <v>1</v>
      </c>
      <c r="C10" s="2">
        <f>_xlfn.XLOOKUP(наценка7[[#This Row],[№]],Д402[№],Д402[Этаж],"-",0)</f>
        <v>3</v>
      </c>
      <c r="D10" s="2">
        <f>_xlfn.XLOOKUP(наценка7[[#This Row],[№]],Д402[№],Д402[№ на этаже],"-",0)</f>
        <v>2</v>
      </c>
      <c r="E10" s="2">
        <f>_xlfn.XLOOKUP(наценка7[[#This Row],[№]],Д402[№],Д402[Тип кв],"-",0)</f>
        <v>2</v>
      </c>
      <c r="F10" s="51">
        <f>_xlfn.XLOOKUP(наценка7[[#This Row],[№]],Д402[№],Д402[Кухня],"-",0)</f>
        <v>17.7</v>
      </c>
      <c r="G10" s="51">
        <f>_xlfn.XLOOKUP(наценка7[[#This Row],[№]],Д402[№],Д402[Ванная],"-",0)</f>
        <v>4.25</v>
      </c>
      <c r="H10" s="51" t="s">
        <v>85</v>
      </c>
      <c r="I10" s="51"/>
      <c r="J10" s="51" t="s">
        <v>101</v>
      </c>
      <c r="K10" s="51"/>
      <c r="L10" s="51"/>
      <c r="M10" s="51" t="s">
        <v>83</v>
      </c>
      <c r="N10" s="51"/>
      <c r="O10" s="51" t="s">
        <v>101</v>
      </c>
      <c r="P10" s="51"/>
      <c r="Q10" s="129"/>
      <c r="R10" s="51" t="s">
        <v>101</v>
      </c>
      <c r="S10" s="51"/>
      <c r="T10" s="51">
        <f>_xlfn.XLOOKUP(наценка7[[#This Row],[№]],Д402[№],Д402[Расчетная проектная площадь],"-",0)</f>
        <v>60.11</v>
      </c>
      <c r="U10" s="17">
        <f t="shared" si="1"/>
        <v>89000</v>
      </c>
      <c r="V1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" s="18">
        <f>наценка7[[#This Row],[Цена м2 базовая]]*наценка7[[#This Row],[Базовой K]]</f>
        <v>113030</v>
      </c>
      <c r="X1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0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0" s="55" t="str">
        <f>IF(наценка7[[#This Row],[Потолок ]]="ДА",коэффициенты!$C$13,"")</f>
        <v/>
      </c>
      <c r="AG1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10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" s="52">
        <f>SUM(наценка7[[#This Row],[еврокухня]:[Лифт]])*наценка7[[#This Row],[Цена м2 с БK]]+наценка7[[#This Row],[Цена м2 с БK]]</f>
        <v>119811.8</v>
      </c>
      <c r="AQ10" s="51">
        <f>VLOOKUP(наценка7[[#This Row],[№]],Д402[],COLUMN(Д402[[#This Row],[утв цена м2]]),0)</f>
        <v>125299.01</v>
      </c>
      <c r="AR10" s="3">
        <f>наценка7[[#This Row],[утв цена м2]]*наценка7[[#This Row],[Расчетная проектная площадь]]</f>
        <v>7531723.4910999993</v>
      </c>
      <c r="AS10" s="27" t="str">
        <f>VLOOKUP(наценка7[[#This Row],[№]],Д402[],COLUMN('Реестр ОН'!$BA$1),0)</f>
        <v>Стр. Резерв</v>
      </c>
      <c r="AT10" s="281">
        <f>ROUND(наценка7[[#This Row],[Цена м2 с учетом всех K]]*наценка7[[#This Row],[Расчетная проектная площадь]],0)</f>
        <v>7201887</v>
      </c>
      <c r="AU10" s="286">
        <v>7201887</v>
      </c>
      <c r="AV10" s="286" t="b">
        <f>наценка7[[#This Row],[Аллио]]=наценка7[[#This Row],[Первичка тест]]</f>
        <v>1</v>
      </c>
    </row>
    <row r="11" spans="1:48" hidden="1" x14ac:dyDescent="0.25">
      <c r="A11" s="65">
        <v>9</v>
      </c>
      <c r="B11" s="2">
        <f>_xlfn.XLOOKUP(наценка7[[#This Row],[№]],Д402[№],Д402[Секция],"-",0)</f>
        <v>1</v>
      </c>
      <c r="C11" s="2">
        <f>_xlfn.XLOOKUP(наценка7[[#This Row],[№]],Д402[№],Д402[Этаж],"-",0)</f>
        <v>3</v>
      </c>
      <c r="D11" s="2">
        <f>_xlfn.XLOOKUP(наценка7[[#This Row],[№]],Д402[№],Д402[№ на этаже],"-",0)</f>
        <v>3</v>
      </c>
      <c r="E11" s="2">
        <f>_xlfn.XLOOKUP(наценка7[[#This Row],[№]],Д402[№],Д402[Тип кв],"-",0)</f>
        <v>2</v>
      </c>
      <c r="F11" s="51">
        <f>_xlfn.XLOOKUP(наценка7[[#This Row],[№]],Д402[№],Д402[Кухня],"-",0)</f>
        <v>14.62</v>
      </c>
      <c r="G11" s="51">
        <f>_xlfn.XLOOKUP(наценка7[[#This Row],[№]],Д402[№],Д402[Ванная],"-",0)</f>
        <v>3.86</v>
      </c>
      <c r="H11" s="51" t="s">
        <v>87</v>
      </c>
      <c r="I11" s="51"/>
      <c r="J11" s="51" t="s">
        <v>101</v>
      </c>
      <c r="K11" s="51"/>
      <c r="L11" s="51"/>
      <c r="M11" s="51" t="s">
        <v>83</v>
      </c>
      <c r="N11" s="51"/>
      <c r="O11" s="51" t="s">
        <v>101</v>
      </c>
      <c r="P11" s="51"/>
      <c r="Q11" s="129"/>
      <c r="R11" s="129"/>
      <c r="S11" s="51"/>
      <c r="T11" s="51">
        <f>_xlfn.XLOOKUP(наценка7[[#This Row],[№]],Д402[№],Д402[Расчетная проектная площадь],"-",0)</f>
        <v>54.85</v>
      </c>
      <c r="U11" s="17">
        <f t="shared" si="1"/>
        <v>89000</v>
      </c>
      <c r="V1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1" s="18">
        <f>наценка7[[#This Row],[Цена м2 базовая]]*наценка7[[#This Row],[Базовой K]]</f>
        <v>113030</v>
      </c>
      <c r="X1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1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1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1" s="55" t="str">
        <f>IF(наценка7[[#This Row],[Потолок ]]="ДА",коэффициенты!$C$13,"")</f>
        <v/>
      </c>
      <c r="AG1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" s="52">
        <f>SUM(наценка7[[#This Row],[еврокухня]:[Лифт]])*наценка7[[#This Row],[Цена м2 с БK]]+наценка7[[#This Row],[Цена м2 с БK]]</f>
        <v>117551.2</v>
      </c>
      <c r="AQ11" s="51">
        <f>VLOOKUP(наценка7[[#This Row],[№]],Д402[],COLUMN(Д402[[#This Row],[утв цена м2]]),0)</f>
        <v>119377.62</v>
      </c>
      <c r="AR11" s="3">
        <f>наценка7[[#This Row],[утв цена м2]]*наценка7[[#This Row],[Расчетная проектная площадь]]</f>
        <v>6547862.4569999995</v>
      </c>
      <c r="AS11" s="27" t="str">
        <f>VLOOKUP(наценка7[[#This Row],[№]],Д402[],COLUMN('Реестр ОН'!$BA$1),0)</f>
        <v>Стр. Резерв</v>
      </c>
      <c r="AT11" s="281">
        <f>ROUND(наценка7[[#This Row],[Цена м2 с учетом всех K]]*наценка7[[#This Row],[Расчетная проектная площадь]],0)</f>
        <v>6447683</v>
      </c>
      <c r="AU11" s="286">
        <v>6447683</v>
      </c>
      <c r="AV11" s="286" t="b">
        <f>наценка7[[#This Row],[Аллио]]=наценка7[[#This Row],[Первичка тест]]</f>
        <v>1</v>
      </c>
    </row>
    <row r="12" spans="1:48" hidden="1" x14ac:dyDescent="0.25">
      <c r="A12" s="65">
        <v>10</v>
      </c>
      <c r="B12" s="2">
        <f>_xlfn.XLOOKUP(наценка7[[#This Row],[№]],Д402[№],Д402[Секция],"-",0)</f>
        <v>1</v>
      </c>
      <c r="C12" s="2">
        <f>_xlfn.XLOOKUP(наценка7[[#This Row],[№]],Д402[№],Д402[Этаж],"-",0)</f>
        <v>3</v>
      </c>
      <c r="D12" s="2">
        <f>_xlfn.XLOOKUP(наценка7[[#This Row],[№]],Д402[№],Д402[№ на этаже],"-",0)</f>
        <v>4</v>
      </c>
      <c r="E12" s="2">
        <f>_xlfn.XLOOKUP(наценка7[[#This Row],[№]],Д402[№],Д402[Тип кв],"-",0)</f>
        <v>2</v>
      </c>
      <c r="F12" s="51">
        <f>_xlfn.XLOOKUP(наценка7[[#This Row],[№]],Д402[№],Д402[Кухня],"-",0)</f>
        <v>15.16</v>
      </c>
      <c r="G12" s="51">
        <f>_xlfn.XLOOKUP(наценка7[[#This Row],[№]],Д402[№],Д402[Ванная],"-",0)</f>
        <v>4.4400000000000004</v>
      </c>
      <c r="H12" s="51" t="s">
        <v>87</v>
      </c>
      <c r="I12" s="51"/>
      <c r="J12" s="51" t="s">
        <v>101</v>
      </c>
      <c r="K12" s="51"/>
      <c r="L12" s="51"/>
      <c r="M12" s="51" t="s">
        <v>83</v>
      </c>
      <c r="N12" s="51"/>
      <c r="O12" s="51" t="s">
        <v>119</v>
      </c>
      <c r="P12" s="51"/>
      <c r="Q12" s="129"/>
      <c r="R12" s="129"/>
      <c r="S12" s="51"/>
      <c r="T12" s="51">
        <f>_xlfn.XLOOKUP(наценка7[[#This Row],[№]],Д402[№],Д402[Расчетная проектная площадь],"-",0)</f>
        <v>54.78</v>
      </c>
      <c r="U12" s="17">
        <f t="shared" si="1"/>
        <v>89000</v>
      </c>
      <c r="V1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" s="18">
        <f>наценка7[[#This Row],[Цена м2 базовая]]*наценка7[[#This Row],[Базовой K]]</f>
        <v>113030</v>
      </c>
      <c r="X1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2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2" s="55" t="str">
        <f>IF(наценка7[[#This Row],[Потолок ]]="ДА",коэффициенты!$C$13,"")</f>
        <v/>
      </c>
      <c r="AG1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" s="52">
        <f>SUM(наценка7[[#This Row],[еврокухня]:[Лифт]])*наценка7[[#This Row],[Цена м2 с БK]]+наценка7[[#This Row],[Цена м2 с БK]]</f>
        <v>119811.8</v>
      </c>
      <c r="AQ12" s="51">
        <f>VLOOKUP(наценка7[[#This Row],[№]],Д402[],COLUMN(Д402[[#This Row],[утв цена м2]]),0)</f>
        <v>121649.52</v>
      </c>
      <c r="AR12" s="3">
        <f>наценка7[[#This Row],[утв цена м2]]*наценка7[[#This Row],[Расчетная проектная площадь]]</f>
        <v>6663960.7056</v>
      </c>
      <c r="AS12" s="27" t="str">
        <f>VLOOKUP(наценка7[[#This Row],[№]],Д402[],COLUMN('Реестр ОН'!$BA$1),0)</f>
        <v>Стр. Резерв</v>
      </c>
      <c r="AT12" s="281">
        <f>ROUND(наценка7[[#This Row],[Цена м2 с учетом всех K]]*наценка7[[#This Row],[Расчетная проектная площадь]],0)</f>
        <v>6563290</v>
      </c>
      <c r="AU12" s="286">
        <v>6563290</v>
      </c>
      <c r="AV12" s="286" t="b">
        <f>наценка7[[#This Row],[Аллио]]=наценка7[[#This Row],[Первичка тест]]</f>
        <v>1</v>
      </c>
    </row>
    <row r="13" spans="1:48" hidden="1" x14ac:dyDescent="0.25">
      <c r="A13" s="65">
        <v>11</v>
      </c>
      <c r="B13" s="2">
        <f>_xlfn.XLOOKUP(наценка7[[#This Row],[№]],Д402[№],Д402[Секция],"-",0)</f>
        <v>1</v>
      </c>
      <c r="C13" s="2">
        <f>_xlfn.XLOOKUP(наценка7[[#This Row],[№]],Д402[№],Д402[Этаж],"-",0)</f>
        <v>3</v>
      </c>
      <c r="D13" s="2">
        <f>_xlfn.XLOOKUP(наценка7[[#This Row],[№]],Д402[№],Д402[№ на этаже],"-",0)</f>
        <v>5</v>
      </c>
      <c r="E13" s="2">
        <f>_xlfn.XLOOKUP(наценка7[[#This Row],[№]],Д402[№],Д402[Тип кв],"-",0)</f>
        <v>1</v>
      </c>
      <c r="F13" s="3">
        <f>_xlfn.XLOOKUP(наценка7[[#This Row],[№]],Д402[№],Д402[Кухня],"-",0)</f>
        <v>15.1</v>
      </c>
      <c r="G13" s="51">
        <f>_xlfn.XLOOKUP(наценка7[[#This Row],[№]],Д402[№],Д402[Ванная],"-",0)</f>
        <v>4.4400000000000004</v>
      </c>
      <c r="H13" s="51" t="s">
        <v>87</v>
      </c>
      <c r="I13" s="51"/>
      <c r="J13" s="51" t="s">
        <v>101</v>
      </c>
      <c r="K13" s="51" t="s">
        <v>101</v>
      </c>
      <c r="L13" s="51"/>
      <c r="M13" s="51" t="s">
        <v>83</v>
      </c>
      <c r="N13" s="51"/>
      <c r="O13" s="51" t="s">
        <v>119</v>
      </c>
      <c r="P13" s="51"/>
      <c r="Q13" s="129"/>
      <c r="R13" s="129"/>
      <c r="S13" s="51"/>
      <c r="T13" s="51">
        <f>_xlfn.XLOOKUP(наценка7[[#This Row],[№]],Д402[№],Д402[Расчетная проектная площадь],"-",0)</f>
        <v>37.01</v>
      </c>
      <c r="U13" s="17">
        <f t="shared" si="1"/>
        <v>89000</v>
      </c>
      <c r="V1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3" s="18">
        <f>наценка7[[#This Row],[Цена м2 базовая]]*наценка7[[#This Row],[Базовой K]]</f>
        <v>119260</v>
      </c>
      <c r="X1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3" s="55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3" s="55" t="str">
        <f>IF(наценка7[[#This Row],[Потолок ]]="ДА",коэффициенты!$C$13,"")</f>
        <v/>
      </c>
      <c r="AG1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" s="52">
        <f>SUM(наценка7[[#This Row],[еврокухня]:[Лифт]])*наценка7[[#This Row],[Цена м2 с БK]]+наценка7[[#This Row],[Цена м2 с БK]]</f>
        <v>125223</v>
      </c>
      <c r="AQ13" s="51">
        <f>VLOOKUP(наценка7[[#This Row],[№]],Д402[],COLUMN(Д402[[#This Row],[утв цена м2]]),0)</f>
        <v>133525.34</v>
      </c>
      <c r="AR13" s="3">
        <f>наценка7[[#This Row],[утв цена м2]]*наценка7[[#This Row],[Расчетная проектная площадь]]</f>
        <v>4941772.8333999999</v>
      </c>
      <c r="AS13" s="27" t="str">
        <f>VLOOKUP(наценка7[[#This Row],[№]],Д402[],COLUMN('Реестр ОН'!$BA$1),0)</f>
        <v>Стр. Резерв</v>
      </c>
      <c r="AT13" s="281">
        <f>ROUND(наценка7[[#This Row],[Цена м2 с учетом всех K]]*наценка7[[#This Row],[Расчетная проектная площадь]],0)</f>
        <v>4634503</v>
      </c>
      <c r="AU13" s="286">
        <v>4634503</v>
      </c>
      <c r="AV13" s="286" t="b">
        <f>наценка7[[#This Row],[Аллио]]=наценка7[[#This Row],[Первичка тест]]</f>
        <v>1</v>
      </c>
    </row>
    <row r="14" spans="1:48" hidden="1" x14ac:dyDescent="0.25">
      <c r="A14" s="65">
        <v>12</v>
      </c>
      <c r="B14" s="2">
        <f>_xlfn.XLOOKUP(наценка7[[#This Row],[№]],Д402[№],Д402[Секция],"-",0)</f>
        <v>1</v>
      </c>
      <c r="C14" s="2">
        <f>_xlfn.XLOOKUP(наценка7[[#This Row],[№]],Д402[№],Д402[Этаж],"-",0)</f>
        <v>3</v>
      </c>
      <c r="D14" s="2">
        <f>_xlfn.XLOOKUP(наценка7[[#This Row],[№]],Д402[№],Д402[№ на этаже],"-",0)</f>
        <v>6</v>
      </c>
      <c r="E14" s="2">
        <f>_xlfn.XLOOKUP(наценка7[[#This Row],[№]],Д402[№],Д402[Тип кв],"-",0)</f>
        <v>1</v>
      </c>
      <c r="F14" s="51">
        <f>_xlfn.XLOOKUP(наценка7[[#This Row],[№]],Д402[№],Д402[Кухня],"-",0)</f>
        <v>16.93</v>
      </c>
      <c r="G14" s="51">
        <f>_xlfn.XLOOKUP(наценка7[[#This Row],[№]],Д402[№],Д402[Ванная],"-",0)</f>
        <v>4.46</v>
      </c>
      <c r="H14" s="51" t="s">
        <v>84</v>
      </c>
      <c r="I14" s="51"/>
      <c r="J14" s="51" t="s">
        <v>101</v>
      </c>
      <c r="K14" s="51" t="s">
        <v>101</v>
      </c>
      <c r="L14" s="51"/>
      <c r="M14" s="51" t="s">
        <v>83</v>
      </c>
      <c r="N14" s="51" t="s">
        <v>101</v>
      </c>
      <c r="O14" s="51" t="s">
        <v>119</v>
      </c>
      <c r="P14" s="51"/>
      <c r="Q14" s="129"/>
      <c r="R14" s="129"/>
      <c r="S14" s="51"/>
      <c r="T14" s="51">
        <f>_xlfn.XLOOKUP(наценка7[[#This Row],[№]],Д402[№],Д402[Расчетная проектная площадь],"-",0)</f>
        <v>45.26</v>
      </c>
      <c r="U14" s="17">
        <f t="shared" si="1"/>
        <v>89000</v>
      </c>
      <c r="V1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4" s="18">
        <f>наценка7[[#This Row],[Цена м2 базовая]]*наценка7[[#This Row],[Базовой K]]</f>
        <v>119260</v>
      </c>
      <c r="X1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4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4" s="55" t="str">
        <f>IF(наценка7[[#This Row],[Потолок ]]="ДА",коэффициенты!$C$13,"")</f>
        <v/>
      </c>
      <c r="AG1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1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" s="52">
        <f>SUM(наценка7[[#This Row],[еврокухня]:[Лифт]])*наценка7[[#This Row],[Цена м2 с БK]]+наценка7[[#This Row],[Цена м2 с БK]]</f>
        <v>121645.2</v>
      </c>
      <c r="AQ14" s="51">
        <f>VLOOKUP(наценка7[[#This Row],[№]],Д402[],COLUMN(Д402[[#This Row],[утв цена м2]]),0)</f>
        <v>128493.77</v>
      </c>
      <c r="AR14" s="3">
        <f>наценка7[[#This Row],[утв цена м2]]*наценка7[[#This Row],[Расчетная проектная площадь]]</f>
        <v>5815628.0301999999</v>
      </c>
      <c r="AS14" s="27" t="str">
        <f>VLOOKUP(наценка7[[#This Row],[№]],Д402[],COLUMN('Реестр ОН'!$BA$1),0)</f>
        <v>Стр. Резерв</v>
      </c>
      <c r="AT14" s="281">
        <f>ROUND(наценка7[[#This Row],[Цена м2 с учетом всех K]]*наценка7[[#This Row],[Расчетная проектная площадь]],0)</f>
        <v>5505662</v>
      </c>
      <c r="AU14" s="286">
        <v>5505662</v>
      </c>
      <c r="AV14" s="286" t="b">
        <f>наценка7[[#This Row],[Аллио]]=наценка7[[#This Row],[Первичка тест]]</f>
        <v>1</v>
      </c>
    </row>
    <row r="15" spans="1:48" hidden="1" x14ac:dyDescent="0.25">
      <c r="A15" s="65">
        <v>13</v>
      </c>
      <c r="B15" s="2">
        <f>_xlfn.XLOOKUP(наценка7[[#This Row],[№]],Д402[№],Д402[Секция],"-",0)</f>
        <v>1</v>
      </c>
      <c r="C15" s="2">
        <f>_xlfn.XLOOKUP(наценка7[[#This Row],[№]],Д402[№],Д402[Этаж],"-",0)</f>
        <v>4</v>
      </c>
      <c r="D15" s="2">
        <f>_xlfn.XLOOKUP(наценка7[[#This Row],[№]],Д402[№],Д402[№ на этаже],"-",0)</f>
        <v>1</v>
      </c>
      <c r="E15" s="2">
        <f>_xlfn.XLOOKUP(наценка7[[#This Row],[№]],Д402[№],Д402[Тип кв],"-",0)</f>
        <v>0</v>
      </c>
      <c r="F15" s="51">
        <f>_xlfn.XLOOKUP(наценка7[[#This Row],[№]],Д402[№],Д402[Кухня],"-",0)</f>
        <v>6.15</v>
      </c>
      <c r="G15" s="51">
        <f>_xlfn.XLOOKUP(наценка7[[#This Row],[№]],Д402[№],Д402[Ванная],"-",0)</f>
        <v>5.0199999999999996</v>
      </c>
      <c r="H15" s="51" t="s">
        <v>84</v>
      </c>
      <c r="I15" s="51"/>
      <c r="J15" s="51"/>
      <c r="K15" s="51" t="s">
        <v>101</v>
      </c>
      <c r="L15" s="51" t="s">
        <v>119</v>
      </c>
      <c r="M15" s="51" t="s">
        <v>83</v>
      </c>
      <c r="N15" s="51"/>
      <c r="O15" s="51" t="s">
        <v>119</v>
      </c>
      <c r="P15" s="51"/>
      <c r="Q15" s="129"/>
      <c r="R15" s="51"/>
      <c r="S15" s="51" t="s">
        <v>101</v>
      </c>
      <c r="T15" s="51">
        <f>_xlfn.XLOOKUP(наценка7[[#This Row],[№]],Д402[№],Д402[Расчетная проектная площадь],"-",0)</f>
        <v>29.69</v>
      </c>
      <c r="U15" s="17">
        <f t="shared" si="1"/>
        <v>89000</v>
      </c>
      <c r="V1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5" s="18">
        <f>наценка7[[#This Row],[Цена м2 базовая]]*наценка7[[#This Row],[Базовой K]]</f>
        <v>139730</v>
      </c>
      <c r="X1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5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5" s="55" t="str">
        <f>IF(наценка7[[#This Row],[Потолок ]]="ДА",коэффициенты!$C$13,"")</f>
        <v/>
      </c>
      <c r="AG1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5" s="52">
        <f>SUM(наценка7[[#This Row],[еврокухня]:[Лифт]])*наценка7[[#This Row],[Цена м2 с БK]]+наценка7[[#This Row],[Цена м2 с БK]]</f>
        <v>139730</v>
      </c>
      <c r="AQ15" s="51">
        <f>VLOOKUP(наценка7[[#This Row],[№]],Д402[],COLUMN(Д402[[#This Row],[утв цена м2]]),0)</f>
        <v>141162.5</v>
      </c>
      <c r="AR15" s="3">
        <f>наценка7[[#This Row],[утв цена м2]]*наценка7[[#This Row],[Расчетная проектная площадь]]</f>
        <v>4191114.625</v>
      </c>
      <c r="AS15" s="27" t="str">
        <f>VLOOKUP(наценка7[[#This Row],[№]],Д402[],COLUMN('Реестр ОН'!$BA$1),0)</f>
        <v>Стр. Резерв</v>
      </c>
      <c r="AT15" s="281">
        <f>ROUND(наценка7[[#This Row],[Цена м2 с учетом всех K]]*наценка7[[#This Row],[Расчетная проектная площадь]],0)</f>
        <v>4148584</v>
      </c>
      <c r="AU15" s="286">
        <v>4148584</v>
      </c>
      <c r="AV15" s="286" t="b">
        <f>наценка7[[#This Row],[Аллио]]=наценка7[[#This Row],[Первичка тест]]</f>
        <v>1</v>
      </c>
    </row>
    <row r="16" spans="1:48" hidden="1" x14ac:dyDescent="0.25">
      <c r="A16" s="65">
        <v>14</v>
      </c>
      <c r="B16" s="2">
        <f>_xlfn.XLOOKUP(наценка7[[#This Row],[№]],Д402[№],Д402[Секция],"-",0)</f>
        <v>1</v>
      </c>
      <c r="C16" s="2">
        <f>_xlfn.XLOOKUP(наценка7[[#This Row],[№]],Д402[№],Д402[Этаж],"-",0)</f>
        <v>4</v>
      </c>
      <c r="D16" s="2">
        <f>_xlfn.XLOOKUP(наценка7[[#This Row],[№]],Д402[№],Д402[№ на этаже],"-",0)</f>
        <v>2</v>
      </c>
      <c r="E16" s="2">
        <f>_xlfn.XLOOKUP(наценка7[[#This Row],[№]],Д402[№],Д402[Тип кв],"-",0)</f>
        <v>2</v>
      </c>
      <c r="F16" s="51">
        <f>_xlfn.XLOOKUP(наценка7[[#This Row],[№]],Д402[№],Д402[Кухня],"-",0)</f>
        <v>17.7</v>
      </c>
      <c r="G16" s="51">
        <f>_xlfn.XLOOKUP(наценка7[[#This Row],[№]],Д402[№],Д402[Ванная],"-",0)</f>
        <v>4.25</v>
      </c>
      <c r="H16" s="51" t="s">
        <v>85</v>
      </c>
      <c r="I16" s="51"/>
      <c r="J16" s="51" t="s">
        <v>101</v>
      </c>
      <c r="K16" s="51"/>
      <c r="L16" s="51"/>
      <c r="M16" s="51" t="s">
        <v>83</v>
      </c>
      <c r="N16" s="51"/>
      <c r="O16" s="51" t="s">
        <v>101</v>
      </c>
      <c r="P16" s="51"/>
      <c r="Q16" s="129"/>
      <c r="R16" s="51" t="s">
        <v>101</v>
      </c>
      <c r="S16" s="51"/>
      <c r="T16" s="51">
        <f>_xlfn.XLOOKUP(наценка7[[#This Row],[№]],Д402[№],Д402[Расчетная проектная площадь],"-",0)</f>
        <v>60.11</v>
      </c>
      <c r="U16" s="17">
        <f t="shared" si="1"/>
        <v>89000</v>
      </c>
      <c r="V1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6" s="18">
        <f>наценка7[[#This Row],[Цена м2 базовая]]*наценка7[[#This Row],[Базовой K]]</f>
        <v>113030</v>
      </c>
      <c r="X1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6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6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6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6" s="55" t="str">
        <f>IF(наценка7[[#This Row],[Потолок ]]="ДА",коэффициенты!$C$13,"")</f>
        <v/>
      </c>
      <c r="AG1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6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16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" s="52">
        <f>SUM(наценка7[[#This Row],[еврокухня]:[Лифт]])*наценка7[[#This Row],[Цена м2 с БK]]+наценка7[[#This Row],[Цена м2 с БK]]</f>
        <v>119811.8</v>
      </c>
      <c r="AQ16" s="51">
        <f>VLOOKUP(наценка7[[#This Row],[№]],Д402[],COLUMN(Д402[[#This Row],[утв цена м2]]),0)</f>
        <v>125299.01</v>
      </c>
      <c r="AR16" s="3">
        <f>наценка7[[#This Row],[утв цена м2]]*наценка7[[#This Row],[Расчетная проектная площадь]]</f>
        <v>7531723.4910999993</v>
      </c>
      <c r="AS16" s="27" t="str">
        <f>VLOOKUP(наценка7[[#This Row],[№]],Д402[],COLUMN('Реестр ОН'!$BA$1),0)</f>
        <v>Стр. Резерв</v>
      </c>
      <c r="AT16" s="281">
        <f>ROUND(наценка7[[#This Row],[Цена м2 с учетом всех K]]*наценка7[[#This Row],[Расчетная проектная площадь]],0)</f>
        <v>7201887</v>
      </c>
      <c r="AU16" s="286">
        <v>7201887</v>
      </c>
      <c r="AV16" s="286" t="b">
        <f>наценка7[[#This Row],[Аллио]]=наценка7[[#This Row],[Первичка тест]]</f>
        <v>1</v>
      </c>
    </row>
    <row r="17" spans="1:48" hidden="1" x14ac:dyDescent="0.25">
      <c r="A17" s="65">
        <v>15</v>
      </c>
      <c r="B17" s="2">
        <f>_xlfn.XLOOKUP(наценка7[[#This Row],[№]],Д402[№],Д402[Секция],"-",0)</f>
        <v>1</v>
      </c>
      <c r="C17" s="2">
        <f>_xlfn.XLOOKUP(наценка7[[#This Row],[№]],Д402[№],Д402[Этаж],"-",0)</f>
        <v>4</v>
      </c>
      <c r="D17" s="2">
        <f>_xlfn.XLOOKUP(наценка7[[#This Row],[№]],Д402[№],Д402[№ на этаже],"-",0)</f>
        <v>3</v>
      </c>
      <c r="E17" s="2">
        <f>_xlfn.XLOOKUP(наценка7[[#This Row],[№]],Д402[№],Д402[Тип кв],"-",0)</f>
        <v>2</v>
      </c>
      <c r="F17" s="51">
        <f>_xlfn.XLOOKUP(наценка7[[#This Row],[№]],Д402[№],Д402[Кухня],"-",0)</f>
        <v>14.62</v>
      </c>
      <c r="G17" s="51">
        <f>_xlfn.XLOOKUP(наценка7[[#This Row],[№]],Д402[№],Д402[Ванная],"-",0)</f>
        <v>3.86</v>
      </c>
      <c r="H17" s="51" t="s">
        <v>87</v>
      </c>
      <c r="I17" s="51"/>
      <c r="J17" s="51" t="s">
        <v>101</v>
      </c>
      <c r="K17" s="51"/>
      <c r="L17" s="51"/>
      <c r="M17" s="51" t="s">
        <v>83</v>
      </c>
      <c r="N17" s="51"/>
      <c r="O17" s="51" t="s">
        <v>101</v>
      </c>
      <c r="P17" s="51"/>
      <c r="Q17" s="129" t="s">
        <v>101</v>
      </c>
      <c r="R17" s="129"/>
      <c r="S17" s="51"/>
      <c r="T17" s="51">
        <f>_xlfn.XLOOKUP(наценка7[[#This Row],[№]],Д402[№],Д402[Расчетная проектная площадь],"-",0)</f>
        <v>54.85</v>
      </c>
      <c r="U17" s="17">
        <f t="shared" si="1"/>
        <v>89000</v>
      </c>
      <c r="V1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7" s="18">
        <f>наценка7[[#This Row],[Цена м2 базовая]]*наценка7[[#This Row],[Базовой K]]</f>
        <v>113030</v>
      </c>
      <c r="X1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7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7" s="55" t="str">
        <f>IF(наценка7[[#This Row],[Потолок ]]="ДА",коэффициенты!$C$13,"")</f>
        <v/>
      </c>
      <c r="AG1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" s="52">
        <f>SUM(наценка7[[#This Row],[еврокухня]:[Лифт]])*наценка7[[#This Row],[Цена м2 с БK]]+наценка7[[#This Row],[Цена м2 с БK]]</f>
        <v>118681.5</v>
      </c>
      <c r="AQ17" s="51">
        <f>VLOOKUP(наценка7[[#This Row],[№]],Д402[],COLUMN(Д402[[#This Row],[утв цена м2]]),0)</f>
        <v>120513.57</v>
      </c>
      <c r="AR17" s="3">
        <f>наценка7[[#This Row],[утв цена м2]]*наценка7[[#This Row],[Расчетная проектная площадь]]</f>
        <v>6610169.3145000003</v>
      </c>
      <c r="AS17" s="27" t="str">
        <f>VLOOKUP(наценка7[[#This Row],[№]],Д402[],COLUMN('Реестр ОН'!$BA$1),0)</f>
        <v>Стр. Резерв</v>
      </c>
      <c r="AT17" s="281">
        <f>ROUND(наценка7[[#This Row],[Цена м2 с учетом всех K]]*наценка7[[#This Row],[Расчетная проектная площадь]],0)</f>
        <v>6509680</v>
      </c>
      <c r="AU17" s="286">
        <v>6509680</v>
      </c>
      <c r="AV17" s="286" t="b">
        <f>наценка7[[#This Row],[Аллио]]=наценка7[[#This Row],[Первичка тест]]</f>
        <v>1</v>
      </c>
    </row>
    <row r="18" spans="1:48" hidden="1" x14ac:dyDescent="0.25">
      <c r="A18" s="65">
        <v>16</v>
      </c>
      <c r="B18" s="2">
        <f>_xlfn.XLOOKUP(наценка7[[#This Row],[№]],Д402[№],Д402[Секция],"-",0)</f>
        <v>1</v>
      </c>
      <c r="C18" s="2">
        <f>_xlfn.XLOOKUP(наценка7[[#This Row],[№]],Д402[№],Д402[Этаж],"-",0)</f>
        <v>4</v>
      </c>
      <c r="D18" s="2">
        <f>_xlfn.XLOOKUP(наценка7[[#This Row],[№]],Д402[№],Д402[№ на этаже],"-",0)</f>
        <v>4</v>
      </c>
      <c r="E18" s="2">
        <f>_xlfn.XLOOKUP(наценка7[[#This Row],[№]],Д402[№],Д402[Тип кв],"-",0)</f>
        <v>2</v>
      </c>
      <c r="F18" s="51">
        <f>_xlfn.XLOOKUP(наценка7[[#This Row],[№]],Д402[№],Д402[Кухня],"-",0)</f>
        <v>15.16</v>
      </c>
      <c r="G18" s="51">
        <f>_xlfn.XLOOKUP(наценка7[[#This Row],[№]],Д402[№],Д402[Ванная],"-",0)</f>
        <v>4.4400000000000004</v>
      </c>
      <c r="H18" s="51" t="s">
        <v>87</v>
      </c>
      <c r="I18" s="51"/>
      <c r="J18" s="51" t="s">
        <v>101</v>
      </c>
      <c r="K18" s="51"/>
      <c r="L18" s="51"/>
      <c r="M18" s="51" t="s">
        <v>83</v>
      </c>
      <c r="N18" s="51"/>
      <c r="O18" s="51" t="s">
        <v>119</v>
      </c>
      <c r="P18" s="51"/>
      <c r="Q18" s="51" t="s">
        <v>101</v>
      </c>
      <c r="R18" s="51"/>
      <c r="S18" s="51"/>
      <c r="T18" s="51">
        <f>_xlfn.XLOOKUP(наценка7[[#This Row],[№]],Д402[№],Д402[Расчетная проектная площадь],"-",0)</f>
        <v>54.78</v>
      </c>
      <c r="U18" s="17">
        <f t="shared" si="1"/>
        <v>89000</v>
      </c>
      <c r="V1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8" s="18">
        <f>наценка7[[#This Row],[Цена м2 базовая]]*наценка7[[#This Row],[Базовой K]]</f>
        <v>113030</v>
      </c>
      <c r="X1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8" s="55" t="str">
        <f>IF(наценка7[[#This Row],[Потолок ]]="ДА",коэффициенты!$C$13,"")</f>
        <v/>
      </c>
      <c r="AG1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8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" s="52">
        <f>SUM(наценка7[[#This Row],[еврокухня]:[Лифт]])*наценка7[[#This Row],[Цена м2 с БK]]+наценка7[[#This Row],[Цена м2 с БK]]</f>
        <v>120942.1</v>
      </c>
      <c r="AQ18" s="51">
        <f>VLOOKUP(наценка7[[#This Row],[№]],Д402[],COLUMN(Д402[[#This Row],[утв цена м2]]),0)</f>
        <v>122785.47</v>
      </c>
      <c r="AR18" s="3">
        <f>наценка7[[#This Row],[утв цена м2]]*наценка7[[#This Row],[Расчетная проектная площадь]]</f>
        <v>6726188.0466</v>
      </c>
      <c r="AS18" s="27" t="str">
        <f>VLOOKUP(наценка7[[#This Row],[№]],Д402[],COLUMN('Реестр ОН'!$BA$1),0)</f>
        <v>Стр. Резерв</v>
      </c>
      <c r="AT18" s="281">
        <f>ROUND(наценка7[[#This Row],[Цена м2 с учетом всех K]]*наценка7[[#This Row],[Расчетная проектная площадь]],0)</f>
        <v>6625208</v>
      </c>
      <c r="AU18" s="286">
        <v>6625208</v>
      </c>
      <c r="AV18" s="286" t="b">
        <f>наценка7[[#This Row],[Аллио]]=наценка7[[#This Row],[Первичка тест]]</f>
        <v>1</v>
      </c>
    </row>
    <row r="19" spans="1:48" hidden="1" x14ac:dyDescent="0.25">
      <c r="A19" s="65">
        <v>17</v>
      </c>
      <c r="B19" s="2">
        <f>_xlfn.XLOOKUP(наценка7[[#This Row],[№]],Д402[№],Д402[Секция],"-",0)</f>
        <v>1</v>
      </c>
      <c r="C19" s="2">
        <f>_xlfn.XLOOKUP(наценка7[[#This Row],[№]],Д402[№],Д402[Этаж],"-",0)</f>
        <v>4</v>
      </c>
      <c r="D19" s="2">
        <f>_xlfn.XLOOKUP(наценка7[[#This Row],[№]],Д402[№],Д402[№ на этаже],"-",0)</f>
        <v>5</v>
      </c>
      <c r="E19" s="2">
        <f>_xlfn.XLOOKUP(наценка7[[#This Row],[№]],Д402[№],Д402[Тип кв],"-",0)</f>
        <v>1</v>
      </c>
      <c r="F19" s="51">
        <f>_xlfn.XLOOKUP(наценка7[[#This Row],[№]],Д402[№],Д402[Кухня],"-",0)</f>
        <v>15.1</v>
      </c>
      <c r="G19" s="51">
        <f>_xlfn.XLOOKUP(наценка7[[#This Row],[№]],Д402[№],Д402[Ванная],"-",0)</f>
        <v>4.4400000000000004</v>
      </c>
      <c r="H19" s="51" t="s">
        <v>87</v>
      </c>
      <c r="I19" s="51"/>
      <c r="J19" s="51" t="s">
        <v>101</v>
      </c>
      <c r="K19" s="51" t="s">
        <v>101</v>
      </c>
      <c r="L19" s="51"/>
      <c r="M19" s="51" t="s">
        <v>83</v>
      </c>
      <c r="N19" s="51"/>
      <c r="O19" s="51" t="s">
        <v>119</v>
      </c>
      <c r="P19" s="51"/>
      <c r="Q19" s="129"/>
      <c r="R19" s="129"/>
      <c r="S19" s="51"/>
      <c r="T19" s="51">
        <f>_xlfn.XLOOKUP(наценка7[[#This Row],[№]],Д402[№],Д402[Расчетная проектная площадь],"-",0)</f>
        <v>37.01</v>
      </c>
      <c r="U19" s="17">
        <f t="shared" si="1"/>
        <v>89000</v>
      </c>
      <c r="V1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9" s="18">
        <f>наценка7[[#This Row],[Цена м2 базовая]]*наценка7[[#This Row],[Базовой K]]</f>
        <v>119260</v>
      </c>
      <c r="X1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9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9" s="55" t="str">
        <f>IF(наценка7[[#This Row],[Потолок ]]="ДА",коэффициенты!$C$13,"")</f>
        <v/>
      </c>
      <c r="AG1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" s="52">
        <f>SUM(наценка7[[#This Row],[еврокухня]:[Лифт]])*наценка7[[#This Row],[Цена м2 с БK]]+наценка7[[#This Row],[Цена м2 с БK]]</f>
        <v>125223</v>
      </c>
      <c r="AQ19" s="51">
        <f>VLOOKUP(наценка7[[#This Row],[№]],Д402[],COLUMN(Д402[[#This Row],[утв цена м2]]),0)</f>
        <v>133525.34</v>
      </c>
      <c r="AR19" s="3">
        <f>наценка7[[#This Row],[утв цена м2]]*наценка7[[#This Row],[Расчетная проектная площадь]]</f>
        <v>4941772.8333999999</v>
      </c>
      <c r="AS19" s="27" t="str">
        <f>VLOOKUP(наценка7[[#This Row],[№]],Д402[],COLUMN('Реестр ОН'!$BA$1),0)</f>
        <v>Стр. Резерв</v>
      </c>
      <c r="AT19" s="281">
        <f>ROUND(наценка7[[#This Row],[Цена м2 с учетом всех K]]*наценка7[[#This Row],[Расчетная проектная площадь]],0)</f>
        <v>4634503</v>
      </c>
      <c r="AU19" s="286">
        <v>4634503</v>
      </c>
      <c r="AV19" s="286" t="b">
        <f>наценка7[[#This Row],[Аллио]]=наценка7[[#This Row],[Первичка тест]]</f>
        <v>1</v>
      </c>
    </row>
    <row r="20" spans="1:48" hidden="1" x14ac:dyDescent="0.25">
      <c r="A20" s="65">
        <v>18</v>
      </c>
      <c r="B20" s="2">
        <f>_xlfn.XLOOKUP(наценка7[[#This Row],[№]],Д402[№],Д402[Секция],"-",0)</f>
        <v>1</v>
      </c>
      <c r="C20" s="2">
        <f>_xlfn.XLOOKUP(наценка7[[#This Row],[№]],Д402[№],Д402[Этаж],"-",0)</f>
        <v>4</v>
      </c>
      <c r="D20" s="2">
        <f>_xlfn.XLOOKUP(наценка7[[#This Row],[№]],Д402[№],Д402[№ на этаже],"-",0)</f>
        <v>6</v>
      </c>
      <c r="E20" s="2">
        <f>_xlfn.XLOOKUP(наценка7[[#This Row],[№]],Д402[№],Д402[Тип кв],"-",0)</f>
        <v>1</v>
      </c>
      <c r="F20" s="51">
        <f>_xlfn.XLOOKUP(наценка7[[#This Row],[№]],Д402[№],Д402[Кухня],"-",0)</f>
        <v>16.93</v>
      </c>
      <c r="G20" s="51">
        <f>_xlfn.XLOOKUP(наценка7[[#This Row],[№]],Д402[№],Д402[Ванная],"-",0)</f>
        <v>4.46</v>
      </c>
      <c r="H20" s="51" t="s">
        <v>84</v>
      </c>
      <c r="I20" s="51"/>
      <c r="J20" s="51" t="s">
        <v>101</v>
      </c>
      <c r="K20" s="51" t="s">
        <v>101</v>
      </c>
      <c r="L20" s="51"/>
      <c r="M20" s="51" t="s">
        <v>83</v>
      </c>
      <c r="N20" s="51" t="s">
        <v>101</v>
      </c>
      <c r="O20" s="51" t="s">
        <v>119</v>
      </c>
      <c r="P20" s="51"/>
      <c r="Q20" s="129"/>
      <c r="R20" s="129"/>
      <c r="S20" s="51"/>
      <c r="T20" s="51">
        <f>_xlfn.XLOOKUP(наценка7[[#This Row],[№]],Д402[№],Д402[Расчетная проектная площадь],"-",0)</f>
        <v>45.26</v>
      </c>
      <c r="U20" s="17">
        <f t="shared" si="1"/>
        <v>89000</v>
      </c>
      <c r="V2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0" s="18">
        <f>наценка7[[#This Row],[Цена м2 базовая]]*наценка7[[#This Row],[Базовой K]]</f>
        <v>119260</v>
      </c>
      <c r="X2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0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20" s="55" t="str">
        <f>IF(наценка7[[#This Row],[Потолок ]]="ДА",коэффициенты!$C$13,"")</f>
        <v/>
      </c>
      <c r="AG2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" s="52">
        <f>SUM(наценка7[[#This Row],[еврокухня]:[Лифт]])*наценка7[[#This Row],[Цена м2 с БK]]+наценка7[[#This Row],[Цена м2 с БK]]</f>
        <v>121645.2</v>
      </c>
      <c r="AQ20" s="51">
        <f>VLOOKUP(наценка7[[#This Row],[№]],Д402[],COLUMN(Д402[[#This Row],[утв цена м2]]),0)</f>
        <v>128493.77</v>
      </c>
      <c r="AR20" s="3">
        <f>наценка7[[#This Row],[утв цена м2]]*наценка7[[#This Row],[Расчетная проектная площадь]]</f>
        <v>5815628.0301999999</v>
      </c>
      <c r="AS20" s="27" t="str">
        <f>VLOOKUP(наценка7[[#This Row],[№]],Д402[],COLUMN('Реестр ОН'!$BA$1),0)</f>
        <v>Стр. Резерв</v>
      </c>
      <c r="AT20" s="281">
        <f>ROUND(наценка7[[#This Row],[Цена м2 с учетом всех K]]*наценка7[[#This Row],[Расчетная проектная площадь]],0)</f>
        <v>5505662</v>
      </c>
      <c r="AU20" s="286">
        <v>5505662</v>
      </c>
      <c r="AV20" s="286" t="b">
        <f>наценка7[[#This Row],[Аллио]]=наценка7[[#This Row],[Первичка тест]]</f>
        <v>1</v>
      </c>
    </row>
    <row r="21" spans="1:48" hidden="1" x14ac:dyDescent="0.25">
      <c r="A21" s="65">
        <v>19</v>
      </c>
      <c r="B21" s="2">
        <f>_xlfn.XLOOKUP(наценка7[[#This Row],[№]],Д402[№],Д402[Секция],"-",0)</f>
        <v>1</v>
      </c>
      <c r="C21" s="2">
        <f>_xlfn.XLOOKUP(наценка7[[#This Row],[№]],Д402[№],Д402[Этаж],"-",0)</f>
        <v>5</v>
      </c>
      <c r="D21" s="2">
        <f>_xlfn.XLOOKUP(наценка7[[#This Row],[№]],Д402[№],Д402[№ на этаже],"-",0)</f>
        <v>1</v>
      </c>
      <c r="E21" s="2">
        <f>_xlfn.XLOOKUP(наценка7[[#This Row],[№]],Д402[№],Д402[Тип кв],"-",0)</f>
        <v>0</v>
      </c>
      <c r="F21" s="51">
        <f>_xlfn.XLOOKUP(наценка7[[#This Row],[№]],Д402[№],Д402[Кухня],"-",0)</f>
        <v>6.15</v>
      </c>
      <c r="G21" s="51">
        <f>_xlfn.XLOOKUP(наценка7[[#This Row],[№]],Д402[№],Д402[Ванная],"-",0)</f>
        <v>5.0199999999999996</v>
      </c>
      <c r="H21" s="51" t="s">
        <v>84</v>
      </c>
      <c r="I21" s="51"/>
      <c r="J21" s="51"/>
      <c r="K21" s="51" t="s">
        <v>101</v>
      </c>
      <c r="L21" s="51" t="s">
        <v>119</v>
      </c>
      <c r="M21" s="51" t="s">
        <v>83</v>
      </c>
      <c r="N21" s="51"/>
      <c r="O21" s="51" t="s">
        <v>119</v>
      </c>
      <c r="P21" s="51"/>
      <c r="Q21" s="129"/>
      <c r="R21" s="51"/>
      <c r="S21" s="51" t="s">
        <v>101</v>
      </c>
      <c r="T21" s="51">
        <f>_xlfn.XLOOKUP(наценка7[[#This Row],[№]],Д402[№],Д402[Расчетная проектная площадь],"-",0)</f>
        <v>29.69</v>
      </c>
      <c r="U21" s="17">
        <f t="shared" si="1"/>
        <v>89000</v>
      </c>
      <c r="V2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1" s="18">
        <f>наценка7[[#This Row],[Цена м2 базовая]]*наценка7[[#This Row],[Базовой K]]</f>
        <v>139730</v>
      </c>
      <c r="X2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" s="55" t="str">
        <f>IF(наценка7[[#This Row],[Потолок ]]="ДА",коэффициенты!$C$13,"")</f>
        <v/>
      </c>
      <c r="AG2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1" s="52">
        <f>SUM(наценка7[[#This Row],[еврокухня]:[Лифт]])*наценка7[[#This Row],[Цена м2 с БK]]+наценка7[[#This Row],[Цена м2 с БK]]</f>
        <v>139730</v>
      </c>
      <c r="AQ21" s="51">
        <f>VLOOKUP(наценка7[[#This Row],[№]],Д402[],COLUMN(Д402[[#This Row],[утв цена м2]]),0)</f>
        <v>141162.5</v>
      </c>
      <c r="AR21" s="3">
        <f>наценка7[[#This Row],[утв цена м2]]*наценка7[[#This Row],[Расчетная проектная площадь]]</f>
        <v>4191114.625</v>
      </c>
      <c r="AS21" s="27" t="str">
        <f>VLOOKUP(наценка7[[#This Row],[№]],Д402[],COLUMN('Реестр ОН'!$BA$1),0)</f>
        <v>Свободно</v>
      </c>
      <c r="AT21" s="281">
        <f>ROUND(наценка7[[#This Row],[Цена м2 с учетом всех K]]*наценка7[[#This Row],[Расчетная проектная площадь]],0)</f>
        <v>4148584</v>
      </c>
      <c r="AU21" s="286">
        <v>4148584</v>
      </c>
      <c r="AV21" s="286" t="b">
        <f>наценка7[[#This Row],[Аллио]]=наценка7[[#This Row],[Первичка тест]]</f>
        <v>1</v>
      </c>
    </row>
    <row r="22" spans="1:48" hidden="1" x14ac:dyDescent="0.25">
      <c r="A22" s="65">
        <v>20</v>
      </c>
      <c r="B22" s="2">
        <f>_xlfn.XLOOKUP(наценка7[[#This Row],[№]],Д402[№],Д402[Секция],"-",0)</f>
        <v>1</v>
      </c>
      <c r="C22" s="2">
        <f>_xlfn.XLOOKUP(наценка7[[#This Row],[№]],Д402[№],Д402[Этаж],"-",0)</f>
        <v>5</v>
      </c>
      <c r="D22" s="2">
        <f>_xlfn.XLOOKUP(наценка7[[#This Row],[№]],Д402[№],Д402[№ на этаже],"-",0)</f>
        <v>2</v>
      </c>
      <c r="E22" s="2">
        <f>_xlfn.XLOOKUP(наценка7[[#This Row],[№]],Д402[№],Д402[Тип кв],"-",0)</f>
        <v>2</v>
      </c>
      <c r="F22" s="51">
        <f>_xlfn.XLOOKUP(наценка7[[#This Row],[№]],Д402[№],Д402[Кухня],"-",0)</f>
        <v>17.7</v>
      </c>
      <c r="G22" s="51">
        <f>_xlfn.XLOOKUP(наценка7[[#This Row],[№]],Д402[№],Д402[Ванная],"-",0)</f>
        <v>4.25</v>
      </c>
      <c r="H22" s="51" t="s">
        <v>85</v>
      </c>
      <c r="I22" s="51"/>
      <c r="J22" s="51" t="s">
        <v>101</v>
      </c>
      <c r="K22" s="51"/>
      <c r="L22" s="51"/>
      <c r="M22" s="51" t="s">
        <v>83</v>
      </c>
      <c r="N22" s="51"/>
      <c r="O22" s="51" t="s">
        <v>101</v>
      </c>
      <c r="P22" s="51" t="s">
        <v>101</v>
      </c>
      <c r="Q22" s="129"/>
      <c r="R22" s="51" t="s">
        <v>101</v>
      </c>
      <c r="S22" s="51"/>
      <c r="T22" s="51">
        <f>_xlfn.XLOOKUP(наценка7[[#This Row],[№]],Д402[№],Д402[Расчетная проектная площадь],"-",0)</f>
        <v>60.11</v>
      </c>
      <c r="U22" s="17">
        <f t="shared" si="1"/>
        <v>89000</v>
      </c>
      <c r="V2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2" s="18">
        <f>наценка7[[#This Row],[Цена м2 базовая]]*наценка7[[#This Row],[Базовой K]]</f>
        <v>113030</v>
      </c>
      <c r="X2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" s="55" t="str">
        <f>IF(наценка7[[#This Row],[Потолок ]]="ДА",коэффициенты!$C$13,"")</f>
        <v/>
      </c>
      <c r="AG2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2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2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" s="52">
        <f>SUM(наценка7[[#This Row],[еврокухня]:[Лифт]])*наценка7[[#This Row],[Цена м2 с БK]]+наценка7[[#This Row],[Цена м2 с БK]]</f>
        <v>119811.8</v>
      </c>
      <c r="AQ22" s="51">
        <f>VLOOKUP(наценка7[[#This Row],[№]],Д402[],COLUMN(Д402[[#This Row],[утв цена м2]]),0)</f>
        <v>125299.01</v>
      </c>
      <c r="AR22" s="3">
        <f>наценка7[[#This Row],[утв цена м2]]*наценка7[[#This Row],[Расчетная проектная площадь]]</f>
        <v>7531723.4910999993</v>
      </c>
      <c r="AS22" s="27" t="str">
        <f>VLOOKUP(наценка7[[#This Row],[№]],Д402[],COLUMN('Реестр ОН'!$BA$1),0)</f>
        <v>Стр. Резерв</v>
      </c>
      <c r="AT22" s="281">
        <f>ROUND(наценка7[[#This Row],[Цена м2 с учетом всех K]]*наценка7[[#This Row],[Расчетная проектная площадь]],0)</f>
        <v>7201887</v>
      </c>
      <c r="AU22" s="286">
        <v>7201887</v>
      </c>
      <c r="AV22" s="286" t="b">
        <f>наценка7[[#This Row],[Аллио]]=наценка7[[#This Row],[Первичка тест]]</f>
        <v>1</v>
      </c>
    </row>
    <row r="23" spans="1:48" hidden="1" x14ac:dyDescent="0.25">
      <c r="A23" s="65">
        <v>21</v>
      </c>
      <c r="B23" s="2">
        <f>_xlfn.XLOOKUP(наценка7[[#This Row],[№]],Д402[№],Д402[Секция],"-",0)</f>
        <v>1</v>
      </c>
      <c r="C23" s="2">
        <f>_xlfn.XLOOKUP(наценка7[[#This Row],[№]],Д402[№],Д402[Этаж],"-",0)</f>
        <v>5</v>
      </c>
      <c r="D23" s="2">
        <f>_xlfn.XLOOKUP(наценка7[[#This Row],[№]],Д402[№],Д402[№ на этаже],"-",0)</f>
        <v>3</v>
      </c>
      <c r="E23" s="2">
        <f>_xlfn.XLOOKUP(наценка7[[#This Row],[№]],Д402[№],Д402[Тип кв],"-",0)</f>
        <v>2</v>
      </c>
      <c r="F23" s="51">
        <f>_xlfn.XLOOKUP(наценка7[[#This Row],[№]],Д402[№],Д402[Кухня],"-",0)</f>
        <v>14.62</v>
      </c>
      <c r="G23" s="51">
        <f>_xlfn.XLOOKUP(наценка7[[#This Row],[№]],Д402[№],Д402[Ванная],"-",0)</f>
        <v>3.86</v>
      </c>
      <c r="H23" s="51" t="s">
        <v>87</v>
      </c>
      <c r="I23" s="51"/>
      <c r="J23" s="51" t="s">
        <v>101</v>
      </c>
      <c r="K23" s="51"/>
      <c r="L23" s="51"/>
      <c r="M23" s="51" t="s">
        <v>83</v>
      </c>
      <c r="N23" s="51"/>
      <c r="O23" s="51" t="s">
        <v>101</v>
      </c>
      <c r="P23" s="51" t="s">
        <v>101</v>
      </c>
      <c r="Q23" s="129"/>
      <c r="R23" s="129"/>
      <c r="S23" s="51"/>
      <c r="T23" s="51">
        <f>_xlfn.XLOOKUP(наценка7[[#This Row],[№]],Д402[№],Д402[Расчетная проектная площадь],"-",0)</f>
        <v>54.85</v>
      </c>
      <c r="U23" s="17">
        <f t="shared" si="1"/>
        <v>89000</v>
      </c>
      <c r="V2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3" s="18">
        <f>наценка7[[#This Row],[Цена м2 базовая]]*наценка7[[#This Row],[Базовой K]]</f>
        <v>113030</v>
      </c>
      <c r="X2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3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" s="55" t="str">
        <f>IF(наценка7[[#This Row],[Потолок ]]="ДА",коэффициенты!$C$13,"")</f>
        <v/>
      </c>
      <c r="AG2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" s="52">
        <f>SUM(наценка7[[#This Row],[еврокухня]:[Лифт]])*наценка7[[#This Row],[Цена м2 с БK]]+наценка7[[#This Row],[Цена м2 с БK]]</f>
        <v>117551.2</v>
      </c>
      <c r="AQ23" s="51">
        <f>VLOOKUP(наценка7[[#This Row],[№]],Д402[],COLUMN(Д402[[#This Row],[утв цена м2]]),0)</f>
        <v>119377.62</v>
      </c>
      <c r="AR23" s="3">
        <f>наценка7[[#This Row],[утв цена м2]]*наценка7[[#This Row],[Расчетная проектная площадь]]</f>
        <v>6547862.4569999995</v>
      </c>
      <c r="AS23" s="27" t="str">
        <f>VLOOKUP(наценка7[[#This Row],[№]],Д402[],COLUMN('Реестр ОН'!$BA$1),0)</f>
        <v>Стр. Резерв</v>
      </c>
      <c r="AT23" s="281">
        <f>ROUND(наценка7[[#This Row],[Цена м2 с учетом всех K]]*наценка7[[#This Row],[Расчетная проектная площадь]],0)</f>
        <v>6447683</v>
      </c>
      <c r="AU23" s="286">
        <v>6447683</v>
      </c>
      <c r="AV23" s="286" t="b">
        <f>наценка7[[#This Row],[Аллио]]=наценка7[[#This Row],[Первичка тест]]</f>
        <v>1</v>
      </c>
    </row>
    <row r="24" spans="1:48" hidden="1" x14ac:dyDescent="0.25">
      <c r="A24" s="65">
        <v>22</v>
      </c>
      <c r="B24" s="2">
        <f>_xlfn.XLOOKUP(наценка7[[#This Row],[№]],Д402[№],Д402[Секция],"-",0)</f>
        <v>1</v>
      </c>
      <c r="C24" s="2">
        <f>_xlfn.XLOOKUP(наценка7[[#This Row],[№]],Д402[№],Д402[Этаж],"-",0)</f>
        <v>5</v>
      </c>
      <c r="D24" s="2">
        <f>_xlfn.XLOOKUP(наценка7[[#This Row],[№]],Д402[№],Д402[№ на этаже],"-",0)</f>
        <v>4</v>
      </c>
      <c r="E24" s="2">
        <f>_xlfn.XLOOKUP(наценка7[[#This Row],[№]],Д402[№],Д402[Тип кв],"-",0)</f>
        <v>2</v>
      </c>
      <c r="F24" s="51">
        <f>_xlfn.XLOOKUP(наценка7[[#This Row],[№]],Д402[№],Д402[Кухня],"-",0)</f>
        <v>15.16</v>
      </c>
      <c r="G24" s="51">
        <f>_xlfn.XLOOKUP(наценка7[[#This Row],[№]],Д402[№],Д402[Ванная],"-",0)</f>
        <v>4.4400000000000004</v>
      </c>
      <c r="H24" s="51" t="s">
        <v>87</v>
      </c>
      <c r="I24" s="51"/>
      <c r="J24" s="51" t="s">
        <v>101</v>
      </c>
      <c r="K24" s="51"/>
      <c r="L24" s="51"/>
      <c r="M24" s="51" t="s">
        <v>83</v>
      </c>
      <c r="N24" s="51"/>
      <c r="O24" s="51" t="s">
        <v>119</v>
      </c>
      <c r="P24" s="51" t="s">
        <v>101</v>
      </c>
      <c r="Q24" s="129"/>
      <c r="R24" s="129"/>
      <c r="S24" s="51"/>
      <c r="T24" s="51">
        <f>_xlfn.XLOOKUP(наценка7[[#This Row],[№]],Д402[№],Д402[Расчетная проектная площадь],"-",0)</f>
        <v>54.78</v>
      </c>
      <c r="U24" s="17">
        <f t="shared" si="1"/>
        <v>89000</v>
      </c>
      <c r="V2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4" s="18">
        <f>наценка7[[#This Row],[Цена м2 базовая]]*наценка7[[#This Row],[Базовой K]]</f>
        <v>113030</v>
      </c>
      <c r="X2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4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" s="55" t="str">
        <f>IF(наценка7[[#This Row],[Потолок ]]="ДА",коэффициенты!$C$13,"")</f>
        <v/>
      </c>
      <c r="AG2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" s="52">
        <f>SUM(наценка7[[#This Row],[еврокухня]:[Лифт]])*наценка7[[#This Row],[Цена м2 с БK]]+наценка7[[#This Row],[Цена м2 с БK]]</f>
        <v>119811.8</v>
      </c>
      <c r="AQ24" s="51">
        <f>VLOOKUP(наценка7[[#This Row],[№]],Д402[],COLUMN(Д402[[#This Row],[утв цена м2]]),0)</f>
        <v>121649.52</v>
      </c>
      <c r="AR24" s="3">
        <f>наценка7[[#This Row],[утв цена м2]]*наценка7[[#This Row],[Расчетная проектная площадь]]</f>
        <v>6663960.7056</v>
      </c>
      <c r="AS24" s="27" t="str">
        <f>VLOOKUP(наценка7[[#This Row],[№]],Д402[],COLUMN('Реестр ОН'!$BA$1),0)</f>
        <v>Стр. Резерв</v>
      </c>
      <c r="AT24" s="281">
        <f>ROUND(наценка7[[#This Row],[Цена м2 с учетом всех K]]*наценка7[[#This Row],[Расчетная проектная площадь]],0)</f>
        <v>6563290</v>
      </c>
      <c r="AU24" s="286">
        <v>6563290</v>
      </c>
      <c r="AV24" s="286" t="b">
        <f>наценка7[[#This Row],[Аллио]]=наценка7[[#This Row],[Первичка тест]]</f>
        <v>1</v>
      </c>
    </row>
    <row r="25" spans="1:48" hidden="1" x14ac:dyDescent="0.25">
      <c r="A25" s="65">
        <v>23</v>
      </c>
      <c r="B25" s="2">
        <f>_xlfn.XLOOKUP(наценка7[[#This Row],[№]],Д402[№],Д402[Секция],"-",0)</f>
        <v>1</v>
      </c>
      <c r="C25" s="2">
        <f>_xlfn.XLOOKUP(наценка7[[#This Row],[№]],Д402[№],Д402[Этаж],"-",0)</f>
        <v>5</v>
      </c>
      <c r="D25" s="2">
        <f>_xlfn.XLOOKUP(наценка7[[#This Row],[№]],Д402[№],Д402[№ на этаже],"-",0)</f>
        <v>5</v>
      </c>
      <c r="E25" s="2">
        <f>_xlfn.XLOOKUP(наценка7[[#This Row],[№]],Д402[№],Д402[Тип кв],"-",0)</f>
        <v>1</v>
      </c>
      <c r="F25" s="51">
        <f>_xlfn.XLOOKUP(наценка7[[#This Row],[№]],Д402[№],Д402[Кухня],"-",0)</f>
        <v>15.1</v>
      </c>
      <c r="G25" s="51">
        <f>_xlfn.XLOOKUP(наценка7[[#This Row],[№]],Д402[№],Д402[Ванная],"-",0)</f>
        <v>4.4400000000000004</v>
      </c>
      <c r="H25" s="51" t="s">
        <v>87</v>
      </c>
      <c r="I25" s="51"/>
      <c r="J25" s="51" t="s">
        <v>101</v>
      </c>
      <c r="K25" s="51" t="s">
        <v>101</v>
      </c>
      <c r="L25" s="51"/>
      <c r="M25" s="51" t="s">
        <v>83</v>
      </c>
      <c r="N25" s="51"/>
      <c r="O25" s="51" t="s">
        <v>119</v>
      </c>
      <c r="P25" s="51" t="s">
        <v>101</v>
      </c>
      <c r="Q25" s="129"/>
      <c r="R25" s="129"/>
      <c r="S25" s="51"/>
      <c r="T25" s="51">
        <f>_xlfn.XLOOKUP(наценка7[[#This Row],[№]],Д402[№],Д402[Расчетная проектная площадь],"-",0)</f>
        <v>37.01</v>
      </c>
      <c r="U25" s="17">
        <f t="shared" si="1"/>
        <v>89000</v>
      </c>
      <c r="V2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5" s="18">
        <f>наценка7[[#This Row],[Цена м2 базовая]]*наценка7[[#This Row],[Базовой K]]</f>
        <v>119260</v>
      </c>
      <c r="X2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5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" s="55" t="str">
        <f>IF(наценка7[[#This Row],[Потолок ]]="ДА",коэффициенты!$C$13,"")</f>
        <v/>
      </c>
      <c r="AG2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" s="52">
        <f>SUM(наценка7[[#This Row],[еврокухня]:[Лифт]])*наценка7[[#This Row],[Цена м2 с БK]]+наценка7[[#This Row],[Цена м2 с БK]]</f>
        <v>126415.6</v>
      </c>
      <c r="AQ25" s="51">
        <f>VLOOKUP(наценка7[[#This Row],[№]],Д402[],COLUMN(Д402[[#This Row],[утв цена м2]]),0)</f>
        <v>130176.41</v>
      </c>
      <c r="AR25" s="3">
        <f>наценка7[[#This Row],[утв цена м2]]*наценка7[[#This Row],[Расчетная проектная площадь]]</f>
        <v>4817828.9341000002</v>
      </c>
      <c r="AS25" s="27" t="str">
        <f>VLOOKUP(наценка7[[#This Row],[№]],Д402[],COLUMN('Реестр ОН'!$BA$1),0)</f>
        <v>Продажа</v>
      </c>
      <c r="AT25" s="281">
        <f>ROUND(наценка7[[#This Row],[Цена м2 с учетом всех K]]*наценка7[[#This Row],[Расчетная проектная площадь]],0)</f>
        <v>4678641</v>
      </c>
      <c r="AU25" s="286">
        <v>4678641</v>
      </c>
      <c r="AV25" s="286" t="b">
        <f>наценка7[[#This Row],[Аллио]]=наценка7[[#This Row],[Первичка тест]]</f>
        <v>1</v>
      </c>
    </row>
    <row r="26" spans="1:48" hidden="1" x14ac:dyDescent="0.25">
      <c r="A26" s="65">
        <v>24</v>
      </c>
      <c r="B26" s="2">
        <f>_xlfn.XLOOKUP(наценка7[[#This Row],[№]],Д402[№],Д402[Секция],"-",0)</f>
        <v>1</v>
      </c>
      <c r="C26" s="2">
        <f>_xlfn.XLOOKUP(наценка7[[#This Row],[№]],Д402[№],Д402[Этаж],"-",0)</f>
        <v>5</v>
      </c>
      <c r="D26" s="2">
        <f>_xlfn.XLOOKUP(наценка7[[#This Row],[№]],Д402[№],Д402[№ на этаже],"-",0)</f>
        <v>6</v>
      </c>
      <c r="E26" s="2">
        <f>_xlfn.XLOOKUP(наценка7[[#This Row],[№]],Д402[№],Д402[Тип кв],"-",0)</f>
        <v>1</v>
      </c>
      <c r="F26" s="51">
        <f>_xlfn.XLOOKUP(наценка7[[#This Row],[№]],Д402[№],Д402[Кухня],"-",0)</f>
        <v>16.93</v>
      </c>
      <c r="G26" s="51">
        <f>_xlfn.XLOOKUP(наценка7[[#This Row],[№]],Д402[№],Д402[Ванная],"-",0)</f>
        <v>4.46</v>
      </c>
      <c r="H26" s="51" t="s">
        <v>84</v>
      </c>
      <c r="I26" s="51"/>
      <c r="J26" s="51" t="s">
        <v>101</v>
      </c>
      <c r="K26" s="51" t="s">
        <v>101</v>
      </c>
      <c r="L26" s="51"/>
      <c r="M26" s="51" t="s">
        <v>83</v>
      </c>
      <c r="N26" s="51" t="s">
        <v>101</v>
      </c>
      <c r="O26" s="51" t="s">
        <v>119</v>
      </c>
      <c r="P26" s="51" t="s">
        <v>101</v>
      </c>
      <c r="Q26" s="129"/>
      <c r="R26" s="129"/>
      <c r="S26" s="51"/>
      <c r="T26" s="51">
        <f>_xlfn.XLOOKUP(наценка7[[#This Row],[№]],Д402[№],Д402[Расчетная проектная площадь],"-",0)</f>
        <v>45.26</v>
      </c>
      <c r="U26" s="17">
        <f t="shared" si="1"/>
        <v>89000</v>
      </c>
      <c r="V2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6" s="18">
        <f>наценка7[[#This Row],[Цена м2 базовая]]*наценка7[[#This Row],[Базовой K]]</f>
        <v>119260</v>
      </c>
      <c r="X2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" s="55" t="str">
        <f>IF(наценка7[[#This Row],[Потолок ]]="ДА",коэффициенты!$C$13,"")</f>
        <v/>
      </c>
      <c r="AG2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" s="52">
        <f>SUM(наценка7[[#This Row],[еврокухня]:[Лифт]])*наценка7[[#This Row],[Цена м2 с БK]]+наценка7[[#This Row],[Цена м2 с БK]]</f>
        <v>122837.8</v>
      </c>
      <c r="AQ26" s="51">
        <f>VLOOKUP(наценка7[[#This Row],[№]],Д402[],COLUMN(Д402[[#This Row],[утв цена м2]]),0)</f>
        <v>129740.87</v>
      </c>
      <c r="AR26" s="3">
        <f>наценка7[[#This Row],[утв цена м2]]*наценка7[[#This Row],[Расчетная проектная площадь]]</f>
        <v>5872071.7761999993</v>
      </c>
      <c r="AS26" s="27" t="str">
        <f>VLOOKUP(наценка7[[#This Row],[№]],Д402[],COLUMN('Реестр ОН'!$BA$1),0)</f>
        <v>Стр. Резерв</v>
      </c>
      <c r="AT26" s="281">
        <f>ROUND(наценка7[[#This Row],[Цена м2 с учетом всех K]]*наценка7[[#This Row],[Расчетная проектная площадь]],0)</f>
        <v>5559639</v>
      </c>
      <c r="AU26" s="286">
        <v>5559639</v>
      </c>
      <c r="AV26" s="286" t="b">
        <f>наценка7[[#This Row],[Аллио]]=наценка7[[#This Row],[Первичка тест]]</f>
        <v>1</v>
      </c>
    </row>
    <row r="27" spans="1:48" hidden="1" x14ac:dyDescent="0.25">
      <c r="A27" s="65">
        <v>25</v>
      </c>
      <c r="B27" s="2">
        <f>_xlfn.XLOOKUP(наценка7[[#This Row],[№]],Д402[№],Д402[Секция],"-",0)</f>
        <v>1</v>
      </c>
      <c r="C27" s="2">
        <f>_xlfn.XLOOKUP(наценка7[[#This Row],[№]],Д402[№],Д402[Этаж],"-",0)</f>
        <v>6</v>
      </c>
      <c r="D27" s="2">
        <f>_xlfn.XLOOKUP(наценка7[[#This Row],[№]],Д402[№],Д402[№ на этаже],"-",0)</f>
        <v>1</v>
      </c>
      <c r="E27" s="2">
        <f>_xlfn.XLOOKUP(наценка7[[#This Row],[№]],Д402[№],Д402[Тип кв],"-",0)</f>
        <v>0</v>
      </c>
      <c r="F27" s="51">
        <f>_xlfn.XLOOKUP(наценка7[[#This Row],[№]],Д402[№],Д402[Кухня],"-",0)</f>
        <v>6.15</v>
      </c>
      <c r="G27" s="51">
        <f>_xlfn.XLOOKUP(наценка7[[#This Row],[№]],Д402[№],Д402[Ванная],"-",0)</f>
        <v>5.0199999999999996</v>
      </c>
      <c r="H27" s="51" t="s">
        <v>84</v>
      </c>
      <c r="I27" s="51"/>
      <c r="J27" s="51"/>
      <c r="K27" s="51" t="s">
        <v>101</v>
      </c>
      <c r="L27" s="51" t="s">
        <v>119</v>
      </c>
      <c r="M27" s="51" t="s">
        <v>83</v>
      </c>
      <c r="N27" s="51"/>
      <c r="O27" s="51" t="s">
        <v>119</v>
      </c>
      <c r="P27" s="51"/>
      <c r="Q27" s="129"/>
      <c r="R27" s="51"/>
      <c r="S27" s="51" t="s">
        <v>101</v>
      </c>
      <c r="T27" s="51">
        <f>_xlfn.XLOOKUP(наценка7[[#This Row],[№]],Д402[№],Д402[Расчетная проектная площадь],"-",0)</f>
        <v>29.69</v>
      </c>
      <c r="U27" s="17">
        <f t="shared" si="1"/>
        <v>89000</v>
      </c>
      <c r="V2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7" s="18">
        <f>наценка7[[#This Row],[Цена м2 базовая]]*наценка7[[#This Row],[Базовой K]]</f>
        <v>139730</v>
      </c>
      <c r="X2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7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" s="55" t="str">
        <f>IF(наценка7[[#This Row],[Потолок ]]="ДА",коэффициенты!$C$13,"")</f>
        <v/>
      </c>
      <c r="AG2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7" s="52">
        <f>SUM(наценка7[[#This Row],[еврокухня]:[Лифт]])*наценка7[[#This Row],[Цена м2 с БK]]+наценка7[[#This Row],[Цена м2 с БK]]</f>
        <v>139730</v>
      </c>
      <c r="AQ27" s="51">
        <f>VLOOKUP(наценка7[[#This Row],[№]],Д402[],COLUMN(Д402[[#This Row],[утв цена м2]]),0)</f>
        <v>141162.5</v>
      </c>
      <c r="AR27" s="3">
        <f>наценка7[[#This Row],[утв цена м2]]*наценка7[[#This Row],[Расчетная проектная площадь]]</f>
        <v>4191114.625</v>
      </c>
      <c r="AS27" s="27" t="str">
        <f>VLOOKUP(наценка7[[#This Row],[№]],Д402[],COLUMN('Реестр ОН'!$BA$1),0)</f>
        <v>Свободно</v>
      </c>
      <c r="AT27" s="281">
        <f>ROUND(наценка7[[#This Row],[Цена м2 с учетом всех K]]*наценка7[[#This Row],[Расчетная проектная площадь]],0)</f>
        <v>4148584</v>
      </c>
      <c r="AU27" s="286">
        <v>4148584</v>
      </c>
      <c r="AV27" s="286" t="b">
        <f>наценка7[[#This Row],[Аллио]]=наценка7[[#This Row],[Первичка тест]]</f>
        <v>1</v>
      </c>
    </row>
    <row r="28" spans="1:48" hidden="1" x14ac:dyDescent="0.25">
      <c r="A28" s="65">
        <v>26</v>
      </c>
      <c r="B28" s="2">
        <f>_xlfn.XLOOKUP(наценка7[[#This Row],[№]],Д402[№],Д402[Секция],"-",0)</f>
        <v>1</v>
      </c>
      <c r="C28" s="2">
        <f>_xlfn.XLOOKUP(наценка7[[#This Row],[№]],Д402[№],Д402[Этаж],"-",0)</f>
        <v>6</v>
      </c>
      <c r="D28" s="2">
        <f>_xlfn.XLOOKUP(наценка7[[#This Row],[№]],Д402[№],Д402[№ на этаже],"-",0)</f>
        <v>2</v>
      </c>
      <c r="E28" s="2">
        <f>_xlfn.XLOOKUP(наценка7[[#This Row],[№]],Д402[№],Д402[Тип кв],"-",0)</f>
        <v>2</v>
      </c>
      <c r="F28" s="51">
        <f>_xlfn.XLOOKUP(наценка7[[#This Row],[№]],Д402[№],Д402[Кухня],"-",0)</f>
        <v>17.7</v>
      </c>
      <c r="G28" s="51">
        <f>_xlfn.XLOOKUP(наценка7[[#This Row],[№]],Д402[№],Д402[Ванная],"-",0)</f>
        <v>4.25</v>
      </c>
      <c r="H28" s="51" t="s">
        <v>85</v>
      </c>
      <c r="I28" s="51"/>
      <c r="J28" s="51" t="s">
        <v>101</v>
      </c>
      <c r="K28" s="51"/>
      <c r="L28" s="51"/>
      <c r="M28" s="51" t="s">
        <v>83</v>
      </c>
      <c r="N28" s="51"/>
      <c r="O28" s="51" t="s">
        <v>101</v>
      </c>
      <c r="P28" s="51" t="s">
        <v>101</v>
      </c>
      <c r="Q28" s="129"/>
      <c r="R28" s="51" t="s">
        <v>101</v>
      </c>
      <c r="S28" s="51"/>
      <c r="T28" s="51">
        <f>_xlfn.XLOOKUP(наценка7[[#This Row],[№]],Д402[№],Д402[Расчетная проектная площадь],"-",0)</f>
        <v>60.11</v>
      </c>
      <c r="U28" s="17">
        <f t="shared" si="1"/>
        <v>89000</v>
      </c>
      <c r="V2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" s="18">
        <f>наценка7[[#This Row],[Цена м2 базовая]]*наценка7[[#This Row],[Базовой K]]</f>
        <v>113030</v>
      </c>
      <c r="X2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" s="57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" s="55" t="str">
        <f>IF(наценка7[[#This Row],[Потолок ]]="ДА",коэффициенты!$C$13,"")</f>
        <v/>
      </c>
      <c r="AG2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8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" s="52">
        <f>SUM(наценка7[[#This Row],[еврокухня]:[Лифт]])*наценка7[[#This Row],[Цена м2 с БK]]+наценка7[[#This Row],[Цена м2 с БK]]</f>
        <v>119811.8</v>
      </c>
      <c r="AQ28" s="51">
        <f>VLOOKUP(наценка7[[#This Row],[№]],Д402[],COLUMN(Д402[[#This Row],[утв цена м2]]),0)</f>
        <v>125299.01</v>
      </c>
      <c r="AR28" s="3">
        <f>наценка7[[#This Row],[утв цена м2]]*наценка7[[#This Row],[Расчетная проектная площадь]]</f>
        <v>7531723.4910999993</v>
      </c>
      <c r="AS28" s="27" t="str">
        <f>VLOOKUP(наценка7[[#This Row],[№]],Д402[],COLUMN('Реестр ОН'!$BA$1),0)</f>
        <v>Стр. Резерв</v>
      </c>
      <c r="AT28" s="281">
        <f>ROUND(наценка7[[#This Row],[Цена м2 с учетом всех K]]*наценка7[[#This Row],[Расчетная проектная площадь]],0)</f>
        <v>7201887</v>
      </c>
      <c r="AU28" s="286">
        <v>7201887</v>
      </c>
      <c r="AV28" s="286" t="b">
        <f>наценка7[[#This Row],[Аллио]]=наценка7[[#This Row],[Первичка тест]]</f>
        <v>1</v>
      </c>
    </row>
    <row r="29" spans="1:48" hidden="1" x14ac:dyDescent="0.25">
      <c r="A29" s="65">
        <v>27</v>
      </c>
      <c r="B29" s="2">
        <f>_xlfn.XLOOKUP(наценка7[[#This Row],[№]],Д402[№],Д402[Секция],"-",0)</f>
        <v>1</v>
      </c>
      <c r="C29" s="2">
        <f>_xlfn.XLOOKUP(наценка7[[#This Row],[№]],Д402[№],Д402[Этаж],"-",0)</f>
        <v>6</v>
      </c>
      <c r="D29" s="2">
        <f>_xlfn.XLOOKUP(наценка7[[#This Row],[№]],Д402[№],Д402[№ на этаже],"-",0)</f>
        <v>3</v>
      </c>
      <c r="E29" s="2">
        <f>_xlfn.XLOOKUP(наценка7[[#This Row],[№]],Д402[№],Д402[Тип кв],"-",0)</f>
        <v>2</v>
      </c>
      <c r="F29" s="51">
        <f>_xlfn.XLOOKUP(наценка7[[#This Row],[№]],Д402[№],Д402[Кухня],"-",0)</f>
        <v>14.62</v>
      </c>
      <c r="G29" s="51">
        <f>_xlfn.XLOOKUP(наценка7[[#This Row],[№]],Д402[№],Д402[Ванная],"-",0)</f>
        <v>3.86</v>
      </c>
      <c r="H29" s="51" t="s">
        <v>87</v>
      </c>
      <c r="I29" s="51"/>
      <c r="J29" s="51" t="s">
        <v>101</v>
      </c>
      <c r="K29" s="51"/>
      <c r="L29" s="51"/>
      <c r="M29" s="51" t="s">
        <v>83</v>
      </c>
      <c r="N29" s="51"/>
      <c r="O29" s="51" t="s">
        <v>101</v>
      </c>
      <c r="P29" s="51" t="s">
        <v>101</v>
      </c>
      <c r="Q29" s="129" t="s">
        <v>101</v>
      </c>
      <c r="R29" s="129"/>
      <c r="S29" s="51"/>
      <c r="T29" s="51">
        <f>_xlfn.XLOOKUP(наценка7[[#This Row],[№]],Д402[№],Д402[Расчетная проектная площадь],"-",0)</f>
        <v>54.85</v>
      </c>
      <c r="U29" s="17">
        <f t="shared" si="1"/>
        <v>89000</v>
      </c>
      <c r="V2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9" s="18">
        <f>наценка7[[#This Row],[Цена м2 базовая]]*наценка7[[#This Row],[Базовой K]]</f>
        <v>113030</v>
      </c>
      <c r="X2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9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9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9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9" s="55" t="str">
        <f>IF(наценка7[[#This Row],[Потолок ]]="ДА",коэффициенты!$C$13,"")</f>
        <v/>
      </c>
      <c r="AG2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9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2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9" s="52">
        <f>SUM(наценка7[[#This Row],[еврокухня]:[Лифт]])*наценка7[[#This Row],[Цена м2 с БK]]+наценка7[[#This Row],[Цена м2 с БK]]</f>
        <v>118681.5</v>
      </c>
      <c r="AQ29" s="51">
        <f>VLOOKUP(наценка7[[#This Row],[№]],Д402[],COLUMN(Д402[[#This Row],[утв цена м2]]),0)</f>
        <v>120513.57</v>
      </c>
      <c r="AR29" s="3">
        <f>наценка7[[#This Row],[утв цена м2]]*наценка7[[#This Row],[Расчетная проектная площадь]]</f>
        <v>6610169.3145000003</v>
      </c>
      <c r="AS29" s="27" t="str">
        <f>VLOOKUP(наценка7[[#This Row],[№]],Д402[],COLUMN('Реестр ОН'!$BA$1),0)</f>
        <v>Стр. Резерв</v>
      </c>
      <c r="AT29" s="281">
        <f>ROUND(наценка7[[#This Row],[Цена м2 с учетом всех K]]*наценка7[[#This Row],[Расчетная проектная площадь]],0)</f>
        <v>6509680</v>
      </c>
      <c r="AU29" s="286">
        <v>6509680</v>
      </c>
      <c r="AV29" s="286" t="b">
        <f>наценка7[[#This Row],[Аллио]]=наценка7[[#This Row],[Первичка тест]]</f>
        <v>1</v>
      </c>
    </row>
    <row r="30" spans="1:48" hidden="1" x14ac:dyDescent="0.25">
      <c r="A30" s="65">
        <v>28</v>
      </c>
      <c r="B30" s="2">
        <f>_xlfn.XLOOKUP(наценка7[[#This Row],[№]],Д402[№],Д402[Секция],"-",0)</f>
        <v>1</v>
      </c>
      <c r="C30" s="2">
        <f>_xlfn.XLOOKUP(наценка7[[#This Row],[№]],Д402[№],Д402[Этаж],"-",0)</f>
        <v>6</v>
      </c>
      <c r="D30" s="2">
        <f>_xlfn.XLOOKUP(наценка7[[#This Row],[№]],Д402[№],Д402[№ на этаже],"-",0)</f>
        <v>4</v>
      </c>
      <c r="E30" s="2">
        <f>_xlfn.XLOOKUP(наценка7[[#This Row],[№]],Д402[№],Д402[Тип кв],"-",0)</f>
        <v>2</v>
      </c>
      <c r="F30" s="51">
        <f>_xlfn.XLOOKUP(наценка7[[#This Row],[№]],Д402[№],Д402[Кухня],"-",0)</f>
        <v>15.16</v>
      </c>
      <c r="G30" s="51">
        <f>_xlfn.XLOOKUP(наценка7[[#This Row],[№]],Д402[№],Д402[Ванная],"-",0)</f>
        <v>4.4400000000000004</v>
      </c>
      <c r="H30" s="51" t="s">
        <v>87</v>
      </c>
      <c r="I30" s="51"/>
      <c r="J30" s="51" t="s">
        <v>101</v>
      </c>
      <c r="K30" s="51"/>
      <c r="L30" s="51"/>
      <c r="M30" s="51" t="s">
        <v>83</v>
      </c>
      <c r="N30" s="51"/>
      <c r="O30" s="51" t="s">
        <v>119</v>
      </c>
      <c r="P30" s="51" t="s">
        <v>101</v>
      </c>
      <c r="Q30" s="51" t="s">
        <v>101</v>
      </c>
      <c r="R30" s="51"/>
      <c r="S30" s="51"/>
      <c r="T30" s="51">
        <f>_xlfn.XLOOKUP(наценка7[[#This Row],[№]],Д402[№],Д402[Расчетная проектная площадь],"-",0)</f>
        <v>54.78</v>
      </c>
      <c r="U30" s="17">
        <f t="shared" si="1"/>
        <v>89000</v>
      </c>
      <c r="V3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30" s="18">
        <f>наценка7[[#This Row],[Цена м2 базовая]]*наценка7[[#This Row],[Базовой K]]</f>
        <v>113030</v>
      </c>
      <c r="X3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0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3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0" s="55" t="str">
        <f>IF(наценка7[[#This Row],[Потолок ]]="ДА",коэффициенты!$C$13,"")</f>
        <v/>
      </c>
      <c r="AG3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3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30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3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0" s="52">
        <f>SUM(наценка7[[#This Row],[еврокухня]:[Лифт]])*наценка7[[#This Row],[Цена м2 с БK]]+наценка7[[#This Row],[Цена м2 с БK]]</f>
        <v>120942.1</v>
      </c>
      <c r="AQ30" s="51">
        <f>VLOOKUP(наценка7[[#This Row],[№]],Д402[],COLUMN(Д402[[#This Row],[утв цена м2]]),0)</f>
        <v>122785.47</v>
      </c>
      <c r="AR30" s="3">
        <f>наценка7[[#This Row],[утв цена м2]]*наценка7[[#This Row],[Расчетная проектная площадь]]</f>
        <v>6726188.0466</v>
      </c>
      <c r="AS30" s="27" t="str">
        <f>VLOOKUP(наценка7[[#This Row],[№]],Д402[],COLUMN('Реестр ОН'!$BA$1),0)</f>
        <v>Стр. Резерв</v>
      </c>
      <c r="AT30" s="281">
        <f>ROUND(наценка7[[#This Row],[Цена м2 с учетом всех K]]*наценка7[[#This Row],[Расчетная проектная площадь]],0)</f>
        <v>6625208</v>
      </c>
      <c r="AU30" s="286">
        <v>6625208</v>
      </c>
      <c r="AV30" s="286" t="b">
        <f>наценка7[[#This Row],[Аллио]]=наценка7[[#This Row],[Первичка тест]]</f>
        <v>1</v>
      </c>
    </row>
    <row r="31" spans="1:48" hidden="1" x14ac:dyDescent="0.25">
      <c r="A31" s="65">
        <v>29</v>
      </c>
      <c r="B31" s="2">
        <f>_xlfn.XLOOKUP(наценка7[[#This Row],[№]],Д402[№],Д402[Секция],"-",0)</f>
        <v>1</v>
      </c>
      <c r="C31" s="2">
        <f>_xlfn.XLOOKUP(наценка7[[#This Row],[№]],Д402[№],Д402[Этаж],"-",0)</f>
        <v>6</v>
      </c>
      <c r="D31" s="2">
        <f>_xlfn.XLOOKUP(наценка7[[#This Row],[№]],Д402[№],Д402[№ на этаже],"-",0)</f>
        <v>5</v>
      </c>
      <c r="E31" s="2">
        <f>_xlfn.XLOOKUP(наценка7[[#This Row],[№]],Д402[№],Д402[Тип кв],"-",0)</f>
        <v>1</v>
      </c>
      <c r="F31" s="51">
        <f>_xlfn.XLOOKUP(наценка7[[#This Row],[№]],Д402[№],Д402[Кухня],"-",0)</f>
        <v>15.1</v>
      </c>
      <c r="G31" s="51">
        <f>_xlfn.XLOOKUP(наценка7[[#This Row],[№]],Д402[№],Д402[Ванная],"-",0)</f>
        <v>4.4400000000000004</v>
      </c>
      <c r="H31" s="51" t="s">
        <v>87</v>
      </c>
      <c r="I31" s="51"/>
      <c r="J31" s="51" t="s">
        <v>101</v>
      </c>
      <c r="K31" s="51" t="s">
        <v>101</v>
      </c>
      <c r="L31" s="51"/>
      <c r="M31" s="51" t="s">
        <v>83</v>
      </c>
      <c r="N31" s="51"/>
      <c r="O31" s="51" t="s">
        <v>119</v>
      </c>
      <c r="P31" s="51" t="s">
        <v>101</v>
      </c>
      <c r="Q31" s="129"/>
      <c r="R31" s="129"/>
      <c r="S31" s="51"/>
      <c r="T31" s="51">
        <f>_xlfn.XLOOKUP(наценка7[[#This Row],[№]],Д402[№],Д402[Расчетная проектная площадь],"-",0)</f>
        <v>37.01</v>
      </c>
      <c r="U31" s="17">
        <f t="shared" si="1"/>
        <v>89000</v>
      </c>
      <c r="V3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31" s="18">
        <f>наценка7[[#This Row],[Цена м2 базовая]]*наценка7[[#This Row],[Базовой K]]</f>
        <v>119260</v>
      </c>
      <c r="X3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3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1" s="55" t="str">
        <f>IF(наценка7[[#This Row],[Потолок ]]="ДА",коэффициенты!$C$13,"")</f>
        <v/>
      </c>
      <c r="AG3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3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1" s="52">
        <f>SUM(наценка7[[#This Row],[еврокухня]:[Лифт]])*наценка7[[#This Row],[Цена м2 с БK]]+наценка7[[#This Row],[Цена м2 с БK]]</f>
        <v>126415.6</v>
      </c>
      <c r="AQ31" s="51">
        <f>VLOOKUP(наценка7[[#This Row],[№]],Д402[],COLUMN(Д402[[#This Row],[утв цена м2]]),0)</f>
        <v>128943.91</v>
      </c>
      <c r="AR31" s="3">
        <f>наценка7[[#This Row],[утв цена м2]]*наценка7[[#This Row],[Расчетная проектная площадь]]</f>
        <v>4772214.1091</v>
      </c>
      <c r="AS31" s="27" t="str">
        <f>VLOOKUP(наценка7[[#This Row],[№]],Д402[],COLUMN('Реестр ОН'!$BA$1),0)</f>
        <v>Продажа</v>
      </c>
      <c r="AT31" s="281">
        <f>ROUND(наценка7[[#This Row],[Цена м2 с учетом всех K]]*наценка7[[#This Row],[Расчетная проектная площадь]],0)</f>
        <v>4678641</v>
      </c>
      <c r="AU31" s="286">
        <v>4678641</v>
      </c>
      <c r="AV31" s="286" t="b">
        <f>наценка7[[#This Row],[Аллио]]=наценка7[[#This Row],[Первичка тест]]</f>
        <v>1</v>
      </c>
    </row>
    <row r="32" spans="1:48" hidden="1" x14ac:dyDescent="0.25">
      <c r="A32" s="65">
        <v>30</v>
      </c>
      <c r="B32" s="2">
        <f>_xlfn.XLOOKUP(наценка7[[#This Row],[№]],Д402[№],Д402[Секция],"-",0)</f>
        <v>1</v>
      </c>
      <c r="C32" s="2">
        <f>_xlfn.XLOOKUP(наценка7[[#This Row],[№]],Д402[№],Д402[Этаж],"-",0)</f>
        <v>6</v>
      </c>
      <c r="D32" s="2">
        <f>_xlfn.XLOOKUP(наценка7[[#This Row],[№]],Д402[№],Д402[№ на этаже],"-",0)</f>
        <v>6</v>
      </c>
      <c r="E32" s="2">
        <f>_xlfn.XLOOKUP(наценка7[[#This Row],[№]],Д402[№],Д402[Тип кв],"-",0)</f>
        <v>1</v>
      </c>
      <c r="F32" s="3">
        <f>_xlfn.XLOOKUP(наценка7[[#This Row],[№]],Д402[№],Д402[Кухня],"-",0)</f>
        <v>16.93</v>
      </c>
      <c r="G32" s="51">
        <f>_xlfn.XLOOKUP(наценка7[[#This Row],[№]],Д402[№],Д402[Ванная],"-",0)</f>
        <v>4.46</v>
      </c>
      <c r="H32" s="51" t="s">
        <v>84</v>
      </c>
      <c r="I32" s="51"/>
      <c r="J32" s="51" t="s">
        <v>101</v>
      </c>
      <c r="K32" s="51" t="s">
        <v>101</v>
      </c>
      <c r="L32" s="51"/>
      <c r="M32" s="51" t="s">
        <v>83</v>
      </c>
      <c r="N32" s="51" t="s">
        <v>101</v>
      </c>
      <c r="O32" s="51" t="s">
        <v>119</v>
      </c>
      <c r="P32" s="51" t="s">
        <v>101</v>
      </c>
      <c r="Q32" s="129"/>
      <c r="R32" s="129"/>
      <c r="S32" s="51"/>
      <c r="T32" s="51">
        <f>_xlfn.XLOOKUP(наценка7[[#This Row],[№]],Д402[№],Д402[Расчетная проектная площадь],"-",0)</f>
        <v>45.26</v>
      </c>
      <c r="U32" s="17">
        <f t="shared" si="1"/>
        <v>89000</v>
      </c>
      <c r="V3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32" s="18">
        <f>наценка7[[#This Row],[Цена м2 базовая]]*наценка7[[#This Row],[Базовой K]]</f>
        <v>119260</v>
      </c>
      <c r="X3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2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2" s="55" t="str">
        <f>IF(наценка7[[#This Row],[Потолок ]]="ДА",коэффициенты!$C$13,"")</f>
        <v/>
      </c>
      <c r="AG3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3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2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3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2" s="52">
        <f>SUM(наценка7[[#This Row],[еврокухня]:[Лифт]])*наценка7[[#This Row],[Цена м2 с БK]]+наценка7[[#This Row],[Цена м2 с БK]]</f>
        <v>122837.8</v>
      </c>
      <c r="AQ32" s="51">
        <f>VLOOKUP(наценка7[[#This Row],[№]],Д402[],COLUMN(Д402[[#This Row],[утв цена м2]]),0)</f>
        <v>129740.87</v>
      </c>
      <c r="AR32" s="3">
        <f>наценка7[[#This Row],[утв цена м2]]*наценка7[[#This Row],[Расчетная проектная площадь]]</f>
        <v>5872071.7761999993</v>
      </c>
      <c r="AS32" s="27" t="str">
        <f>VLOOKUP(наценка7[[#This Row],[№]],Д402[],COLUMN('Реестр ОН'!$BA$1),0)</f>
        <v>Стр. Резерв</v>
      </c>
      <c r="AT32" s="281">
        <f>ROUND(наценка7[[#This Row],[Цена м2 с учетом всех K]]*наценка7[[#This Row],[Расчетная проектная площадь]],0)</f>
        <v>5559639</v>
      </c>
      <c r="AU32" s="286">
        <v>5559639</v>
      </c>
      <c r="AV32" s="286" t="b">
        <f>наценка7[[#This Row],[Аллио]]=наценка7[[#This Row],[Первичка тест]]</f>
        <v>1</v>
      </c>
    </row>
    <row r="33" spans="1:48" hidden="1" x14ac:dyDescent="0.25">
      <c r="A33" s="65">
        <v>31</v>
      </c>
      <c r="B33" s="2">
        <f>_xlfn.XLOOKUP(наценка7[[#This Row],[№]],Д402[№],Д402[Секция],"-",0)</f>
        <v>1</v>
      </c>
      <c r="C33" s="2">
        <f>_xlfn.XLOOKUP(наценка7[[#This Row],[№]],Д402[№],Д402[Этаж],"-",0)</f>
        <v>7</v>
      </c>
      <c r="D33" s="2">
        <f>_xlfn.XLOOKUP(наценка7[[#This Row],[№]],Д402[№],Д402[№ на этаже],"-",0)</f>
        <v>1</v>
      </c>
      <c r="E33" s="2">
        <f>_xlfn.XLOOKUP(наценка7[[#This Row],[№]],Д402[№],Д402[Тип кв],"-",0)</f>
        <v>0</v>
      </c>
      <c r="F33" s="51">
        <f>_xlfn.XLOOKUP(наценка7[[#This Row],[№]],Д402[№],Д402[Кухня],"-",0)</f>
        <v>6.15</v>
      </c>
      <c r="G33" s="51">
        <f>_xlfn.XLOOKUP(наценка7[[#This Row],[№]],Д402[№],Д402[Ванная],"-",0)</f>
        <v>5.0199999999999996</v>
      </c>
      <c r="H33" s="51" t="s">
        <v>84</v>
      </c>
      <c r="I33" s="51"/>
      <c r="J33" s="51"/>
      <c r="K33" s="51" t="s">
        <v>101</v>
      </c>
      <c r="L33" s="51" t="s">
        <v>119</v>
      </c>
      <c r="M33" s="51" t="s">
        <v>83</v>
      </c>
      <c r="N33" s="51"/>
      <c r="O33" s="51" t="s">
        <v>119</v>
      </c>
      <c r="P33" s="51"/>
      <c r="Q33" s="129"/>
      <c r="R33" s="51"/>
      <c r="S33" s="51" t="s">
        <v>101</v>
      </c>
      <c r="T33" s="51">
        <f>_xlfn.XLOOKUP(наценка7[[#This Row],[№]],Д402[№],Д402[Расчетная проектная площадь],"-",0)</f>
        <v>29.69</v>
      </c>
      <c r="U33" s="17">
        <f t="shared" si="1"/>
        <v>89000</v>
      </c>
      <c r="V3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33" s="18">
        <f>наценка7[[#This Row],[Цена м2 базовая]]*наценка7[[#This Row],[Базовой K]]</f>
        <v>139730</v>
      </c>
      <c r="X3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3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3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3" s="55" t="str">
        <f>IF(наценка7[[#This Row],[Потолок ]]="ДА",коэффициенты!$C$13,"")</f>
        <v/>
      </c>
      <c r="AG3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3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3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3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33" s="52">
        <f>SUM(наценка7[[#This Row],[еврокухня]:[Лифт]])*наценка7[[#This Row],[Цена м2 с БK]]+наценка7[[#This Row],[Цена м2 с БK]]</f>
        <v>139730</v>
      </c>
      <c r="AQ33" s="51">
        <f>VLOOKUP(наценка7[[#This Row],[№]],Д402[],COLUMN(Д402[[#This Row],[утв цена м2]]),0)</f>
        <v>141162.5</v>
      </c>
      <c r="AR33" s="3">
        <f>наценка7[[#This Row],[утв цена м2]]*наценка7[[#This Row],[Расчетная проектная площадь]]</f>
        <v>4191114.625</v>
      </c>
      <c r="AS33" s="27" t="str">
        <f>VLOOKUP(наценка7[[#This Row],[№]],Д402[],COLUMN('Реестр ОН'!$BA$1),0)</f>
        <v>Свободно</v>
      </c>
      <c r="AT33" s="281">
        <f>ROUND(наценка7[[#This Row],[Цена м2 с учетом всех K]]*наценка7[[#This Row],[Расчетная проектная площадь]],0)</f>
        <v>4148584</v>
      </c>
      <c r="AU33" s="286">
        <v>4148584</v>
      </c>
      <c r="AV33" s="286" t="b">
        <f>наценка7[[#This Row],[Аллио]]=наценка7[[#This Row],[Первичка тест]]</f>
        <v>1</v>
      </c>
    </row>
    <row r="34" spans="1:48" hidden="1" x14ac:dyDescent="0.25">
      <c r="A34" s="65">
        <v>32</v>
      </c>
      <c r="B34" s="2">
        <f>_xlfn.XLOOKUP(наценка7[[#This Row],[№]],Д402[№],Д402[Секция],"-",0)</f>
        <v>1</v>
      </c>
      <c r="C34" s="2">
        <f>_xlfn.XLOOKUP(наценка7[[#This Row],[№]],Д402[№],Д402[Этаж],"-",0)</f>
        <v>7</v>
      </c>
      <c r="D34" s="2">
        <f>_xlfn.XLOOKUP(наценка7[[#This Row],[№]],Д402[№],Д402[№ на этаже],"-",0)</f>
        <v>2</v>
      </c>
      <c r="E34" s="2">
        <f>_xlfn.XLOOKUP(наценка7[[#This Row],[№]],Д402[№],Д402[Тип кв],"-",0)</f>
        <v>2</v>
      </c>
      <c r="F34" s="51">
        <f>_xlfn.XLOOKUP(наценка7[[#This Row],[№]],Д402[№],Д402[Кухня],"-",0)</f>
        <v>17.7</v>
      </c>
      <c r="G34" s="51">
        <f>_xlfn.XLOOKUP(наценка7[[#This Row],[№]],Д402[№],Д402[Ванная],"-",0)</f>
        <v>4.25</v>
      </c>
      <c r="H34" s="51" t="s">
        <v>85</v>
      </c>
      <c r="I34" s="51"/>
      <c r="J34" s="51" t="s">
        <v>101</v>
      </c>
      <c r="K34" s="51"/>
      <c r="L34" s="51"/>
      <c r="M34" s="51" t="s">
        <v>83</v>
      </c>
      <c r="N34" s="51"/>
      <c r="O34" s="51" t="s">
        <v>101</v>
      </c>
      <c r="P34" s="51" t="s">
        <v>101</v>
      </c>
      <c r="Q34" s="129"/>
      <c r="R34" s="51" t="s">
        <v>101</v>
      </c>
      <c r="S34" s="51"/>
      <c r="T34" s="51">
        <f>_xlfn.XLOOKUP(наценка7[[#This Row],[№]],Д402[№],Д402[Расчетная проектная площадь],"-",0)</f>
        <v>60.11</v>
      </c>
      <c r="U34" s="17">
        <f t="shared" si="1"/>
        <v>89000</v>
      </c>
      <c r="V3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34" s="18">
        <f>наценка7[[#This Row],[Цена м2 базовая]]*наценка7[[#This Row],[Базовой K]]</f>
        <v>113030</v>
      </c>
      <c r="X3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34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4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4" s="55" t="str">
        <f>IF(наценка7[[#This Row],[Потолок ]]="ДА",коэффициенты!$C$13,"")</f>
        <v/>
      </c>
      <c r="AG3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34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34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3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3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4" s="52">
        <f>SUM(наценка7[[#This Row],[еврокухня]:[Лифт]])*наценка7[[#This Row],[Цена м2 с БK]]+наценка7[[#This Row],[Цена м2 с БK]]</f>
        <v>119811.8</v>
      </c>
      <c r="AQ34" s="51">
        <f>VLOOKUP(наценка7[[#This Row],[№]],Д402[],COLUMN(Д402[[#This Row],[утв цена м2]]),0)</f>
        <v>125299.01</v>
      </c>
      <c r="AR34" s="3">
        <f>наценка7[[#This Row],[утв цена м2]]*наценка7[[#This Row],[Расчетная проектная площадь]]</f>
        <v>7531723.4910999993</v>
      </c>
      <c r="AS34" s="27" t="str">
        <f>VLOOKUP(наценка7[[#This Row],[№]],Д402[],COLUMN('Реестр ОН'!$BA$1),0)</f>
        <v>Стр. Резерв</v>
      </c>
      <c r="AT34" s="281">
        <f>ROUND(наценка7[[#This Row],[Цена м2 с учетом всех K]]*наценка7[[#This Row],[Расчетная проектная площадь]],0)</f>
        <v>7201887</v>
      </c>
      <c r="AU34" s="286">
        <v>7201887</v>
      </c>
      <c r="AV34" s="286" t="b">
        <f>наценка7[[#This Row],[Аллио]]=наценка7[[#This Row],[Первичка тест]]</f>
        <v>1</v>
      </c>
    </row>
    <row r="35" spans="1:48" hidden="1" x14ac:dyDescent="0.25">
      <c r="A35" s="65">
        <v>33</v>
      </c>
      <c r="B35" s="2">
        <f>_xlfn.XLOOKUP(наценка7[[#This Row],[№]],Д402[№],Д402[Секция],"-",0)</f>
        <v>1</v>
      </c>
      <c r="C35" s="2">
        <f>_xlfn.XLOOKUP(наценка7[[#This Row],[№]],Д402[№],Д402[Этаж],"-",0)</f>
        <v>7</v>
      </c>
      <c r="D35" s="2">
        <f>_xlfn.XLOOKUP(наценка7[[#This Row],[№]],Д402[№],Д402[№ на этаже],"-",0)</f>
        <v>3</v>
      </c>
      <c r="E35" s="2">
        <f>_xlfn.XLOOKUP(наценка7[[#This Row],[№]],Д402[№],Д402[Тип кв],"-",0)</f>
        <v>2</v>
      </c>
      <c r="F35" s="51">
        <f>_xlfn.XLOOKUP(наценка7[[#This Row],[№]],Д402[№],Д402[Кухня],"-",0)</f>
        <v>14.62</v>
      </c>
      <c r="G35" s="51">
        <f>_xlfn.XLOOKUP(наценка7[[#This Row],[№]],Д402[№],Д402[Ванная],"-",0)</f>
        <v>3.86</v>
      </c>
      <c r="H35" s="51" t="s">
        <v>87</v>
      </c>
      <c r="I35" s="51"/>
      <c r="J35" s="51" t="s">
        <v>101</v>
      </c>
      <c r="K35" s="51"/>
      <c r="L35" s="51"/>
      <c r="M35" s="51" t="s">
        <v>83</v>
      </c>
      <c r="N35" s="51"/>
      <c r="O35" s="51" t="s">
        <v>101</v>
      </c>
      <c r="P35" s="51" t="s">
        <v>101</v>
      </c>
      <c r="Q35" s="129"/>
      <c r="R35" s="129"/>
      <c r="S35" s="51"/>
      <c r="T35" s="51">
        <f>_xlfn.XLOOKUP(наценка7[[#This Row],[№]],Д402[№],Д402[Расчетная проектная площадь],"-",0)</f>
        <v>54.85</v>
      </c>
      <c r="U35" s="17">
        <f t="shared" si="1"/>
        <v>89000</v>
      </c>
      <c r="V3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35" s="18">
        <f>наценка7[[#This Row],[Цена м2 базовая]]*наценка7[[#This Row],[Базовой K]]</f>
        <v>113030</v>
      </c>
      <c r="X3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5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3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3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5" s="55" t="str">
        <f>IF(наценка7[[#This Row],[Потолок ]]="ДА",коэффициенты!$C$13,"")</f>
        <v/>
      </c>
      <c r="AG3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3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3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5" s="52">
        <f>SUM(наценка7[[#This Row],[еврокухня]:[Лифт]])*наценка7[[#This Row],[Цена м2 с БK]]+наценка7[[#This Row],[Цена м2 с БK]]</f>
        <v>117551.2</v>
      </c>
      <c r="AQ35" s="51">
        <f>VLOOKUP(наценка7[[#This Row],[№]],Д402[],COLUMN(Д402[[#This Row],[утв цена м2]]),0)</f>
        <v>119377.62</v>
      </c>
      <c r="AR35" s="3">
        <f>наценка7[[#This Row],[утв цена м2]]*наценка7[[#This Row],[Расчетная проектная площадь]]</f>
        <v>6547862.4569999995</v>
      </c>
      <c r="AS35" s="27" t="str">
        <f>VLOOKUP(наценка7[[#This Row],[№]],Д402[],COLUMN('Реестр ОН'!$BA$1),0)</f>
        <v>Свободно</v>
      </c>
      <c r="AT35" s="281">
        <f>ROUND(наценка7[[#This Row],[Цена м2 с учетом всех K]]*наценка7[[#This Row],[Расчетная проектная площадь]],0)</f>
        <v>6447683</v>
      </c>
      <c r="AU35" s="286">
        <v>6447683</v>
      </c>
      <c r="AV35" s="286" t="b">
        <f>наценка7[[#This Row],[Аллио]]=наценка7[[#This Row],[Первичка тест]]</f>
        <v>1</v>
      </c>
    </row>
    <row r="36" spans="1:48" hidden="1" x14ac:dyDescent="0.25">
      <c r="A36" s="65">
        <v>34</v>
      </c>
      <c r="B36" s="2">
        <f>_xlfn.XLOOKUP(наценка7[[#This Row],[№]],Д402[№],Д402[Секция],"-",0)</f>
        <v>1</v>
      </c>
      <c r="C36" s="2">
        <f>_xlfn.XLOOKUP(наценка7[[#This Row],[№]],Д402[№],Д402[Этаж],"-",0)</f>
        <v>7</v>
      </c>
      <c r="D36" s="2">
        <f>_xlfn.XLOOKUP(наценка7[[#This Row],[№]],Д402[№],Д402[№ на этаже],"-",0)</f>
        <v>4</v>
      </c>
      <c r="E36" s="2">
        <f>_xlfn.XLOOKUP(наценка7[[#This Row],[№]],Д402[№],Д402[Тип кв],"-",0)</f>
        <v>2</v>
      </c>
      <c r="F36" s="51">
        <f>_xlfn.XLOOKUP(наценка7[[#This Row],[№]],Д402[№],Д402[Кухня],"-",0)</f>
        <v>15.16</v>
      </c>
      <c r="G36" s="51">
        <f>_xlfn.XLOOKUP(наценка7[[#This Row],[№]],Д402[№],Д402[Ванная],"-",0)</f>
        <v>4.4400000000000004</v>
      </c>
      <c r="H36" s="51" t="s">
        <v>87</v>
      </c>
      <c r="I36" s="51"/>
      <c r="J36" s="51" t="s">
        <v>101</v>
      </c>
      <c r="K36" s="51"/>
      <c r="L36" s="51"/>
      <c r="M36" s="51" t="s">
        <v>83</v>
      </c>
      <c r="N36" s="51"/>
      <c r="O36" s="51" t="s">
        <v>119</v>
      </c>
      <c r="P36" s="51" t="s">
        <v>101</v>
      </c>
      <c r="Q36" s="129"/>
      <c r="R36" s="129"/>
      <c r="S36" s="51"/>
      <c r="T36" s="51">
        <f>_xlfn.XLOOKUP(наценка7[[#This Row],[№]],Д402[№],Д402[Расчетная проектная площадь],"-",0)</f>
        <v>54.78</v>
      </c>
      <c r="U36" s="17">
        <f t="shared" si="1"/>
        <v>89000</v>
      </c>
      <c r="V3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36" s="18">
        <f>наценка7[[#This Row],[Цена м2 базовая]]*наценка7[[#This Row],[Базовой K]]</f>
        <v>113030</v>
      </c>
      <c r="X3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6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3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6" s="55" t="str">
        <f>IF(наценка7[[#This Row],[Потолок ]]="ДА",коэффициенты!$C$13,"")</f>
        <v/>
      </c>
      <c r="AG3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3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3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6" s="52">
        <f>SUM(наценка7[[#This Row],[еврокухня]:[Лифт]])*наценка7[[#This Row],[Цена м2 с БK]]+наценка7[[#This Row],[Цена м2 с БK]]</f>
        <v>119811.8</v>
      </c>
      <c r="AQ36" s="51">
        <f>VLOOKUP(наценка7[[#This Row],[№]],Д402[],COLUMN(Д402[[#This Row],[утв цена м2]]),0)</f>
        <v>121649.52</v>
      </c>
      <c r="AR36" s="3">
        <f>наценка7[[#This Row],[утв цена м2]]*наценка7[[#This Row],[Расчетная проектная площадь]]</f>
        <v>6663960.7056</v>
      </c>
      <c r="AS36" s="27" t="str">
        <f>VLOOKUP(наценка7[[#This Row],[№]],Д402[],COLUMN('Реестр ОН'!$BA$1),0)</f>
        <v>Стр. Резерв</v>
      </c>
      <c r="AT36" s="281">
        <f>ROUND(наценка7[[#This Row],[Цена м2 с учетом всех K]]*наценка7[[#This Row],[Расчетная проектная площадь]],0)</f>
        <v>6563290</v>
      </c>
      <c r="AU36" s="286">
        <v>6563290</v>
      </c>
      <c r="AV36" s="286" t="b">
        <f>наценка7[[#This Row],[Аллио]]=наценка7[[#This Row],[Первичка тест]]</f>
        <v>1</v>
      </c>
    </row>
    <row r="37" spans="1:48" hidden="1" x14ac:dyDescent="0.25">
      <c r="A37" s="65">
        <v>35</v>
      </c>
      <c r="B37" s="2">
        <f>_xlfn.XLOOKUP(наценка7[[#This Row],[№]],Д402[№],Д402[Секция],"-",0)</f>
        <v>1</v>
      </c>
      <c r="C37" s="2">
        <f>_xlfn.XLOOKUP(наценка7[[#This Row],[№]],Д402[№],Д402[Этаж],"-",0)</f>
        <v>7</v>
      </c>
      <c r="D37" s="2">
        <f>_xlfn.XLOOKUP(наценка7[[#This Row],[№]],Д402[№],Д402[№ на этаже],"-",0)</f>
        <v>5</v>
      </c>
      <c r="E37" s="2">
        <f>_xlfn.XLOOKUP(наценка7[[#This Row],[№]],Д402[№],Д402[Тип кв],"-",0)</f>
        <v>1</v>
      </c>
      <c r="F37" s="51">
        <f>_xlfn.XLOOKUP(наценка7[[#This Row],[№]],Д402[№],Д402[Кухня],"-",0)</f>
        <v>15.1</v>
      </c>
      <c r="G37" s="51">
        <f>_xlfn.XLOOKUP(наценка7[[#This Row],[№]],Д402[№],Д402[Ванная],"-",0)</f>
        <v>4.4400000000000004</v>
      </c>
      <c r="H37" s="51" t="s">
        <v>87</v>
      </c>
      <c r="I37" s="51"/>
      <c r="J37" s="51" t="s">
        <v>101</v>
      </c>
      <c r="K37" s="51" t="s">
        <v>101</v>
      </c>
      <c r="L37" s="51"/>
      <c r="M37" s="51" t="s">
        <v>83</v>
      </c>
      <c r="N37" s="51"/>
      <c r="O37" s="51" t="s">
        <v>119</v>
      </c>
      <c r="P37" s="51"/>
      <c r="Q37" s="129"/>
      <c r="R37" s="129"/>
      <c r="S37" s="51"/>
      <c r="T37" s="51">
        <f>_xlfn.XLOOKUP(наценка7[[#This Row],[№]],Д402[№],Д402[Расчетная проектная площадь],"-",0)</f>
        <v>37.01</v>
      </c>
      <c r="U37" s="17">
        <f t="shared" si="1"/>
        <v>89000</v>
      </c>
      <c r="V3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37" s="18">
        <f>наценка7[[#This Row],[Цена м2 базовая]]*наценка7[[#This Row],[Базовой K]]</f>
        <v>119260</v>
      </c>
      <c r="X3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7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3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3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7" s="55" t="str">
        <f>IF(наценка7[[#This Row],[Потолок ]]="ДА",коэффициенты!$C$13,"")</f>
        <v/>
      </c>
      <c r="AG3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3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7" s="52">
        <f>SUM(наценка7[[#This Row],[еврокухня]:[Лифт]])*наценка7[[#This Row],[Цена м2 с БK]]+наценка7[[#This Row],[Цена м2 с БK]]</f>
        <v>124030.39999999999</v>
      </c>
      <c r="AQ37" s="51">
        <f>VLOOKUP(наценка7[[#This Row],[№]],Д402[],COLUMN(Д402[[#This Row],[утв цена м2]]),0)</f>
        <v>126511.01</v>
      </c>
      <c r="AR37" s="3">
        <f>наценка7[[#This Row],[утв цена м2]]*наценка7[[#This Row],[Расчетная проектная площадь]]</f>
        <v>4682172.4800999993</v>
      </c>
      <c r="AS37" s="27" t="str">
        <f>VLOOKUP(наценка7[[#This Row],[№]],Д402[],COLUMN('Реестр ОН'!$BA$1),0)</f>
        <v>Продажа</v>
      </c>
      <c r="AT37" s="281">
        <f>ROUND(наценка7[[#This Row],[Цена м2 с учетом всех K]]*наценка7[[#This Row],[Расчетная проектная площадь]],0)</f>
        <v>4590365</v>
      </c>
      <c r="AU37" s="286">
        <v>4590365</v>
      </c>
      <c r="AV37" s="286" t="b">
        <f>наценка7[[#This Row],[Аллио]]=наценка7[[#This Row],[Первичка тест]]</f>
        <v>1</v>
      </c>
    </row>
    <row r="38" spans="1:48" hidden="1" x14ac:dyDescent="0.25">
      <c r="A38" s="65">
        <v>36</v>
      </c>
      <c r="B38" s="2">
        <f>_xlfn.XLOOKUP(наценка7[[#This Row],[№]],Д402[№],Д402[Секция],"-",0)</f>
        <v>1</v>
      </c>
      <c r="C38" s="2">
        <f>_xlfn.XLOOKUP(наценка7[[#This Row],[№]],Д402[№],Д402[Этаж],"-",0)</f>
        <v>7</v>
      </c>
      <c r="D38" s="2">
        <f>_xlfn.XLOOKUP(наценка7[[#This Row],[№]],Д402[№],Д402[№ на этаже],"-",0)</f>
        <v>6</v>
      </c>
      <c r="E38" s="2">
        <f>_xlfn.XLOOKUP(наценка7[[#This Row],[№]],Д402[№],Д402[Тип кв],"-",0)</f>
        <v>1</v>
      </c>
      <c r="F38" s="51">
        <f>_xlfn.XLOOKUP(наценка7[[#This Row],[№]],Д402[№],Д402[Кухня],"-",0)</f>
        <v>16.93</v>
      </c>
      <c r="G38" s="51">
        <f>_xlfn.XLOOKUP(наценка7[[#This Row],[№]],Д402[№],Д402[Ванная],"-",0)</f>
        <v>4.46</v>
      </c>
      <c r="H38" s="51" t="s">
        <v>84</v>
      </c>
      <c r="I38" s="51"/>
      <c r="J38" s="51" t="s">
        <v>101</v>
      </c>
      <c r="K38" s="51" t="s">
        <v>101</v>
      </c>
      <c r="L38" s="51"/>
      <c r="M38" s="51" t="s">
        <v>83</v>
      </c>
      <c r="N38" s="51" t="s">
        <v>101</v>
      </c>
      <c r="O38" s="51" t="s">
        <v>119</v>
      </c>
      <c r="P38" s="51" t="s">
        <v>101</v>
      </c>
      <c r="Q38" s="129"/>
      <c r="R38" s="129"/>
      <c r="S38" s="51"/>
      <c r="T38" s="51">
        <f>_xlfn.XLOOKUP(наценка7[[#This Row],[№]],Д402[№],Д402[Расчетная проектная площадь],"-",0)</f>
        <v>45.26</v>
      </c>
      <c r="U38" s="17">
        <f t="shared" si="1"/>
        <v>89000</v>
      </c>
      <c r="V3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38" s="18">
        <f>наценка7[[#This Row],[Цена м2 базовая]]*наценка7[[#This Row],[Базовой K]]</f>
        <v>119260</v>
      </c>
      <c r="X3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3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3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8" s="55" t="str">
        <f>IF(наценка7[[#This Row],[Потолок ]]="ДА",коэффициенты!$C$13,"")</f>
        <v/>
      </c>
      <c r="AG3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3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3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8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3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38" s="52">
        <f>SUM(наценка7[[#This Row],[еврокухня]:[Лифт]])*наценка7[[#This Row],[Цена м2 с БK]]+наценка7[[#This Row],[Цена м2 с БK]]</f>
        <v>122837.8</v>
      </c>
      <c r="AQ38" s="51">
        <f>VLOOKUP(наценка7[[#This Row],[№]],Д402[],COLUMN(Д402[[#This Row],[утв цена м2]]),0)</f>
        <v>127196.93</v>
      </c>
      <c r="AR38" s="3">
        <f>наценка7[[#This Row],[утв цена м2]]*наценка7[[#This Row],[Расчетная проектная площадь]]</f>
        <v>5756933.0517999995</v>
      </c>
      <c r="AS38" s="27" t="str">
        <f>VLOOKUP(наценка7[[#This Row],[№]],Д402[],COLUMN('Реестр ОН'!$BA$1),0)</f>
        <v>Продажа</v>
      </c>
      <c r="AT38" s="281">
        <f>ROUND(наценка7[[#This Row],[Цена м2 с учетом всех K]]*наценка7[[#This Row],[Расчетная проектная площадь]],0)</f>
        <v>5559639</v>
      </c>
      <c r="AU38" s="286">
        <v>5559639</v>
      </c>
      <c r="AV38" s="286" t="b">
        <f>наценка7[[#This Row],[Аллио]]=наценка7[[#This Row],[Первичка тест]]</f>
        <v>1</v>
      </c>
    </row>
    <row r="39" spans="1:48" hidden="1" x14ac:dyDescent="0.25">
      <c r="A39" s="65">
        <v>37</v>
      </c>
      <c r="B39" s="2">
        <f>_xlfn.XLOOKUP(наценка7[[#This Row],[№]],Д402[№],Д402[Секция],"-",0)</f>
        <v>1</v>
      </c>
      <c r="C39" s="2">
        <f>_xlfn.XLOOKUP(наценка7[[#This Row],[№]],Д402[№],Д402[Этаж],"-",0)</f>
        <v>8</v>
      </c>
      <c r="D39" s="2">
        <f>_xlfn.XLOOKUP(наценка7[[#This Row],[№]],Д402[№],Д402[№ на этаже],"-",0)</f>
        <v>1</v>
      </c>
      <c r="E39" s="2">
        <f>_xlfn.XLOOKUP(наценка7[[#This Row],[№]],Д402[№],Д402[Тип кв],"-",0)</f>
        <v>0</v>
      </c>
      <c r="F39" s="51">
        <f>_xlfn.XLOOKUP(наценка7[[#This Row],[№]],Д402[№],Д402[Кухня],"-",0)</f>
        <v>6.15</v>
      </c>
      <c r="G39" s="51">
        <f>_xlfn.XLOOKUP(наценка7[[#This Row],[№]],Д402[№],Д402[Ванная],"-",0)</f>
        <v>5.0199999999999996</v>
      </c>
      <c r="H39" s="51" t="s">
        <v>84</v>
      </c>
      <c r="I39" s="51"/>
      <c r="J39" s="51"/>
      <c r="K39" s="51" t="s">
        <v>101</v>
      </c>
      <c r="L39" s="51" t="s">
        <v>119</v>
      </c>
      <c r="M39" s="51" t="s">
        <v>83</v>
      </c>
      <c r="N39" s="51"/>
      <c r="O39" s="51" t="s">
        <v>119</v>
      </c>
      <c r="P39" s="51"/>
      <c r="Q39" s="129"/>
      <c r="R39" s="51"/>
      <c r="S39" s="51" t="s">
        <v>101</v>
      </c>
      <c r="T39" s="51">
        <f>_xlfn.XLOOKUP(наценка7[[#This Row],[№]],Д402[№],Д402[Расчетная проектная площадь],"-",0)</f>
        <v>29.69</v>
      </c>
      <c r="U39" s="17">
        <f t="shared" si="1"/>
        <v>89000</v>
      </c>
      <c r="V3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39" s="18">
        <f>наценка7[[#This Row],[Цена м2 базовая]]*наценка7[[#This Row],[Базовой K]]</f>
        <v>139730</v>
      </c>
      <c r="X3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3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3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39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3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3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3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3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39" s="55" t="str">
        <f>IF(наценка7[[#This Row],[Потолок ]]="ДА",коэффициенты!$C$13,"")</f>
        <v/>
      </c>
      <c r="AG3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3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3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3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3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3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3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3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39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39" s="52">
        <f>SUM(наценка7[[#This Row],[еврокухня]:[Лифт]])*наценка7[[#This Row],[Цена м2 с БK]]+наценка7[[#This Row],[Цена м2 с БK]]</f>
        <v>139730</v>
      </c>
      <c r="AQ39" s="51">
        <f>VLOOKUP(наценка7[[#This Row],[№]],Д402[],COLUMN(Д402[[#This Row],[утв цена м2]]),0)</f>
        <v>141162.5</v>
      </c>
      <c r="AR39" s="3">
        <f>наценка7[[#This Row],[утв цена м2]]*наценка7[[#This Row],[Расчетная проектная площадь]]</f>
        <v>4191114.625</v>
      </c>
      <c r="AS39" s="27" t="str">
        <f>VLOOKUP(наценка7[[#This Row],[№]],Д402[],COLUMN('Реестр ОН'!$BA$1),0)</f>
        <v>Стр. Резерв</v>
      </c>
      <c r="AT39" s="281">
        <f>ROUND(наценка7[[#This Row],[Цена м2 с учетом всех K]]*наценка7[[#This Row],[Расчетная проектная площадь]],0)</f>
        <v>4148584</v>
      </c>
      <c r="AU39" s="286">
        <v>4148584</v>
      </c>
      <c r="AV39" s="286" t="b">
        <f>наценка7[[#This Row],[Аллио]]=наценка7[[#This Row],[Первичка тест]]</f>
        <v>1</v>
      </c>
    </row>
    <row r="40" spans="1:48" hidden="1" x14ac:dyDescent="0.25">
      <c r="A40" s="65">
        <v>38</v>
      </c>
      <c r="B40" s="2">
        <f>_xlfn.XLOOKUP(наценка7[[#This Row],[№]],Д402[№],Д402[Секция],"-",0)</f>
        <v>1</v>
      </c>
      <c r="C40" s="2">
        <f>_xlfn.XLOOKUP(наценка7[[#This Row],[№]],Д402[№],Д402[Этаж],"-",0)</f>
        <v>8</v>
      </c>
      <c r="D40" s="2">
        <f>_xlfn.XLOOKUP(наценка7[[#This Row],[№]],Д402[№],Д402[№ на этаже],"-",0)</f>
        <v>2</v>
      </c>
      <c r="E40" s="2">
        <f>_xlfn.XLOOKUP(наценка7[[#This Row],[№]],Д402[№],Д402[Тип кв],"-",0)</f>
        <v>2</v>
      </c>
      <c r="F40" s="51">
        <f>_xlfn.XLOOKUP(наценка7[[#This Row],[№]],Д402[№],Д402[Кухня],"-",0)</f>
        <v>17.7</v>
      </c>
      <c r="G40" s="51">
        <f>_xlfn.XLOOKUP(наценка7[[#This Row],[№]],Д402[№],Д402[Ванная],"-",0)</f>
        <v>4.25</v>
      </c>
      <c r="H40" s="51" t="s">
        <v>85</v>
      </c>
      <c r="I40" s="51"/>
      <c r="J40" s="51" t="s">
        <v>101</v>
      </c>
      <c r="K40" s="51"/>
      <c r="L40" s="51"/>
      <c r="M40" s="51" t="s">
        <v>83</v>
      </c>
      <c r="N40" s="51"/>
      <c r="O40" s="51" t="s">
        <v>101</v>
      </c>
      <c r="P40" s="51" t="s">
        <v>101</v>
      </c>
      <c r="Q40" s="129"/>
      <c r="R40" s="51" t="s">
        <v>101</v>
      </c>
      <c r="S40" s="51"/>
      <c r="T40" s="51">
        <f>_xlfn.XLOOKUP(наценка7[[#This Row],[№]],Д402[№],Д402[Расчетная проектная площадь],"-",0)</f>
        <v>60.11</v>
      </c>
      <c r="U40" s="17">
        <f t="shared" si="1"/>
        <v>89000</v>
      </c>
      <c r="V4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0" s="18">
        <f>наценка7[[#This Row],[Цена м2 базовая]]*наценка7[[#This Row],[Базовой K]]</f>
        <v>113030</v>
      </c>
      <c r="X4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0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40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0" s="55" t="str">
        <f>IF(наценка7[[#This Row],[Потолок ]]="ДА",коэффициенты!$C$13,"")</f>
        <v/>
      </c>
      <c r="AG4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0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40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4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0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4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0" s="52">
        <f>SUM(наценка7[[#This Row],[еврокухня]:[Лифт]])*наценка7[[#This Row],[Цена м2 с БK]]+наценка7[[#This Row],[Цена м2 с БK]]</f>
        <v>119811.8</v>
      </c>
      <c r="AQ40" s="51">
        <f>VLOOKUP(наценка7[[#This Row],[№]],Д402[],COLUMN(Д402[[#This Row],[утв цена м2]]),0)</f>
        <v>125299.01</v>
      </c>
      <c r="AR40" s="3">
        <f>наценка7[[#This Row],[утв цена м2]]*наценка7[[#This Row],[Расчетная проектная площадь]]</f>
        <v>7531723.4910999993</v>
      </c>
      <c r="AS40" s="27" t="str">
        <f>VLOOKUP(наценка7[[#This Row],[№]],Д402[],COLUMN('Реестр ОН'!$BA$1),0)</f>
        <v>Свободно</v>
      </c>
      <c r="AT40" s="281">
        <f>ROUND(наценка7[[#This Row],[Цена м2 с учетом всех K]]*наценка7[[#This Row],[Расчетная проектная площадь]],0)</f>
        <v>7201887</v>
      </c>
      <c r="AU40" s="286">
        <v>7201887</v>
      </c>
      <c r="AV40" s="286" t="b">
        <f>наценка7[[#This Row],[Аллио]]=наценка7[[#This Row],[Первичка тест]]</f>
        <v>1</v>
      </c>
    </row>
    <row r="41" spans="1:48" hidden="1" x14ac:dyDescent="0.25">
      <c r="A41" s="65">
        <v>39</v>
      </c>
      <c r="B41" s="2">
        <f>_xlfn.XLOOKUP(наценка7[[#This Row],[№]],Д402[№],Д402[Секция],"-",0)</f>
        <v>1</v>
      </c>
      <c r="C41" s="2">
        <f>_xlfn.XLOOKUP(наценка7[[#This Row],[№]],Д402[№],Д402[Этаж],"-",0)</f>
        <v>8</v>
      </c>
      <c r="D41" s="2">
        <f>_xlfn.XLOOKUP(наценка7[[#This Row],[№]],Д402[№],Д402[№ на этаже],"-",0)</f>
        <v>3</v>
      </c>
      <c r="E41" s="2">
        <f>_xlfn.XLOOKUP(наценка7[[#This Row],[№]],Д402[№],Д402[Тип кв],"-",0)</f>
        <v>2</v>
      </c>
      <c r="F41" s="51">
        <f>_xlfn.XLOOKUP(наценка7[[#This Row],[№]],Д402[№],Д402[Кухня],"-",0)</f>
        <v>14.62</v>
      </c>
      <c r="G41" s="51">
        <f>_xlfn.XLOOKUP(наценка7[[#This Row],[№]],Д402[№],Д402[Ванная],"-",0)</f>
        <v>3.86</v>
      </c>
      <c r="H41" s="51" t="s">
        <v>87</v>
      </c>
      <c r="I41" s="51"/>
      <c r="J41" s="51" t="s">
        <v>101</v>
      </c>
      <c r="K41" s="51"/>
      <c r="L41" s="51"/>
      <c r="M41" s="51" t="s">
        <v>83</v>
      </c>
      <c r="N41" s="51"/>
      <c r="O41" s="51" t="s">
        <v>101</v>
      </c>
      <c r="P41" s="51" t="s">
        <v>101</v>
      </c>
      <c r="Q41" s="51" t="s">
        <v>101</v>
      </c>
      <c r="R41" s="51"/>
      <c r="S41" s="51"/>
      <c r="T41" s="51">
        <f>_xlfn.XLOOKUP(наценка7[[#This Row],[№]],Д402[№],Д402[Расчетная проектная площадь],"-",0)</f>
        <v>54.85</v>
      </c>
      <c r="U41" s="17">
        <f t="shared" si="1"/>
        <v>89000</v>
      </c>
      <c r="V4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1" s="18">
        <f>наценка7[[#This Row],[Цена м2 базовая]]*наценка7[[#This Row],[Базовой K]]</f>
        <v>113030</v>
      </c>
      <c r="X4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1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4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1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41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1" s="55" t="str">
        <f>IF(наценка7[[#This Row],[Потолок ]]="ДА",коэффициенты!$C$13,"")</f>
        <v/>
      </c>
      <c r="AG4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41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4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1" s="52">
        <f>SUM(наценка7[[#This Row],[еврокухня]:[Лифт]])*наценка7[[#This Row],[Цена м2 с БK]]+наценка7[[#This Row],[Цена м2 с БK]]</f>
        <v>118681.5</v>
      </c>
      <c r="AQ41" s="51">
        <f>VLOOKUP(наценка7[[#This Row],[№]],Д402[],COLUMN(Д402[[#This Row],[утв цена м2]]),0)</f>
        <v>120513.57</v>
      </c>
      <c r="AR41" s="3">
        <f>наценка7[[#This Row],[утв цена м2]]*наценка7[[#This Row],[Расчетная проектная площадь]]</f>
        <v>6610169.3145000003</v>
      </c>
      <c r="AS41" s="27" t="str">
        <f>VLOOKUP(наценка7[[#This Row],[№]],Д402[],COLUMN('Реестр ОН'!$BA$1),0)</f>
        <v>Стр. Резерв</v>
      </c>
      <c r="AT41" s="281">
        <f>ROUND(наценка7[[#This Row],[Цена м2 с учетом всех K]]*наценка7[[#This Row],[Расчетная проектная площадь]],0)</f>
        <v>6509680</v>
      </c>
      <c r="AU41" s="286">
        <v>6509680</v>
      </c>
      <c r="AV41" s="286" t="b">
        <f>наценка7[[#This Row],[Аллио]]=наценка7[[#This Row],[Первичка тест]]</f>
        <v>1</v>
      </c>
    </row>
    <row r="42" spans="1:48" hidden="1" x14ac:dyDescent="0.25">
      <c r="A42" s="65">
        <v>40</v>
      </c>
      <c r="B42" s="2">
        <f>_xlfn.XLOOKUP(наценка7[[#This Row],[№]],Д402[№],Д402[Секция],"-",0)</f>
        <v>1</v>
      </c>
      <c r="C42" s="2">
        <f>_xlfn.XLOOKUP(наценка7[[#This Row],[№]],Д402[№],Д402[Этаж],"-",0)</f>
        <v>8</v>
      </c>
      <c r="D42" s="2">
        <f>_xlfn.XLOOKUP(наценка7[[#This Row],[№]],Д402[№],Д402[№ на этаже],"-",0)</f>
        <v>4</v>
      </c>
      <c r="E42" s="2">
        <f>_xlfn.XLOOKUP(наценка7[[#This Row],[№]],Д402[№],Д402[Тип кв],"-",0)</f>
        <v>2</v>
      </c>
      <c r="F42" s="51">
        <f>_xlfn.XLOOKUP(наценка7[[#This Row],[№]],Д402[№],Д402[Кухня],"-",0)</f>
        <v>15.16</v>
      </c>
      <c r="G42" s="51">
        <f>_xlfn.XLOOKUP(наценка7[[#This Row],[№]],Д402[№],Д402[Ванная],"-",0)</f>
        <v>4.4400000000000004</v>
      </c>
      <c r="H42" s="51" t="s">
        <v>87</v>
      </c>
      <c r="I42" s="51"/>
      <c r="J42" s="51" t="s">
        <v>101</v>
      </c>
      <c r="K42" s="51"/>
      <c r="L42" s="51"/>
      <c r="M42" s="51" t="s">
        <v>83</v>
      </c>
      <c r="N42" s="51"/>
      <c r="O42" s="51" t="s">
        <v>119</v>
      </c>
      <c r="P42" s="51" t="s">
        <v>101</v>
      </c>
      <c r="Q42" s="51" t="s">
        <v>101</v>
      </c>
      <c r="R42" s="51"/>
      <c r="S42" s="51"/>
      <c r="T42" s="51">
        <f>_xlfn.XLOOKUP(наценка7[[#This Row],[№]],Д402[№],Д402[Расчетная проектная площадь],"-",0)</f>
        <v>54.78</v>
      </c>
      <c r="U42" s="17">
        <f t="shared" si="1"/>
        <v>89000</v>
      </c>
      <c r="V4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2" s="18">
        <f>наценка7[[#This Row],[Цена м2 базовая]]*наценка7[[#This Row],[Базовой K]]</f>
        <v>113030</v>
      </c>
      <c r="X4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4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2" s="55" t="str">
        <f>IF(наценка7[[#This Row],[Потолок ]]="ДА",коэффициенты!$C$13,"")</f>
        <v/>
      </c>
      <c r="AG4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42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4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2" s="52">
        <f>SUM(наценка7[[#This Row],[еврокухня]:[Лифт]])*наценка7[[#This Row],[Цена м2 с БK]]+наценка7[[#This Row],[Цена м2 с БK]]</f>
        <v>120942.1</v>
      </c>
      <c r="AQ42" s="51">
        <f>VLOOKUP(наценка7[[#This Row],[№]],Д402[],COLUMN(Д402[[#This Row],[утв цена м2]]),0)</f>
        <v>122785.47</v>
      </c>
      <c r="AR42" s="3">
        <f>наценка7[[#This Row],[утв цена м2]]*наценка7[[#This Row],[Расчетная проектная площадь]]</f>
        <v>6726188.0466</v>
      </c>
      <c r="AS42" s="27" t="str">
        <f>VLOOKUP(наценка7[[#This Row],[№]],Д402[],COLUMN('Реестр ОН'!$BA$1),0)</f>
        <v>Стр. Резерв</v>
      </c>
      <c r="AT42" s="281">
        <f>ROUND(наценка7[[#This Row],[Цена м2 с учетом всех K]]*наценка7[[#This Row],[Расчетная проектная площадь]],0)</f>
        <v>6625208</v>
      </c>
      <c r="AU42" s="286">
        <v>6625208</v>
      </c>
      <c r="AV42" s="286" t="b">
        <f>наценка7[[#This Row],[Аллио]]=наценка7[[#This Row],[Первичка тест]]</f>
        <v>1</v>
      </c>
    </row>
    <row r="43" spans="1:48" hidden="1" x14ac:dyDescent="0.25">
      <c r="A43" s="65">
        <v>41</v>
      </c>
      <c r="B43" s="2">
        <f>_xlfn.XLOOKUP(наценка7[[#This Row],[№]],Д402[№],Д402[Секция],"-",0)</f>
        <v>1</v>
      </c>
      <c r="C43" s="2">
        <f>_xlfn.XLOOKUP(наценка7[[#This Row],[№]],Д402[№],Д402[Этаж],"-",0)</f>
        <v>8</v>
      </c>
      <c r="D43" s="2">
        <f>_xlfn.XLOOKUP(наценка7[[#This Row],[№]],Д402[№],Д402[№ на этаже],"-",0)</f>
        <v>5</v>
      </c>
      <c r="E43" s="2">
        <f>_xlfn.XLOOKUP(наценка7[[#This Row],[№]],Д402[№],Д402[Тип кв],"-",0)</f>
        <v>1</v>
      </c>
      <c r="F43" s="51">
        <f>_xlfn.XLOOKUP(наценка7[[#This Row],[№]],Д402[№],Д402[Кухня],"-",0)</f>
        <v>15.1</v>
      </c>
      <c r="G43" s="51">
        <f>_xlfn.XLOOKUP(наценка7[[#This Row],[№]],Д402[№],Д402[Ванная],"-",0)</f>
        <v>4.4400000000000004</v>
      </c>
      <c r="H43" s="51" t="s">
        <v>87</v>
      </c>
      <c r="I43" s="51"/>
      <c r="J43" s="51" t="s">
        <v>101</v>
      </c>
      <c r="K43" s="51" t="s">
        <v>101</v>
      </c>
      <c r="L43" s="51"/>
      <c r="M43" s="51" t="s">
        <v>83</v>
      </c>
      <c r="N43" s="51"/>
      <c r="O43" s="51" t="s">
        <v>119</v>
      </c>
      <c r="P43" s="51" t="s">
        <v>101</v>
      </c>
      <c r="Q43" s="129"/>
      <c r="R43" s="129"/>
      <c r="S43" s="51"/>
      <c r="T43" s="51">
        <f>_xlfn.XLOOKUP(наценка7[[#This Row],[№]],Д402[№],Д402[Расчетная проектная площадь],"-",0)</f>
        <v>37.01</v>
      </c>
      <c r="U43" s="17">
        <f t="shared" si="1"/>
        <v>89000</v>
      </c>
      <c r="V4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43" s="18">
        <f>наценка7[[#This Row],[Цена м2 базовая]]*наценка7[[#This Row],[Базовой K]]</f>
        <v>119260</v>
      </c>
      <c r="X4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3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43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4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4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3" s="55" t="str">
        <f>IF(наценка7[[#This Row],[Потолок ]]="ДА",коэффициенты!$C$13,"")</f>
        <v/>
      </c>
      <c r="AG4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4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4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3" s="52">
        <f>SUM(наценка7[[#This Row],[еврокухня]:[Лифт]])*наценка7[[#This Row],[Цена м2 с БK]]+наценка7[[#This Row],[Цена м2 с БK]]</f>
        <v>126415.6</v>
      </c>
      <c r="AQ43" s="51">
        <f>VLOOKUP(наценка7[[#This Row],[№]],Д402[],COLUMN(Д402[[#This Row],[утв цена м2]]),0)</f>
        <v>129943.91</v>
      </c>
      <c r="AR43" s="3">
        <f>наценка7[[#This Row],[утв цена м2]]*наценка7[[#This Row],[Расчетная проектная площадь]]</f>
        <v>4809224.1091</v>
      </c>
      <c r="AS43" s="27" t="str">
        <f>VLOOKUP(наценка7[[#This Row],[№]],Д402[],COLUMN('Реестр ОН'!$BA$1),0)</f>
        <v>Продажа</v>
      </c>
      <c r="AT43" s="281">
        <f>ROUND(наценка7[[#This Row],[Цена м2 с учетом всех K]]*наценка7[[#This Row],[Расчетная проектная площадь]],0)</f>
        <v>4678641</v>
      </c>
      <c r="AU43" s="286">
        <v>4678641</v>
      </c>
      <c r="AV43" s="286" t="b">
        <f>наценка7[[#This Row],[Аллио]]=наценка7[[#This Row],[Первичка тест]]</f>
        <v>1</v>
      </c>
    </row>
    <row r="44" spans="1:48" hidden="1" x14ac:dyDescent="0.25">
      <c r="A44" s="65">
        <v>42</v>
      </c>
      <c r="B44" s="2">
        <f>_xlfn.XLOOKUP(наценка7[[#This Row],[№]],Д402[№],Д402[Секция],"-",0)</f>
        <v>1</v>
      </c>
      <c r="C44" s="2">
        <f>_xlfn.XLOOKUP(наценка7[[#This Row],[№]],Д402[№],Д402[Этаж],"-",0)</f>
        <v>8</v>
      </c>
      <c r="D44" s="2">
        <f>_xlfn.XLOOKUP(наценка7[[#This Row],[№]],Д402[№],Д402[№ на этаже],"-",0)</f>
        <v>6</v>
      </c>
      <c r="E44" s="2">
        <f>_xlfn.XLOOKUP(наценка7[[#This Row],[№]],Д402[№],Д402[Тип кв],"-",0)</f>
        <v>1</v>
      </c>
      <c r="F44" s="51">
        <f>_xlfn.XLOOKUP(наценка7[[#This Row],[№]],Д402[№],Д402[Кухня],"-",0)</f>
        <v>16.93</v>
      </c>
      <c r="G44" s="51">
        <f>_xlfn.XLOOKUP(наценка7[[#This Row],[№]],Д402[№],Д402[Ванная],"-",0)</f>
        <v>4.46</v>
      </c>
      <c r="H44" s="51" t="s">
        <v>84</v>
      </c>
      <c r="I44" s="51"/>
      <c r="J44" s="51" t="s">
        <v>101</v>
      </c>
      <c r="K44" s="51" t="s">
        <v>101</v>
      </c>
      <c r="L44" s="51"/>
      <c r="M44" s="51" t="s">
        <v>83</v>
      </c>
      <c r="N44" s="51" t="s">
        <v>101</v>
      </c>
      <c r="O44" s="51" t="s">
        <v>119</v>
      </c>
      <c r="P44" s="51"/>
      <c r="Q44" s="129"/>
      <c r="R44" s="129"/>
      <c r="S44" s="51"/>
      <c r="T44" s="51">
        <f>_xlfn.XLOOKUP(наценка7[[#This Row],[№]],Д402[№],Д402[Расчетная проектная площадь],"-",0)</f>
        <v>45.26</v>
      </c>
      <c r="U44" s="17">
        <f t="shared" si="1"/>
        <v>89000</v>
      </c>
      <c r="V4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44" s="18">
        <f>наценка7[[#This Row],[Цена м2 базовая]]*наценка7[[#This Row],[Базовой K]]</f>
        <v>119260</v>
      </c>
      <c r="X4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4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4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4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4" s="55" t="str">
        <f>IF(наценка7[[#This Row],[Потолок ]]="ДА",коэффициенты!$C$13,"")</f>
        <v/>
      </c>
      <c r="AG4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4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4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4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4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4" s="52">
        <f>SUM(наценка7[[#This Row],[еврокухня]:[Лифт]])*наценка7[[#This Row],[Цена м2 с БK]]+наценка7[[#This Row],[Цена м2 с БK]]</f>
        <v>120452.6</v>
      </c>
      <c r="AQ44" s="51">
        <f>VLOOKUP(наценка7[[#This Row],[№]],Д402[],COLUMN(Д402[[#This Row],[утв цена м2]]),0)</f>
        <v>127246.66</v>
      </c>
      <c r="AR44" s="3">
        <f>наценка7[[#This Row],[утв цена м2]]*наценка7[[#This Row],[Расчетная проектная площадь]]</f>
        <v>5759183.8316000002</v>
      </c>
      <c r="AS44" s="27" t="str">
        <f>VLOOKUP(наценка7[[#This Row],[№]],Д402[],COLUMN('Реестр ОН'!$BA$1),0)</f>
        <v>Свободно</v>
      </c>
      <c r="AT44" s="281">
        <f>ROUND(наценка7[[#This Row],[Цена м2 с учетом всех K]]*наценка7[[#This Row],[Расчетная проектная площадь]],0)</f>
        <v>5451685</v>
      </c>
      <c r="AU44" s="286">
        <v>5451685</v>
      </c>
      <c r="AV44" s="286" t="b">
        <f>наценка7[[#This Row],[Аллио]]=наценка7[[#This Row],[Первичка тест]]</f>
        <v>1</v>
      </c>
    </row>
    <row r="45" spans="1:48" hidden="1" x14ac:dyDescent="0.25">
      <c r="A45" s="65">
        <v>43</v>
      </c>
      <c r="B45" s="2">
        <f>_xlfn.XLOOKUP(наценка7[[#This Row],[№]],Д402[№],Д402[Секция],"-",0)</f>
        <v>1</v>
      </c>
      <c r="C45" s="2">
        <f>_xlfn.XLOOKUP(наценка7[[#This Row],[№]],Д402[№],Д402[Этаж],"-",0)</f>
        <v>9</v>
      </c>
      <c r="D45" s="2">
        <f>_xlfn.XLOOKUP(наценка7[[#This Row],[№]],Д402[№],Д402[№ на этаже],"-",0)</f>
        <v>1</v>
      </c>
      <c r="E45" s="2">
        <f>_xlfn.XLOOKUP(наценка7[[#This Row],[№]],Д402[№],Д402[Тип кв],"-",0)</f>
        <v>0</v>
      </c>
      <c r="F45" s="51">
        <f>_xlfn.XLOOKUP(наценка7[[#This Row],[№]],Д402[№],Д402[Кухня],"-",0)</f>
        <v>6.15</v>
      </c>
      <c r="G45" s="51">
        <f>_xlfn.XLOOKUP(наценка7[[#This Row],[№]],Д402[№],Д402[Ванная],"-",0)</f>
        <v>5.0199999999999996</v>
      </c>
      <c r="H45" s="51" t="s">
        <v>84</v>
      </c>
      <c r="I45" s="51"/>
      <c r="J45" s="51"/>
      <c r="K45" s="51" t="s">
        <v>101</v>
      </c>
      <c r="L45" s="51" t="s">
        <v>119</v>
      </c>
      <c r="M45" s="51" t="s">
        <v>83</v>
      </c>
      <c r="N45" s="51"/>
      <c r="O45" s="51" t="s">
        <v>119</v>
      </c>
      <c r="P45" s="51"/>
      <c r="Q45" s="129"/>
      <c r="R45" s="51"/>
      <c r="S45" s="51" t="s">
        <v>101</v>
      </c>
      <c r="T45" s="51">
        <f>_xlfn.XLOOKUP(наценка7[[#This Row],[№]],Д402[№],Д402[Расчетная проектная площадь],"-",0)</f>
        <v>29.69</v>
      </c>
      <c r="U45" s="17">
        <f t="shared" si="1"/>
        <v>89000</v>
      </c>
      <c r="V4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45" s="18">
        <f>наценка7[[#This Row],[Цена м2 базовая]]*наценка7[[#This Row],[Базовой K]]</f>
        <v>139730</v>
      </c>
      <c r="X4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4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4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4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5" s="55" t="str">
        <f>IF(наценка7[[#This Row],[Потолок ]]="ДА",коэффициенты!$C$13,"")</f>
        <v/>
      </c>
      <c r="AG4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4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4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4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5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45" s="52">
        <f>SUM(наценка7[[#This Row],[еврокухня]:[Лифт]])*наценка7[[#This Row],[Цена м2 с БK]]+наценка7[[#This Row],[Цена м2 с БK]]</f>
        <v>139730</v>
      </c>
      <c r="AQ45" s="51">
        <f>VLOOKUP(наценка7[[#This Row],[№]],Д402[],COLUMN(Д402[[#This Row],[утв цена м2]]),0)</f>
        <v>141162.5</v>
      </c>
      <c r="AR45" s="3">
        <f>наценка7[[#This Row],[утв цена м2]]*наценка7[[#This Row],[Расчетная проектная площадь]]</f>
        <v>4191114.625</v>
      </c>
      <c r="AS45" s="27" t="str">
        <f>VLOOKUP(наценка7[[#This Row],[№]],Д402[],COLUMN('Реестр ОН'!$BA$1),0)</f>
        <v>Свободно</v>
      </c>
      <c r="AT45" s="281">
        <f>ROUND(наценка7[[#This Row],[Цена м2 с учетом всех K]]*наценка7[[#This Row],[Расчетная проектная площадь]],0)</f>
        <v>4148584</v>
      </c>
      <c r="AU45" s="286">
        <v>4148584</v>
      </c>
      <c r="AV45" s="286" t="b">
        <f>наценка7[[#This Row],[Аллио]]=наценка7[[#This Row],[Первичка тест]]</f>
        <v>1</v>
      </c>
    </row>
    <row r="46" spans="1:48" hidden="1" x14ac:dyDescent="0.25">
      <c r="A46" s="65">
        <v>44</v>
      </c>
      <c r="B46" s="2">
        <f>_xlfn.XLOOKUP(наценка7[[#This Row],[№]],Д402[№],Д402[Секция],"-",0)</f>
        <v>1</v>
      </c>
      <c r="C46" s="2">
        <f>_xlfn.XLOOKUP(наценка7[[#This Row],[№]],Д402[№],Д402[Этаж],"-",0)</f>
        <v>9</v>
      </c>
      <c r="D46" s="2">
        <f>_xlfn.XLOOKUP(наценка7[[#This Row],[№]],Д402[№],Д402[№ на этаже],"-",0)</f>
        <v>2</v>
      </c>
      <c r="E46" s="2">
        <f>_xlfn.XLOOKUP(наценка7[[#This Row],[№]],Д402[№],Д402[Тип кв],"-",0)</f>
        <v>2</v>
      </c>
      <c r="F46" s="51">
        <f>_xlfn.XLOOKUP(наценка7[[#This Row],[№]],Д402[№],Д402[Кухня],"-",0)</f>
        <v>17.7</v>
      </c>
      <c r="G46" s="51">
        <f>_xlfn.XLOOKUP(наценка7[[#This Row],[№]],Д402[№],Д402[Ванная],"-",0)</f>
        <v>4.25</v>
      </c>
      <c r="H46" s="51" t="s">
        <v>85</v>
      </c>
      <c r="I46" s="51"/>
      <c r="J46" s="51" t="s">
        <v>101</v>
      </c>
      <c r="K46" s="51"/>
      <c r="L46" s="51"/>
      <c r="M46" s="51" t="s">
        <v>83</v>
      </c>
      <c r="N46" s="51"/>
      <c r="O46" s="51" t="s">
        <v>101</v>
      </c>
      <c r="P46" s="51" t="s">
        <v>101</v>
      </c>
      <c r="Q46" s="129"/>
      <c r="R46" s="51" t="s">
        <v>101</v>
      </c>
      <c r="S46" s="51"/>
      <c r="T46" s="51">
        <f>_xlfn.XLOOKUP(наценка7[[#This Row],[№]],Д402[№],Д402[Расчетная проектная площадь],"-",0)</f>
        <v>60.11</v>
      </c>
      <c r="U46" s="17">
        <f t="shared" si="1"/>
        <v>89000</v>
      </c>
      <c r="V4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6" s="18">
        <f>наценка7[[#This Row],[Цена м2 базовая]]*наценка7[[#This Row],[Базовой K]]</f>
        <v>113030</v>
      </c>
      <c r="X4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6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46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6" s="55" t="str">
        <f>IF(наценка7[[#This Row],[Потолок ]]="ДА",коэффициенты!$C$13,"")</f>
        <v/>
      </c>
      <c r="AG4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6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46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4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4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6" s="52">
        <f>SUM(наценка7[[#This Row],[еврокухня]:[Лифт]])*наценка7[[#This Row],[Цена м2 с БK]]+наценка7[[#This Row],[Цена м2 с БK]]</f>
        <v>119811.8</v>
      </c>
      <c r="AQ46" s="51">
        <f>VLOOKUP(наценка7[[#This Row],[№]],Д402[],COLUMN(Д402[[#This Row],[утв цена м2]]),0)</f>
        <v>125299.01</v>
      </c>
      <c r="AR46" s="3">
        <f>наценка7[[#This Row],[утв цена м2]]*наценка7[[#This Row],[Расчетная проектная площадь]]</f>
        <v>7531723.4910999993</v>
      </c>
      <c r="AS46" s="27" t="str">
        <f>VLOOKUP(наценка7[[#This Row],[№]],Д402[],COLUMN('Реестр ОН'!$BA$1),0)</f>
        <v>Стр. Резерв</v>
      </c>
      <c r="AT46" s="281">
        <f>ROUND(наценка7[[#This Row],[Цена м2 с учетом всех K]]*наценка7[[#This Row],[Расчетная проектная площадь]],0)</f>
        <v>7201887</v>
      </c>
      <c r="AU46" s="286">
        <v>7201887</v>
      </c>
      <c r="AV46" s="286" t="b">
        <f>наценка7[[#This Row],[Аллио]]=наценка7[[#This Row],[Первичка тест]]</f>
        <v>1</v>
      </c>
    </row>
    <row r="47" spans="1:48" hidden="1" x14ac:dyDescent="0.25">
      <c r="A47" s="65">
        <v>45</v>
      </c>
      <c r="B47" s="2">
        <f>_xlfn.XLOOKUP(наценка7[[#This Row],[№]],Д402[№],Д402[Секция],"-",0)</f>
        <v>1</v>
      </c>
      <c r="C47" s="2">
        <f>_xlfn.XLOOKUP(наценка7[[#This Row],[№]],Д402[№],Д402[Этаж],"-",0)</f>
        <v>9</v>
      </c>
      <c r="D47" s="2">
        <f>_xlfn.XLOOKUP(наценка7[[#This Row],[№]],Д402[№],Д402[№ на этаже],"-",0)</f>
        <v>3</v>
      </c>
      <c r="E47" s="2">
        <f>_xlfn.XLOOKUP(наценка7[[#This Row],[№]],Д402[№],Д402[Тип кв],"-",0)</f>
        <v>2</v>
      </c>
      <c r="F47" s="51">
        <f>_xlfn.XLOOKUP(наценка7[[#This Row],[№]],Д402[№],Д402[Кухня],"-",0)</f>
        <v>14.62</v>
      </c>
      <c r="G47" s="51">
        <f>_xlfn.XLOOKUP(наценка7[[#This Row],[№]],Д402[№],Д402[Ванная],"-",0)</f>
        <v>3.86</v>
      </c>
      <c r="H47" s="51" t="s">
        <v>87</v>
      </c>
      <c r="I47" s="51"/>
      <c r="J47" s="51" t="s">
        <v>101</v>
      </c>
      <c r="K47" s="51"/>
      <c r="L47" s="51"/>
      <c r="M47" s="51" t="s">
        <v>83</v>
      </c>
      <c r="N47" s="51"/>
      <c r="O47" s="51" t="s">
        <v>101</v>
      </c>
      <c r="P47" s="51"/>
      <c r="Q47" s="51" t="s">
        <v>101</v>
      </c>
      <c r="R47" s="51"/>
      <c r="S47" s="51"/>
      <c r="T47" s="51">
        <f>_xlfn.XLOOKUP(наценка7[[#This Row],[№]],Д402[№],Д402[Расчетная проектная площадь],"-",0)</f>
        <v>54.85</v>
      </c>
      <c r="U47" s="17">
        <f t="shared" si="1"/>
        <v>89000</v>
      </c>
      <c r="V4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7" s="18">
        <f>наценка7[[#This Row],[Цена м2 базовая]]*наценка7[[#This Row],[Базовой K]]</f>
        <v>113030</v>
      </c>
      <c r="X4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7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4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7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4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7" s="55" t="str">
        <f>IF(наценка7[[#This Row],[Потолок ]]="ДА",коэффициенты!$C$13,"")</f>
        <v/>
      </c>
      <c r="AG4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4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4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7" s="52">
        <f>SUM(наценка7[[#This Row],[еврокухня]:[Лифт]])*наценка7[[#This Row],[Цена м2 с БK]]+наценка7[[#This Row],[Цена м2 с БK]]</f>
        <v>116420.9</v>
      </c>
      <c r="AQ47" s="51">
        <f>VLOOKUP(наценка7[[#This Row],[№]],Д402[],COLUMN(Д402[[#This Row],[утв цена м2]]),0)</f>
        <v>118241.67</v>
      </c>
      <c r="AR47" s="3">
        <f>наценка7[[#This Row],[утв цена м2]]*наценка7[[#This Row],[Расчетная проектная площадь]]</f>
        <v>6485555.5995000005</v>
      </c>
      <c r="AS47" s="27" t="str">
        <f>VLOOKUP(наценка7[[#This Row],[№]],Д402[],COLUMN('Реестр ОН'!$BA$1),0)</f>
        <v>Стр. Резерв</v>
      </c>
      <c r="AT47" s="281">
        <f>ROUND(наценка7[[#This Row],[Цена м2 с учетом всех K]]*наценка7[[#This Row],[Расчетная проектная площадь]],0)</f>
        <v>6385686</v>
      </c>
      <c r="AU47" s="286">
        <v>6385686</v>
      </c>
      <c r="AV47" s="286" t="b">
        <f>наценка7[[#This Row],[Аллио]]=наценка7[[#This Row],[Первичка тест]]</f>
        <v>1</v>
      </c>
    </row>
    <row r="48" spans="1:48" hidden="1" x14ac:dyDescent="0.25">
      <c r="A48" s="65">
        <v>46</v>
      </c>
      <c r="B48" s="2">
        <f>_xlfn.XLOOKUP(наценка7[[#This Row],[№]],Д402[№],Д402[Секция],"-",0)</f>
        <v>1</v>
      </c>
      <c r="C48" s="2">
        <f>_xlfn.XLOOKUP(наценка7[[#This Row],[№]],Д402[№],Д402[Этаж],"-",0)</f>
        <v>9</v>
      </c>
      <c r="D48" s="2">
        <f>_xlfn.XLOOKUP(наценка7[[#This Row],[№]],Д402[№],Д402[№ на этаже],"-",0)</f>
        <v>4</v>
      </c>
      <c r="E48" s="2">
        <f>_xlfn.XLOOKUP(наценка7[[#This Row],[№]],Д402[№],Д402[Тип кв],"-",0)</f>
        <v>2</v>
      </c>
      <c r="F48" s="51">
        <f>_xlfn.XLOOKUP(наценка7[[#This Row],[№]],Д402[№],Д402[Кухня],"-",0)</f>
        <v>15.16</v>
      </c>
      <c r="G48" s="51">
        <f>_xlfn.XLOOKUP(наценка7[[#This Row],[№]],Д402[№],Д402[Ванная],"-",0)</f>
        <v>4.4400000000000004</v>
      </c>
      <c r="H48" s="51" t="s">
        <v>87</v>
      </c>
      <c r="I48" s="51"/>
      <c r="J48" s="51" t="s">
        <v>101</v>
      </c>
      <c r="K48" s="51"/>
      <c r="L48" s="51"/>
      <c r="M48" s="51" t="s">
        <v>83</v>
      </c>
      <c r="N48" s="51"/>
      <c r="O48" s="51" t="s">
        <v>119</v>
      </c>
      <c r="P48" s="51"/>
      <c r="Q48" s="51" t="s">
        <v>101</v>
      </c>
      <c r="R48" s="51"/>
      <c r="S48" s="51"/>
      <c r="T48" s="51">
        <f>_xlfn.XLOOKUP(наценка7[[#This Row],[№]],Д402[№],Д402[Расчетная проектная площадь],"-",0)</f>
        <v>54.78</v>
      </c>
      <c r="U48" s="17">
        <f t="shared" si="1"/>
        <v>89000</v>
      </c>
      <c r="V4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48" s="18">
        <f>наценка7[[#This Row],[Цена м2 базовая]]*наценка7[[#This Row],[Базовой K]]</f>
        <v>113030</v>
      </c>
      <c r="X4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4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48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4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8" s="55" t="str">
        <f>IF(наценка7[[#This Row],[Потолок ]]="ДА",коэффициенты!$C$13,"")</f>
        <v/>
      </c>
      <c r="AG4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4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48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4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8" s="52">
        <f>SUM(наценка7[[#This Row],[еврокухня]:[Лифт]])*наценка7[[#This Row],[Цена м2 с БK]]+наценка7[[#This Row],[Цена м2 с БK]]</f>
        <v>118681.5</v>
      </c>
      <c r="AQ48" s="51">
        <f>VLOOKUP(наценка7[[#This Row],[№]],Д402[],COLUMN(Д402[[#This Row],[утв цена м2]]),0)</f>
        <v>120513.57</v>
      </c>
      <c r="AR48" s="3">
        <f>наценка7[[#This Row],[утв цена м2]]*наценка7[[#This Row],[Расчетная проектная площадь]]</f>
        <v>6601733.3646000009</v>
      </c>
      <c r="AS48" s="27" t="str">
        <f>VLOOKUP(наценка7[[#This Row],[№]],Д402[],COLUMN('Реестр ОН'!$BA$1),0)</f>
        <v>Стр. Резерв</v>
      </c>
      <c r="AT48" s="281">
        <f>ROUND(наценка7[[#This Row],[Цена м2 с учетом всех K]]*наценка7[[#This Row],[Расчетная проектная площадь]],0)</f>
        <v>6501373</v>
      </c>
      <c r="AU48" s="286">
        <v>6501373</v>
      </c>
      <c r="AV48" s="286" t="b">
        <f>наценка7[[#This Row],[Аллио]]=наценка7[[#This Row],[Первичка тест]]</f>
        <v>1</v>
      </c>
    </row>
    <row r="49" spans="1:48" hidden="1" x14ac:dyDescent="0.25">
      <c r="A49" s="65">
        <v>47</v>
      </c>
      <c r="B49" s="2">
        <f>_xlfn.XLOOKUP(наценка7[[#This Row],[№]],Д402[№],Д402[Секция],"-",0)</f>
        <v>1</v>
      </c>
      <c r="C49" s="2">
        <f>_xlfn.XLOOKUP(наценка7[[#This Row],[№]],Д402[№],Д402[Этаж],"-",0)</f>
        <v>9</v>
      </c>
      <c r="D49" s="2">
        <f>_xlfn.XLOOKUP(наценка7[[#This Row],[№]],Д402[№],Д402[№ на этаже],"-",0)</f>
        <v>5</v>
      </c>
      <c r="E49" s="2">
        <f>_xlfn.XLOOKUP(наценка7[[#This Row],[№]],Д402[№],Д402[Тип кв],"-",0)</f>
        <v>1</v>
      </c>
      <c r="F49" s="51">
        <f>_xlfn.XLOOKUP(наценка7[[#This Row],[№]],Д402[№],Д402[Кухня],"-",0)</f>
        <v>15.1</v>
      </c>
      <c r="G49" s="51">
        <f>_xlfn.XLOOKUP(наценка7[[#This Row],[№]],Д402[№],Д402[Ванная],"-",0)</f>
        <v>4.4400000000000004</v>
      </c>
      <c r="H49" s="51" t="s">
        <v>87</v>
      </c>
      <c r="I49" s="51"/>
      <c r="J49" s="51" t="s">
        <v>101</v>
      </c>
      <c r="K49" s="51" t="s">
        <v>101</v>
      </c>
      <c r="L49" s="51"/>
      <c r="M49" s="51" t="s">
        <v>83</v>
      </c>
      <c r="N49" s="51"/>
      <c r="O49" s="51" t="s">
        <v>119</v>
      </c>
      <c r="P49" s="51"/>
      <c r="Q49" s="129"/>
      <c r="R49" s="129"/>
      <c r="S49" s="51"/>
      <c r="T49" s="51">
        <f>_xlfn.XLOOKUP(наценка7[[#This Row],[№]],Д402[№],Д402[Расчетная проектная площадь],"-",0)</f>
        <v>37.01</v>
      </c>
      <c r="U49" s="17">
        <f t="shared" si="1"/>
        <v>89000</v>
      </c>
      <c r="V4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49" s="18">
        <f>наценка7[[#This Row],[Цена м2 базовая]]*наценка7[[#This Row],[Базовой K]]</f>
        <v>119260</v>
      </c>
      <c r="X4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4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4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4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4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4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4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4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49" s="55" t="str">
        <f>IF(наценка7[[#This Row],[Потолок ]]="ДА",коэффициенты!$C$13,"")</f>
        <v/>
      </c>
      <c r="AG4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4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4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4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4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4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4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4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4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49" s="52">
        <f>SUM(наценка7[[#This Row],[еврокухня]:[Лифт]])*наценка7[[#This Row],[Цена м2 с БK]]+наценка7[[#This Row],[Цена м2 с БK]]</f>
        <v>124030.39999999999</v>
      </c>
      <c r="AQ49" s="51">
        <f>VLOOKUP(наценка7[[#This Row],[№]],Д402[],COLUMN(Д402[[#This Row],[утв цена м2]]),0)</f>
        <v>127511.01</v>
      </c>
      <c r="AR49" s="3">
        <f>наценка7[[#This Row],[утв цена м2]]*наценка7[[#This Row],[Расчетная проектная площадь]]</f>
        <v>4719182.4800999993</v>
      </c>
      <c r="AS49" s="27" t="str">
        <f>VLOOKUP(наценка7[[#This Row],[№]],Д402[],COLUMN('Реестр ОН'!$BA$1),0)</f>
        <v>Продажа</v>
      </c>
      <c r="AT49" s="281">
        <f>ROUND(наценка7[[#This Row],[Цена м2 с учетом всех K]]*наценка7[[#This Row],[Расчетная проектная площадь]],0)</f>
        <v>4590365</v>
      </c>
      <c r="AU49" s="286">
        <v>4590365</v>
      </c>
      <c r="AV49" s="286" t="b">
        <f>наценка7[[#This Row],[Аллио]]=наценка7[[#This Row],[Первичка тест]]</f>
        <v>1</v>
      </c>
    </row>
    <row r="50" spans="1:48" hidden="1" x14ac:dyDescent="0.25">
      <c r="A50" s="65">
        <v>48</v>
      </c>
      <c r="B50" s="2">
        <f>_xlfn.XLOOKUP(наценка7[[#This Row],[№]],Д402[№],Д402[Секция],"-",0)</f>
        <v>1</v>
      </c>
      <c r="C50" s="2">
        <f>_xlfn.XLOOKUP(наценка7[[#This Row],[№]],Д402[№],Д402[Этаж],"-",0)</f>
        <v>9</v>
      </c>
      <c r="D50" s="2">
        <f>_xlfn.XLOOKUP(наценка7[[#This Row],[№]],Д402[№],Д402[№ на этаже],"-",0)</f>
        <v>6</v>
      </c>
      <c r="E50" s="2">
        <f>_xlfn.XLOOKUP(наценка7[[#This Row],[№]],Д402[№],Д402[Тип кв],"-",0)</f>
        <v>1</v>
      </c>
      <c r="F50" s="51">
        <f>_xlfn.XLOOKUP(наценка7[[#This Row],[№]],Д402[№],Д402[Кухня],"-",0)</f>
        <v>16.93</v>
      </c>
      <c r="G50" s="51">
        <f>_xlfn.XLOOKUP(наценка7[[#This Row],[№]],Д402[№],Д402[Ванная],"-",0)</f>
        <v>4.46</v>
      </c>
      <c r="H50" s="51" t="s">
        <v>84</v>
      </c>
      <c r="I50" s="51"/>
      <c r="J50" s="51" t="s">
        <v>101</v>
      </c>
      <c r="K50" s="51" t="s">
        <v>101</v>
      </c>
      <c r="L50" s="51"/>
      <c r="M50" s="51" t="s">
        <v>83</v>
      </c>
      <c r="N50" s="51" t="s">
        <v>101</v>
      </c>
      <c r="O50" s="51" t="s">
        <v>119</v>
      </c>
      <c r="P50" s="51" t="s">
        <v>101</v>
      </c>
      <c r="Q50" s="129"/>
      <c r="R50" s="129"/>
      <c r="S50" s="51"/>
      <c r="T50" s="51">
        <f>_xlfn.XLOOKUP(наценка7[[#This Row],[№]],Д402[№],Д402[Расчетная проектная площадь],"-",0)</f>
        <v>45.26</v>
      </c>
      <c r="U50" s="17">
        <f t="shared" si="1"/>
        <v>89000</v>
      </c>
      <c r="V5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50" s="18">
        <f>наценка7[[#This Row],[Цена м2 базовая]]*наценка7[[#This Row],[Базовой K]]</f>
        <v>119260</v>
      </c>
      <c r="X5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0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5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0" s="55" t="str">
        <f>IF(наценка7[[#This Row],[Потолок ]]="ДА",коэффициенты!$C$13,"")</f>
        <v/>
      </c>
      <c r="AG5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5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5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0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5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0" s="52">
        <f>SUM(наценка7[[#This Row],[еврокухня]:[Лифт]])*наценка7[[#This Row],[Цена м2 с БK]]+наценка7[[#This Row],[Цена м2 с БK]]</f>
        <v>122837.8</v>
      </c>
      <c r="AQ50" s="51">
        <f>VLOOKUP(наценка7[[#This Row],[№]],Д402[],COLUMN(Д402[[#This Row],[утв цена м2]]),0)</f>
        <v>129740.87</v>
      </c>
      <c r="AR50" s="3">
        <f>наценка7[[#This Row],[утв цена м2]]*наценка7[[#This Row],[Расчетная проектная площадь]]</f>
        <v>5872071.7761999993</v>
      </c>
      <c r="AS50" s="27" t="str">
        <f>VLOOKUP(наценка7[[#This Row],[№]],Д402[],COLUMN('Реестр ОН'!$BA$1),0)</f>
        <v>Стр. Резерв</v>
      </c>
      <c r="AT50" s="281">
        <f>ROUND(наценка7[[#This Row],[Цена м2 с учетом всех K]]*наценка7[[#This Row],[Расчетная проектная площадь]],0)</f>
        <v>5559639</v>
      </c>
      <c r="AU50" s="286">
        <v>5559639</v>
      </c>
      <c r="AV50" s="286" t="b">
        <f>наценка7[[#This Row],[Аллио]]=наценка7[[#This Row],[Первичка тест]]</f>
        <v>1</v>
      </c>
    </row>
    <row r="51" spans="1:48" hidden="1" x14ac:dyDescent="0.25">
      <c r="A51" s="65">
        <v>49</v>
      </c>
      <c r="B51" s="2">
        <f>_xlfn.XLOOKUP(наценка7[[#This Row],[№]],Д402[№],Д402[Секция],"-",0)</f>
        <v>1</v>
      </c>
      <c r="C51" s="2">
        <f>_xlfn.XLOOKUP(наценка7[[#This Row],[№]],Д402[№],Д402[Этаж],"-",0)</f>
        <v>10</v>
      </c>
      <c r="D51" s="2">
        <f>_xlfn.XLOOKUP(наценка7[[#This Row],[№]],Д402[№],Д402[№ на этаже],"-",0)</f>
        <v>1</v>
      </c>
      <c r="E51" s="2">
        <f>_xlfn.XLOOKUP(наценка7[[#This Row],[№]],Д402[№],Д402[Тип кв],"-",0)</f>
        <v>0</v>
      </c>
      <c r="F51" s="51">
        <f>_xlfn.XLOOKUP(наценка7[[#This Row],[№]],Д402[№],Д402[Кухня],"-",0)</f>
        <v>6.15</v>
      </c>
      <c r="G51" s="51">
        <f>_xlfn.XLOOKUP(наценка7[[#This Row],[№]],Д402[№],Д402[Ванная],"-",0)</f>
        <v>4.95</v>
      </c>
      <c r="H51" s="51" t="s">
        <v>84</v>
      </c>
      <c r="I51" s="51"/>
      <c r="J51" s="51"/>
      <c r="K51" s="51" t="s">
        <v>101</v>
      </c>
      <c r="L51" s="51" t="s">
        <v>119</v>
      </c>
      <c r="M51" s="51" t="s">
        <v>83</v>
      </c>
      <c r="N51" s="51"/>
      <c r="O51" s="51" t="s">
        <v>119</v>
      </c>
      <c r="P51" s="51"/>
      <c r="Q51" s="129"/>
      <c r="R51" s="51"/>
      <c r="S51" s="51" t="s">
        <v>101</v>
      </c>
      <c r="T51" s="51">
        <f>_xlfn.XLOOKUP(наценка7[[#This Row],[№]],Д402[№],Д402[Расчетная проектная площадь],"-",0)</f>
        <v>29.62</v>
      </c>
      <c r="U51" s="17">
        <f t="shared" si="1"/>
        <v>89000</v>
      </c>
      <c r="V5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51" s="18">
        <f>наценка7[[#This Row],[Цена м2 базовая]]*наценка7[[#This Row],[Базовой K]]</f>
        <v>139730</v>
      </c>
      <c r="X5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5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1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51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5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1" s="55" t="str">
        <f>IF(наценка7[[#This Row],[Потолок ]]="ДА",коэффициенты!$C$13,"")</f>
        <v/>
      </c>
      <c r="AG5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5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5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1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5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1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51" s="52">
        <f>SUM(наценка7[[#This Row],[еврокухня]:[Лифт]])*наценка7[[#This Row],[Цена м2 с БK]]+наценка7[[#This Row],[Цена м2 с БK]]</f>
        <v>139730</v>
      </c>
      <c r="AQ51" s="51">
        <f>VLOOKUP(наценка7[[#This Row],[№]],Д402[],COLUMN(Д402[[#This Row],[утв цена м2]]),0)</f>
        <v>141162.5</v>
      </c>
      <c r="AR51" s="3">
        <f>наценка7[[#This Row],[утв цена м2]]*наценка7[[#This Row],[Расчетная проектная площадь]]</f>
        <v>4181233.25</v>
      </c>
      <c r="AS51" s="27" t="str">
        <f>VLOOKUP(наценка7[[#This Row],[№]],Д402[],COLUMN('Реестр ОН'!$BA$1),0)</f>
        <v>Свободно</v>
      </c>
      <c r="AT51" s="281">
        <f>ROUND(наценка7[[#This Row],[Цена м2 с учетом всех K]]*наценка7[[#This Row],[Расчетная проектная площадь]],0)</f>
        <v>4138803</v>
      </c>
      <c r="AU51" s="286">
        <v>4138803</v>
      </c>
      <c r="AV51" s="286" t="b">
        <f>наценка7[[#This Row],[Аллио]]=наценка7[[#This Row],[Первичка тест]]</f>
        <v>1</v>
      </c>
    </row>
    <row r="52" spans="1:48" hidden="1" x14ac:dyDescent="0.25">
      <c r="A52" s="65">
        <v>50</v>
      </c>
      <c r="B52" s="2">
        <f>_xlfn.XLOOKUP(наценка7[[#This Row],[№]],Д402[№],Д402[Секция],"-",0)</f>
        <v>1</v>
      </c>
      <c r="C52" s="2">
        <f>_xlfn.XLOOKUP(наценка7[[#This Row],[№]],Д402[№],Д402[Этаж],"-",0)</f>
        <v>10</v>
      </c>
      <c r="D52" s="2">
        <f>_xlfn.XLOOKUP(наценка7[[#This Row],[№]],Д402[№],Д402[№ на этаже],"-",0)</f>
        <v>2</v>
      </c>
      <c r="E52" s="2">
        <f>_xlfn.XLOOKUP(наценка7[[#This Row],[№]],Д402[№],Д402[Тип кв],"-",0)</f>
        <v>2</v>
      </c>
      <c r="F52" s="51">
        <f>_xlfn.XLOOKUP(наценка7[[#This Row],[№]],Д402[№],Д402[Кухня],"-",0)</f>
        <v>17.61</v>
      </c>
      <c r="G52" s="51">
        <f>_xlfn.XLOOKUP(наценка7[[#This Row],[№]],Д402[№],Д402[Ванная],"-",0)</f>
        <v>4.25</v>
      </c>
      <c r="H52" s="51" t="s">
        <v>85</v>
      </c>
      <c r="I52" s="51"/>
      <c r="J52" s="51" t="s">
        <v>101</v>
      </c>
      <c r="K52" s="51"/>
      <c r="L52" s="51"/>
      <c r="M52" s="51" t="s">
        <v>83</v>
      </c>
      <c r="N52" s="51"/>
      <c r="O52" s="51" t="s">
        <v>101</v>
      </c>
      <c r="P52" s="51" t="s">
        <v>101</v>
      </c>
      <c r="Q52" s="129"/>
      <c r="R52" s="51" t="s">
        <v>101</v>
      </c>
      <c r="S52" s="51"/>
      <c r="T52" s="51">
        <f>_xlfn.XLOOKUP(наценка7[[#This Row],[№]],Д402[№],Д402[Расчетная проектная площадь],"-",0)</f>
        <v>60.02</v>
      </c>
      <c r="U52" s="17">
        <f t="shared" si="1"/>
        <v>89000</v>
      </c>
      <c r="V5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52" s="18">
        <f>наценка7[[#This Row],[Цена м2 базовая]]*наценка7[[#This Row],[Базовой K]]</f>
        <v>113030</v>
      </c>
      <c r="X5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52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2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2" s="55" t="str">
        <f>IF(наценка7[[#This Row],[Потолок ]]="ДА",коэффициенты!$C$13,"")</f>
        <v/>
      </c>
      <c r="AG5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52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52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5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2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5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2" s="52">
        <f>SUM(наценка7[[#This Row],[еврокухня]:[Лифт]])*наценка7[[#This Row],[Цена м2 с БK]]+наценка7[[#This Row],[Цена м2 с БK]]</f>
        <v>119811.8</v>
      </c>
      <c r="AQ52" s="51">
        <f>VLOOKUP(наценка7[[#This Row],[№]],Д402[],COLUMN(Д402[[#This Row],[утв цена м2]]),0)</f>
        <v>125299.01</v>
      </c>
      <c r="AR52" s="3">
        <f>наценка7[[#This Row],[утв цена м2]]*наценка7[[#This Row],[Расчетная проектная площадь]]</f>
        <v>7520446.5801999997</v>
      </c>
      <c r="AS52" s="27" t="str">
        <f>VLOOKUP(наценка7[[#This Row],[№]],Д402[],COLUMN('Реестр ОН'!$BA$1),0)</f>
        <v>Стр. Резерв</v>
      </c>
      <c r="AT52" s="281">
        <f>ROUND(наценка7[[#This Row],[Цена м2 с учетом всех K]]*наценка7[[#This Row],[Расчетная проектная площадь]],0)</f>
        <v>7191104</v>
      </c>
      <c r="AU52" s="286">
        <v>7191104</v>
      </c>
      <c r="AV52" s="286" t="b">
        <f>наценка7[[#This Row],[Аллио]]=наценка7[[#This Row],[Первичка тест]]</f>
        <v>1</v>
      </c>
    </row>
    <row r="53" spans="1:48" hidden="1" x14ac:dyDescent="0.25">
      <c r="A53" s="65">
        <v>51</v>
      </c>
      <c r="B53" s="2">
        <f>_xlfn.XLOOKUP(наценка7[[#This Row],[№]],Д402[№],Д402[Секция],"-",0)</f>
        <v>1</v>
      </c>
      <c r="C53" s="2">
        <f>_xlfn.XLOOKUP(наценка7[[#This Row],[№]],Д402[№],Д402[Этаж],"-",0)</f>
        <v>10</v>
      </c>
      <c r="D53" s="2">
        <f>_xlfn.XLOOKUP(наценка7[[#This Row],[№]],Д402[№],Д402[№ на этаже],"-",0)</f>
        <v>3</v>
      </c>
      <c r="E53" s="2">
        <f>_xlfn.XLOOKUP(наценка7[[#This Row],[№]],Д402[№],Д402[Тип кв],"-",0)</f>
        <v>2</v>
      </c>
      <c r="F53" s="51">
        <f>_xlfn.XLOOKUP(наценка7[[#This Row],[№]],Д402[№],Д402[Кухня],"-",0)</f>
        <v>14.53</v>
      </c>
      <c r="G53" s="51">
        <f>_xlfn.XLOOKUP(наценка7[[#This Row],[№]],Д402[№],Д402[Ванная],"-",0)</f>
        <v>3.86</v>
      </c>
      <c r="H53" s="51" t="s">
        <v>87</v>
      </c>
      <c r="I53" s="51"/>
      <c r="J53" s="51" t="s">
        <v>101</v>
      </c>
      <c r="K53" s="51"/>
      <c r="L53" s="51"/>
      <c r="M53" s="51" t="s">
        <v>83</v>
      </c>
      <c r="N53" s="51"/>
      <c r="O53" s="51" t="s">
        <v>101</v>
      </c>
      <c r="P53" s="51" t="s">
        <v>101</v>
      </c>
      <c r="Q53" s="129"/>
      <c r="R53" s="129"/>
      <c r="S53" s="51"/>
      <c r="T53" s="51">
        <f>_xlfn.XLOOKUP(наценка7[[#This Row],[№]],Д402[№],Д402[Расчетная проектная площадь],"-",0)</f>
        <v>54.76</v>
      </c>
      <c r="U53" s="17">
        <f t="shared" si="1"/>
        <v>89000</v>
      </c>
      <c r="V5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53" s="18">
        <f>наценка7[[#This Row],[Цена м2 базовая]]*наценка7[[#This Row],[Базовой K]]</f>
        <v>113030</v>
      </c>
      <c r="X5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3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53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53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3" s="55" t="str">
        <f>IF(наценка7[[#This Row],[Потолок ]]="ДА",коэффициенты!$C$13,"")</f>
        <v/>
      </c>
      <c r="AG5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5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5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3" s="52">
        <f>SUM(наценка7[[#This Row],[еврокухня]:[Лифт]])*наценка7[[#This Row],[Цена м2 с БK]]+наценка7[[#This Row],[Цена м2 с БK]]</f>
        <v>117551.2</v>
      </c>
      <c r="AQ53" s="51">
        <f>VLOOKUP(наценка7[[#This Row],[№]],Д402[],COLUMN(Д402[[#This Row],[утв цена м2]]),0)</f>
        <v>119377.62</v>
      </c>
      <c r="AR53" s="3">
        <f>наценка7[[#This Row],[утв цена м2]]*наценка7[[#This Row],[Расчетная проектная площадь]]</f>
        <v>6537118.4711999996</v>
      </c>
      <c r="AS53" s="27" t="str">
        <f>VLOOKUP(наценка7[[#This Row],[№]],Д402[],COLUMN('Реестр ОН'!$BA$1),0)</f>
        <v>Стр. Резерв</v>
      </c>
      <c r="AT53" s="281">
        <f>ROUND(наценка7[[#This Row],[Цена м2 с учетом всех K]]*наценка7[[#This Row],[Расчетная проектная площадь]],0)</f>
        <v>6437104</v>
      </c>
      <c r="AU53" s="286">
        <v>6437104</v>
      </c>
      <c r="AV53" s="286" t="b">
        <f>наценка7[[#This Row],[Аллио]]=наценка7[[#This Row],[Первичка тест]]</f>
        <v>1</v>
      </c>
    </row>
    <row r="54" spans="1:48" hidden="1" x14ac:dyDescent="0.25">
      <c r="A54" s="65">
        <v>52</v>
      </c>
      <c r="B54" s="2">
        <f>_xlfn.XLOOKUP(наценка7[[#This Row],[№]],Д402[№],Д402[Секция],"-",0)</f>
        <v>1</v>
      </c>
      <c r="C54" s="2">
        <f>_xlfn.XLOOKUP(наценка7[[#This Row],[№]],Д402[№],Д402[Этаж],"-",0)</f>
        <v>10</v>
      </c>
      <c r="D54" s="2">
        <f>_xlfn.XLOOKUP(наценка7[[#This Row],[№]],Д402[№],Д402[№ на этаже],"-",0)</f>
        <v>4</v>
      </c>
      <c r="E54" s="2">
        <f>_xlfn.XLOOKUP(наценка7[[#This Row],[№]],Д402[№],Д402[Тип кв],"-",0)</f>
        <v>2</v>
      </c>
      <c r="F54" s="51">
        <f>_xlfn.XLOOKUP(наценка7[[#This Row],[№]],Д402[№],Д402[Кухня],"-",0)</f>
        <v>15.07</v>
      </c>
      <c r="G54" s="51">
        <f>_xlfn.XLOOKUP(наценка7[[#This Row],[№]],Д402[№],Д402[Ванная],"-",0)</f>
        <v>4.4400000000000004</v>
      </c>
      <c r="H54" s="51" t="s">
        <v>87</v>
      </c>
      <c r="I54" s="51"/>
      <c r="J54" s="51" t="s">
        <v>101</v>
      </c>
      <c r="K54" s="51"/>
      <c r="L54" s="51"/>
      <c r="M54" s="51" t="s">
        <v>83</v>
      </c>
      <c r="N54" s="51"/>
      <c r="O54" s="51" t="s">
        <v>119</v>
      </c>
      <c r="P54" s="51" t="s">
        <v>101</v>
      </c>
      <c r="Q54" s="129"/>
      <c r="R54" s="129"/>
      <c r="S54" s="51"/>
      <c r="T54" s="51">
        <f>_xlfn.XLOOKUP(наценка7[[#This Row],[№]],Д402[№],Д402[Расчетная проектная площадь],"-",0)</f>
        <v>54.69</v>
      </c>
      <c r="U54" s="17">
        <f t="shared" si="1"/>
        <v>89000</v>
      </c>
      <c r="V5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54" s="18">
        <f>наценка7[[#This Row],[Цена м2 базовая]]*наценка7[[#This Row],[Базовой K]]</f>
        <v>113030</v>
      </c>
      <c r="X5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5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4" s="55" t="str">
        <f>IF(наценка7[[#This Row],[Потолок ]]="ДА",коэффициенты!$C$13,"")</f>
        <v/>
      </c>
      <c r="AG5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5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5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4" s="52">
        <f>SUM(наценка7[[#This Row],[еврокухня]:[Лифт]])*наценка7[[#This Row],[Цена м2 с БK]]+наценка7[[#This Row],[Цена м2 с БK]]</f>
        <v>119811.8</v>
      </c>
      <c r="AQ54" s="51">
        <f>VLOOKUP(наценка7[[#This Row],[№]],Д402[],COLUMN(Д402[[#This Row],[утв цена м2]]),0)</f>
        <v>121649.52</v>
      </c>
      <c r="AR54" s="3">
        <f>наценка7[[#This Row],[утв цена м2]]*наценка7[[#This Row],[Расчетная проектная площадь]]</f>
        <v>6653012.2488000002</v>
      </c>
      <c r="AS54" s="27" t="str">
        <f>VLOOKUP(наценка7[[#This Row],[№]],Д402[],COLUMN('Реестр ОН'!$BA$1),0)</f>
        <v>Продажа</v>
      </c>
      <c r="AT54" s="281">
        <f>ROUND(наценка7[[#This Row],[Цена м2 с учетом всех K]]*наценка7[[#This Row],[Расчетная проектная площадь]],0)</f>
        <v>6552507</v>
      </c>
      <c r="AU54" s="286">
        <v>6552507</v>
      </c>
      <c r="AV54" s="286" t="b">
        <f>наценка7[[#This Row],[Аллио]]=наценка7[[#This Row],[Первичка тест]]</f>
        <v>1</v>
      </c>
    </row>
    <row r="55" spans="1:48" hidden="1" x14ac:dyDescent="0.25">
      <c r="A55" s="65">
        <v>53</v>
      </c>
      <c r="B55" s="2">
        <f>_xlfn.XLOOKUP(наценка7[[#This Row],[№]],Д402[№],Д402[Секция],"-",0)</f>
        <v>1</v>
      </c>
      <c r="C55" s="2">
        <f>_xlfn.XLOOKUP(наценка7[[#This Row],[№]],Д402[№],Д402[Этаж],"-",0)</f>
        <v>10</v>
      </c>
      <c r="D55" s="2">
        <f>_xlfn.XLOOKUP(наценка7[[#This Row],[№]],Д402[№],Д402[№ на этаже],"-",0)</f>
        <v>5</v>
      </c>
      <c r="E55" s="2">
        <f>_xlfn.XLOOKUP(наценка7[[#This Row],[№]],Д402[№],Д402[Тип кв],"-",0)</f>
        <v>1</v>
      </c>
      <c r="F55" s="51">
        <f>_xlfn.XLOOKUP(наценка7[[#This Row],[№]],Д402[№],Д402[Кухня],"-",0)</f>
        <v>15.01</v>
      </c>
      <c r="G55" s="51">
        <f>_xlfn.XLOOKUP(наценка7[[#This Row],[№]],Д402[№],Д402[Ванная],"-",0)</f>
        <v>4.4400000000000004</v>
      </c>
      <c r="H55" s="51" t="s">
        <v>87</v>
      </c>
      <c r="I55" s="51"/>
      <c r="J55" s="51" t="s">
        <v>101</v>
      </c>
      <c r="K55" s="51" t="s">
        <v>101</v>
      </c>
      <c r="L55" s="51"/>
      <c r="M55" s="51" t="s">
        <v>83</v>
      </c>
      <c r="N55" s="51"/>
      <c r="O55" s="51" t="s">
        <v>119</v>
      </c>
      <c r="P55" s="51" t="s">
        <v>101</v>
      </c>
      <c r="Q55" s="129"/>
      <c r="R55" s="129"/>
      <c r="S55" s="51"/>
      <c r="T55" s="51">
        <f>_xlfn.XLOOKUP(наценка7[[#This Row],[№]],Д402[№],Д402[Расчетная проектная площадь],"-",0)</f>
        <v>36.92</v>
      </c>
      <c r="U55" s="17">
        <f t="shared" si="1"/>
        <v>89000</v>
      </c>
      <c r="V5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55" s="18">
        <f>наценка7[[#This Row],[Цена м2 базовая]]*наценка7[[#This Row],[Базовой K]]</f>
        <v>119260</v>
      </c>
      <c r="X5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55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5" s="55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5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5" s="55" t="str">
        <f>IF(наценка7[[#This Row],[Потолок ]]="ДА",коэффициенты!$C$13,"")</f>
        <v/>
      </c>
      <c r="AG5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5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5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5" s="52">
        <f>SUM(наценка7[[#This Row],[еврокухня]:[Лифт]])*наценка7[[#This Row],[Цена м2 с БK]]+наценка7[[#This Row],[Цена м2 с БK]]</f>
        <v>126415.6</v>
      </c>
      <c r="AQ55" s="51">
        <f>VLOOKUP(наценка7[[#This Row],[№]],Д402[],COLUMN(Д402[[#This Row],[утв цена м2]]),0)</f>
        <v>129943.91</v>
      </c>
      <c r="AR55" s="3">
        <f>наценка7[[#This Row],[утв цена м2]]*наценка7[[#This Row],[Расчетная проектная площадь]]</f>
        <v>4797529.1572000002</v>
      </c>
      <c r="AS55" s="27" t="str">
        <f>VLOOKUP(наценка7[[#This Row],[№]],Д402[],COLUMN('Реестр ОН'!$BA$1),0)</f>
        <v>Продажа</v>
      </c>
      <c r="AT55" s="281">
        <f>ROUND(наценка7[[#This Row],[Цена м2 с учетом всех K]]*наценка7[[#This Row],[Расчетная проектная площадь]],0)</f>
        <v>4667264</v>
      </c>
      <c r="AU55" s="286">
        <v>4667264</v>
      </c>
      <c r="AV55" s="286" t="b">
        <f>наценка7[[#This Row],[Аллио]]=наценка7[[#This Row],[Первичка тест]]</f>
        <v>1</v>
      </c>
    </row>
    <row r="56" spans="1:48" hidden="1" x14ac:dyDescent="0.25">
      <c r="A56" s="65">
        <v>54</v>
      </c>
      <c r="B56" s="2">
        <f>_xlfn.XLOOKUP(наценка7[[#This Row],[№]],Д402[№],Д402[Секция],"-",0)</f>
        <v>1</v>
      </c>
      <c r="C56" s="2">
        <f>_xlfn.XLOOKUP(наценка7[[#This Row],[№]],Д402[№],Д402[Этаж],"-",0)</f>
        <v>10</v>
      </c>
      <c r="D56" s="2">
        <f>_xlfn.XLOOKUP(наценка7[[#This Row],[№]],Д402[№],Д402[№ на этаже],"-",0)</f>
        <v>6</v>
      </c>
      <c r="E56" s="2">
        <f>_xlfn.XLOOKUP(наценка7[[#This Row],[№]],Д402[№],Д402[Тип кв],"-",0)</f>
        <v>1</v>
      </c>
      <c r="F56" s="51">
        <f>_xlfn.XLOOKUP(наценка7[[#This Row],[№]],Д402[№],Д402[Кухня],"-",0)</f>
        <v>16.850000000000001</v>
      </c>
      <c r="G56" s="51">
        <f>_xlfn.XLOOKUP(наценка7[[#This Row],[№]],Д402[№],Д402[Ванная],"-",0)</f>
        <v>4.46</v>
      </c>
      <c r="H56" s="51" t="s">
        <v>84</v>
      </c>
      <c r="I56" s="51"/>
      <c r="J56" s="51" t="s">
        <v>101</v>
      </c>
      <c r="K56" s="51" t="s">
        <v>101</v>
      </c>
      <c r="L56" s="51"/>
      <c r="M56" s="51" t="s">
        <v>83</v>
      </c>
      <c r="N56" s="51" t="s">
        <v>101</v>
      </c>
      <c r="O56" s="51" t="s">
        <v>119</v>
      </c>
      <c r="P56" s="51" t="s">
        <v>101</v>
      </c>
      <c r="Q56" s="129"/>
      <c r="R56" s="129"/>
      <c r="S56" s="51"/>
      <c r="T56" s="51">
        <f>_xlfn.XLOOKUP(наценка7[[#This Row],[№]],Д402[№],Д402[Расчетная проектная площадь],"-",0)</f>
        <v>45.18</v>
      </c>
      <c r="U56" s="17">
        <f t="shared" si="1"/>
        <v>89000</v>
      </c>
      <c r="V5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56" s="18">
        <f>наценка7[[#This Row],[Цена м2 базовая]]*наценка7[[#This Row],[Базовой K]]</f>
        <v>119260</v>
      </c>
      <c r="X5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56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6" s="55" t="str">
        <f>IF(наценка7[[#This Row],[Потолок ]]="ДА",коэффициенты!$C$13,"")</f>
        <v/>
      </c>
      <c r="AG5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5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5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6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5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6" s="52">
        <f>SUM(наценка7[[#This Row],[еврокухня]:[Лифт]])*наценка7[[#This Row],[Цена м2 с БK]]+наценка7[[#This Row],[Цена м2 с БK]]</f>
        <v>122837.8</v>
      </c>
      <c r="AQ56" s="51">
        <f>VLOOKUP(наценка7[[#This Row],[№]],Д402[],COLUMN(Д402[[#This Row],[утв цена м2]]),0)</f>
        <v>129740.87</v>
      </c>
      <c r="AR56" s="3">
        <f>наценка7[[#This Row],[утв цена м2]]*наценка7[[#This Row],[Расчетная проектная площадь]]</f>
        <v>5861692.5066</v>
      </c>
      <c r="AS56" s="27" t="str">
        <f>VLOOKUP(наценка7[[#This Row],[№]],Д402[],COLUMN('Реестр ОН'!$BA$1),0)</f>
        <v>Стр. Резерв</v>
      </c>
      <c r="AT56" s="281">
        <f>ROUND(наценка7[[#This Row],[Цена м2 с учетом всех K]]*наценка7[[#This Row],[Расчетная проектная площадь]],0)</f>
        <v>5549812</v>
      </c>
      <c r="AU56" s="286">
        <v>5549812</v>
      </c>
      <c r="AV56" s="286" t="b">
        <f>наценка7[[#This Row],[Аллио]]=наценка7[[#This Row],[Первичка тест]]</f>
        <v>1</v>
      </c>
    </row>
    <row r="57" spans="1:48" hidden="1" x14ac:dyDescent="0.25">
      <c r="A57" s="65">
        <v>55</v>
      </c>
      <c r="B57" s="2">
        <f>_xlfn.XLOOKUP(наценка7[[#This Row],[№]],Д402[№],Д402[Секция],"-",0)</f>
        <v>1</v>
      </c>
      <c r="C57" s="2">
        <f>_xlfn.XLOOKUP(наценка7[[#This Row],[№]],Д402[№],Д402[Этаж],"-",0)</f>
        <v>11</v>
      </c>
      <c r="D57" s="2">
        <f>_xlfn.XLOOKUP(наценка7[[#This Row],[№]],Д402[№],Д402[№ на этаже],"-",0)</f>
        <v>1</v>
      </c>
      <c r="E57" s="2">
        <f>_xlfn.XLOOKUP(наценка7[[#This Row],[№]],Д402[№],Д402[Тип кв],"-",0)</f>
        <v>0</v>
      </c>
      <c r="F57" s="3">
        <f>_xlfn.XLOOKUP(наценка7[[#This Row],[№]],Д402[№],Д402[Кухня],"-",0)</f>
        <v>6.15</v>
      </c>
      <c r="G57" s="51">
        <f>_xlfn.XLOOKUP(наценка7[[#This Row],[№]],Д402[№],Д402[Ванная],"-",0)</f>
        <v>4.95</v>
      </c>
      <c r="H57" s="51" t="s">
        <v>84</v>
      </c>
      <c r="I57" s="51"/>
      <c r="J57" s="51"/>
      <c r="K57" s="51" t="s">
        <v>101</v>
      </c>
      <c r="L57" s="51" t="s">
        <v>119</v>
      </c>
      <c r="M57" s="51" t="s">
        <v>83</v>
      </c>
      <c r="N57" s="51"/>
      <c r="O57" s="51" t="s">
        <v>119</v>
      </c>
      <c r="P57" s="51"/>
      <c r="Q57" s="129"/>
      <c r="R57" s="51"/>
      <c r="S57" s="51" t="s">
        <v>101</v>
      </c>
      <c r="T57" s="51">
        <f>_xlfn.XLOOKUP(наценка7[[#This Row],[№]],Д402[№],Д402[Расчетная проектная площадь],"-",0)</f>
        <v>29.62</v>
      </c>
      <c r="U57" s="17">
        <f t="shared" si="1"/>
        <v>89000</v>
      </c>
      <c r="V5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57" s="18">
        <f>наценка7[[#This Row],[Цена м2 базовая]]*наценка7[[#This Row],[Базовой K]]</f>
        <v>139730</v>
      </c>
      <c r="X5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5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7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5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5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7" s="55" t="str">
        <f>IF(наценка7[[#This Row],[Потолок ]]="ДА",коэффициенты!$C$13,"")</f>
        <v/>
      </c>
      <c r="AG5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5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5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7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5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7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57" s="52">
        <f>SUM(наценка7[[#This Row],[еврокухня]:[Лифт]])*наценка7[[#This Row],[Цена м2 с БK]]+наценка7[[#This Row],[Цена м2 с БK]]</f>
        <v>139730</v>
      </c>
      <c r="AQ57" s="51">
        <f>VLOOKUP(наценка7[[#This Row],[№]],Д402[],COLUMN(Д402[[#This Row],[утв цена м2]]),0)</f>
        <v>140930</v>
      </c>
      <c r="AR57" s="3">
        <f>наценка7[[#This Row],[утв цена м2]]*наценка7[[#This Row],[Расчетная проектная площадь]]</f>
        <v>4174346.6</v>
      </c>
      <c r="AS57" s="27" t="str">
        <f>VLOOKUP(наценка7[[#This Row],[№]],Д402[],COLUMN('Реестр ОН'!$BA$1),0)</f>
        <v>Продажа</v>
      </c>
      <c r="AT57" s="281">
        <f>ROUND(наценка7[[#This Row],[Цена м2 с учетом всех K]]*наценка7[[#This Row],[Расчетная проектная площадь]],0)</f>
        <v>4138803</v>
      </c>
      <c r="AU57" s="286">
        <v>4138803</v>
      </c>
      <c r="AV57" s="286" t="b">
        <f>наценка7[[#This Row],[Аллио]]=наценка7[[#This Row],[Первичка тест]]</f>
        <v>1</v>
      </c>
    </row>
    <row r="58" spans="1:48" hidden="1" x14ac:dyDescent="0.25">
      <c r="A58" s="65">
        <v>56</v>
      </c>
      <c r="B58" s="2">
        <f>_xlfn.XLOOKUP(наценка7[[#This Row],[№]],Д402[№],Д402[Секция],"-",0)</f>
        <v>1</v>
      </c>
      <c r="C58" s="2">
        <f>_xlfn.XLOOKUP(наценка7[[#This Row],[№]],Д402[№],Д402[Этаж],"-",0)</f>
        <v>11</v>
      </c>
      <c r="D58" s="2">
        <f>_xlfn.XLOOKUP(наценка7[[#This Row],[№]],Д402[№],Д402[№ на этаже],"-",0)</f>
        <v>2</v>
      </c>
      <c r="E58" s="2">
        <f>_xlfn.XLOOKUP(наценка7[[#This Row],[№]],Д402[№],Д402[Тип кв],"-",0)</f>
        <v>2</v>
      </c>
      <c r="F58" s="51">
        <f>_xlfn.XLOOKUP(наценка7[[#This Row],[№]],Д402[№],Д402[Кухня],"-",0)</f>
        <v>17.61</v>
      </c>
      <c r="G58" s="51">
        <f>_xlfn.XLOOKUP(наценка7[[#This Row],[№]],Д402[№],Д402[Ванная],"-",0)</f>
        <v>4.25</v>
      </c>
      <c r="H58" s="51" t="s">
        <v>85</v>
      </c>
      <c r="I58" s="51"/>
      <c r="J58" s="51" t="s">
        <v>101</v>
      </c>
      <c r="K58" s="51"/>
      <c r="L58" s="51"/>
      <c r="M58" s="51" t="s">
        <v>83</v>
      </c>
      <c r="N58" s="51"/>
      <c r="O58" s="51" t="s">
        <v>101</v>
      </c>
      <c r="P58" s="51"/>
      <c r="Q58" s="129"/>
      <c r="R58" s="51" t="s">
        <v>101</v>
      </c>
      <c r="S58" s="51"/>
      <c r="T58" s="51">
        <f>_xlfn.XLOOKUP(наценка7[[#This Row],[№]],Д402[№],Д402[Расчетная проектная площадь],"-",0)</f>
        <v>60.02</v>
      </c>
      <c r="U58" s="17">
        <f t="shared" si="1"/>
        <v>89000</v>
      </c>
      <c r="V5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58" s="18">
        <f>наценка7[[#This Row],[Цена м2 базовая]]*наценка7[[#This Row],[Базовой K]]</f>
        <v>113030</v>
      </c>
      <c r="X5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5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58" s="55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58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8" s="55" t="str">
        <f>IF(наценка7[[#This Row],[Потолок ]]="ДА",коэффициенты!$C$13,"")</f>
        <v/>
      </c>
      <c r="AG5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58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58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5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8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5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8" s="52">
        <f>SUM(наценка7[[#This Row],[еврокухня]:[Лифт]])*наценка7[[#This Row],[Цена м2 с БK]]+наценка7[[#This Row],[Цена м2 с БK]]</f>
        <v>117551.2</v>
      </c>
      <c r="AQ58" s="51">
        <f>VLOOKUP(наценка7[[#This Row],[№]],Д402[],COLUMN(Д402[[#This Row],[утв цена м2]]),0)</f>
        <v>122958.95</v>
      </c>
      <c r="AR58" s="3">
        <f>наценка7[[#This Row],[утв цена м2]]*наценка7[[#This Row],[Расчетная проектная площадь]]</f>
        <v>7379996.1790000005</v>
      </c>
      <c r="AS58" s="27" t="str">
        <f>VLOOKUP(наценка7[[#This Row],[№]],Д402[],COLUMN('Реестр ОН'!$BA$1),0)</f>
        <v>Свободно</v>
      </c>
      <c r="AT58" s="281">
        <f>ROUND(наценка7[[#This Row],[Цена м2 с учетом всех K]]*наценка7[[#This Row],[Расчетная проектная площадь]],0)</f>
        <v>7055423</v>
      </c>
      <c r="AU58" s="286">
        <v>7055423</v>
      </c>
      <c r="AV58" s="286" t="b">
        <f>наценка7[[#This Row],[Аллио]]=наценка7[[#This Row],[Первичка тест]]</f>
        <v>1</v>
      </c>
    </row>
    <row r="59" spans="1:48" hidden="1" x14ac:dyDescent="0.25">
      <c r="A59" s="65">
        <v>57</v>
      </c>
      <c r="B59" s="2">
        <f>_xlfn.XLOOKUP(наценка7[[#This Row],[№]],Д402[№],Д402[Секция],"-",0)</f>
        <v>1</v>
      </c>
      <c r="C59" s="2">
        <f>_xlfn.XLOOKUP(наценка7[[#This Row],[№]],Д402[№],Д402[Этаж],"-",0)</f>
        <v>11</v>
      </c>
      <c r="D59" s="2">
        <f>_xlfn.XLOOKUP(наценка7[[#This Row],[№]],Д402[№],Д402[№ на этаже],"-",0)</f>
        <v>3</v>
      </c>
      <c r="E59" s="2">
        <f>_xlfn.XLOOKUP(наценка7[[#This Row],[№]],Д402[№],Д402[Тип кв],"-",0)</f>
        <v>2</v>
      </c>
      <c r="F59" s="51">
        <f>_xlfn.XLOOKUP(наценка7[[#This Row],[№]],Д402[№],Д402[Кухня],"-",0)</f>
        <v>14.53</v>
      </c>
      <c r="G59" s="51">
        <f>_xlfn.XLOOKUP(наценка7[[#This Row],[№]],Д402[№],Д402[Ванная],"-",0)</f>
        <v>3.86</v>
      </c>
      <c r="H59" s="51" t="s">
        <v>87</v>
      </c>
      <c r="I59" s="51"/>
      <c r="J59" s="51" t="s">
        <v>101</v>
      </c>
      <c r="K59" s="51"/>
      <c r="L59" s="51"/>
      <c r="M59" s="51" t="s">
        <v>83</v>
      </c>
      <c r="N59" s="51"/>
      <c r="O59" s="51" t="s">
        <v>101</v>
      </c>
      <c r="P59" s="51" t="s">
        <v>101</v>
      </c>
      <c r="Q59" s="129"/>
      <c r="R59" s="129"/>
      <c r="S59" s="51"/>
      <c r="T59" s="51">
        <f>_xlfn.XLOOKUP(наценка7[[#This Row],[№]],Д402[№],Д402[Расчетная проектная площадь],"-",0)</f>
        <v>54.76</v>
      </c>
      <c r="U59" s="17">
        <f t="shared" si="1"/>
        <v>89000</v>
      </c>
      <c r="V5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59" s="18">
        <f>наценка7[[#This Row],[Цена м2 базовая]]*наценка7[[#This Row],[Базовой K]]</f>
        <v>113030</v>
      </c>
      <c r="X5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5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59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5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5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5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5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5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59" s="55" t="str">
        <f>IF(наценка7[[#This Row],[Потолок ]]="ДА",коэффициенты!$C$13,"")</f>
        <v/>
      </c>
      <c r="AG5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5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5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5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5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5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5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5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5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59" s="52">
        <f>SUM(наценка7[[#This Row],[еврокухня]:[Лифт]])*наценка7[[#This Row],[Цена м2 с БK]]+наценка7[[#This Row],[Цена м2 с БK]]</f>
        <v>117551.2</v>
      </c>
      <c r="AQ59" s="51">
        <f>VLOOKUP(наценка7[[#This Row],[№]],Д402[],COLUMN(Д402[[#This Row],[утв цена м2]]),0)</f>
        <v>119377.62</v>
      </c>
      <c r="AR59" s="3">
        <f>наценка7[[#This Row],[утв цена м2]]*наценка7[[#This Row],[Расчетная проектная площадь]]</f>
        <v>6537118.4711999996</v>
      </c>
      <c r="AS59" s="27" t="str">
        <f>VLOOKUP(наценка7[[#This Row],[№]],Д402[],COLUMN('Реестр ОН'!$BA$1),0)</f>
        <v>Стр. Резерв</v>
      </c>
      <c r="AT59" s="281">
        <f>ROUND(наценка7[[#This Row],[Цена м2 с учетом всех K]]*наценка7[[#This Row],[Расчетная проектная площадь]],0)</f>
        <v>6437104</v>
      </c>
      <c r="AU59" s="286">
        <v>6437104</v>
      </c>
      <c r="AV59" s="286" t="b">
        <f>наценка7[[#This Row],[Аллио]]=наценка7[[#This Row],[Первичка тест]]</f>
        <v>1</v>
      </c>
    </row>
    <row r="60" spans="1:48" hidden="1" x14ac:dyDescent="0.25">
      <c r="A60" s="65">
        <v>58</v>
      </c>
      <c r="B60" s="2">
        <f>_xlfn.XLOOKUP(наценка7[[#This Row],[№]],Д402[№],Д402[Секция],"-",0)</f>
        <v>1</v>
      </c>
      <c r="C60" s="2">
        <f>_xlfn.XLOOKUP(наценка7[[#This Row],[№]],Д402[№],Д402[Этаж],"-",0)</f>
        <v>11</v>
      </c>
      <c r="D60" s="2">
        <f>_xlfn.XLOOKUP(наценка7[[#This Row],[№]],Д402[№],Д402[№ на этаже],"-",0)</f>
        <v>4</v>
      </c>
      <c r="E60" s="2">
        <f>_xlfn.XLOOKUP(наценка7[[#This Row],[№]],Д402[№],Д402[Тип кв],"-",0)</f>
        <v>2</v>
      </c>
      <c r="F60" s="51">
        <f>_xlfn.XLOOKUP(наценка7[[#This Row],[№]],Д402[№],Д402[Кухня],"-",0)</f>
        <v>15.07</v>
      </c>
      <c r="G60" s="51">
        <f>_xlfn.XLOOKUP(наценка7[[#This Row],[№]],Д402[№],Д402[Ванная],"-",0)</f>
        <v>4.4400000000000004</v>
      </c>
      <c r="H60" s="51" t="s">
        <v>87</v>
      </c>
      <c r="I60" s="51"/>
      <c r="J60" s="51" t="s">
        <v>101</v>
      </c>
      <c r="K60" s="51"/>
      <c r="L60" s="51"/>
      <c r="M60" s="51" t="s">
        <v>83</v>
      </c>
      <c r="N60" s="51"/>
      <c r="O60" s="51" t="s">
        <v>119</v>
      </c>
      <c r="P60" s="51" t="s">
        <v>101</v>
      </c>
      <c r="Q60" s="129"/>
      <c r="R60" s="129"/>
      <c r="S60" s="51"/>
      <c r="T60" s="51">
        <f>_xlfn.XLOOKUP(наценка7[[#This Row],[№]],Д402[№],Д402[Расчетная проектная площадь],"-",0)</f>
        <v>54.69</v>
      </c>
      <c r="U60" s="17">
        <f t="shared" si="1"/>
        <v>89000</v>
      </c>
      <c r="V6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60" s="18">
        <f>наценка7[[#This Row],[Цена м2 базовая]]*наценка7[[#This Row],[Базовой K]]</f>
        <v>113030</v>
      </c>
      <c r="X6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0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60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0" s="55" t="str">
        <f>IF(наценка7[[#This Row],[Потолок ]]="ДА",коэффициенты!$C$13,"")</f>
        <v/>
      </c>
      <c r="AG6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6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6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0" s="52">
        <f>SUM(наценка7[[#This Row],[еврокухня]:[Лифт]])*наценка7[[#This Row],[Цена м2 с БK]]+наценка7[[#This Row],[Цена м2 с БK]]</f>
        <v>119811.8</v>
      </c>
      <c r="AQ60" s="51">
        <f>VLOOKUP(наценка7[[#This Row],[№]],Д402[],COLUMN(Д402[[#This Row],[утв цена м2]]),0)</f>
        <v>121649.52</v>
      </c>
      <c r="AR60" s="3">
        <f>наценка7[[#This Row],[утв цена м2]]*наценка7[[#This Row],[Расчетная проектная площадь]]</f>
        <v>6653012.2488000002</v>
      </c>
      <c r="AS60" s="27" t="str">
        <f>VLOOKUP(наценка7[[#This Row],[№]],Д402[],COLUMN('Реестр ОН'!$BA$1),0)</f>
        <v>Стр. Резерв</v>
      </c>
      <c r="AT60" s="281">
        <f>ROUND(наценка7[[#This Row],[Цена м2 с учетом всех K]]*наценка7[[#This Row],[Расчетная проектная площадь]],0)</f>
        <v>6552507</v>
      </c>
      <c r="AU60" s="286">
        <v>6552507</v>
      </c>
      <c r="AV60" s="286" t="b">
        <f>наценка7[[#This Row],[Аллио]]=наценка7[[#This Row],[Первичка тест]]</f>
        <v>1</v>
      </c>
    </row>
    <row r="61" spans="1:48" hidden="1" x14ac:dyDescent="0.25">
      <c r="A61" s="65">
        <v>59</v>
      </c>
      <c r="B61" s="2">
        <f>_xlfn.XLOOKUP(наценка7[[#This Row],[№]],Д402[№],Д402[Секция],"-",0)</f>
        <v>1</v>
      </c>
      <c r="C61" s="2">
        <f>_xlfn.XLOOKUP(наценка7[[#This Row],[№]],Д402[№],Д402[Этаж],"-",0)</f>
        <v>11</v>
      </c>
      <c r="D61" s="2">
        <f>_xlfn.XLOOKUP(наценка7[[#This Row],[№]],Д402[№],Д402[№ на этаже],"-",0)</f>
        <v>5</v>
      </c>
      <c r="E61" s="2">
        <f>_xlfn.XLOOKUP(наценка7[[#This Row],[№]],Д402[№],Д402[Тип кв],"-",0)</f>
        <v>1</v>
      </c>
      <c r="F61" s="51">
        <f>_xlfn.XLOOKUP(наценка7[[#This Row],[№]],Д402[№],Д402[Кухня],"-",0)</f>
        <v>15.01</v>
      </c>
      <c r="G61" s="51">
        <f>_xlfn.XLOOKUP(наценка7[[#This Row],[№]],Д402[№],Д402[Ванная],"-",0)</f>
        <v>4.4400000000000004</v>
      </c>
      <c r="H61" s="51" t="s">
        <v>87</v>
      </c>
      <c r="I61" s="51"/>
      <c r="J61" s="51" t="s">
        <v>101</v>
      </c>
      <c r="K61" s="51" t="s">
        <v>101</v>
      </c>
      <c r="L61" s="51"/>
      <c r="M61" s="51" t="s">
        <v>83</v>
      </c>
      <c r="N61" s="51"/>
      <c r="O61" s="51" t="s">
        <v>119</v>
      </c>
      <c r="P61" s="51" t="s">
        <v>101</v>
      </c>
      <c r="Q61" s="129"/>
      <c r="R61" s="129"/>
      <c r="S61" s="51"/>
      <c r="T61" s="51">
        <f>_xlfn.XLOOKUP(наценка7[[#This Row],[№]],Д402[№],Д402[Расчетная проектная площадь],"-",0)</f>
        <v>36.92</v>
      </c>
      <c r="U61" s="17">
        <f t="shared" si="1"/>
        <v>89000</v>
      </c>
      <c r="V6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61" s="18">
        <f>наценка7[[#This Row],[Цена м2 базовая]]*наценка7[[#This Row],[Базовой K]]</f>
        <v>119260</v>
      </c>
      <c r="X6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61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6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1" s="55" t="str">
        <f>IF(наценка7[[#This Row],[Потолок ]]="ДА",коэффициенты!$C$13,"")</f>
        <v/>
      </c>
      <c r="AG6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6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6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1" s="52">
        <f>SUM(наценка7[[#This Row],[еврокухня]:[Лифт]])*наценка7[[#This Row],[Цена м2 с БK]]+наценка7[[#This Row],[Цена м2 с БK]]</f>
        <v>126415.6</v>
      </c>
      <c r="AQ61" s="51">
        <f>VLOOKUP(наценка7[[#This Row],[№]],Д402[],COLUMN(Д402[[#This Row],[утв цена м2]]),0)</f>
        <v>129943.91</v>
      </c>
      <c r="AR61" s="3">
        <f>наценка7[[#This Row],[утв цена м2]]*наценка7[[#This Row],[Расчетная проектная площадь]]</f>
        <v>4797529.1572000002</v>
      </c>
      <c r="AS61" s="27" t="str">
        <f>VLOOKUP(наценка7[[#This Row],[№]],Д402[],COLUMN('Реестр ОН'!$BA$1),0)</f>
        <v>Продажа</v>
      </c>
      <c r="AT61" s="281">
        <f>ROUND(наценка7[[#This Row],[Цена м2 с учетом всех K]]*наценка7[[#This Row],[Расчетная проектная площадь]],0)</f>
        <v>4667264</v>
      </c>
      <c r="AU61" s="286">
        <v>4667264</v>
      </c>
      <c r="AV61" s="286" t="b">
        <f>наценка7[[#This Row],[Аллио]]=наценка7[[#This Row],[Первичка тест]]</f>
        <v>1</v>
      </c>
    </row>
    <row r="62" spans="1:48" hidden="1" x14ac:dyDescent="0.25">
      <c r="A62" s="65">
        <v>60</v>
      </c>
      <c r="B62" s="2">
        <f>_xlfn.XLOOKUP(наценка7[[#This Row],[№]],Д402[№],Д402[Секция],"-",0)</f>
        <v>1</v>
      </c>
      <c r="C62" s="2">
        <f>_xlfn.XLOOKUP(наценка7[[#This Row],[№]],Д402[№],Д402[Этаж],"-",0)</f>
        <v>11</v>
      </c>
      <c r="D62" s="2">
        <f>_xlfn.XLOOKUP(наценка7[[#This Row],[№]],Д402[№],Д402[№ на этаже],"-",0)</f>
        <v>6</v>
      </c>
      <c r="E62" s="2">
        <f>_xlfn.XLOOKUP(наценка7[[#This Row],[№]],Д402[№],Д402[Тип кв],"-",0)</f>
        <v>1</v>
      </c>
      <c r="F62" s="51">
        <f>_xlfn.XLOOKUP(наценка7[[#This Row],[№]],Д402[№],Д402[Кухня],"-",0)</f>
        <v>16.850000000000001</v>
      </c>
      <c r="G62" s="51">
        <f>_xlfn.XLOOKUP(наценка7[[#This Row],[№]],Д402[№],Д402[Ванная],"-",0)</f>
        <v>4.46</v>
      </c>
      <c r="H62" s="51" t="s">
        <v>84</v>
      </c>
      <c r="I62" s="51"/>
      <c r="J62" s="51" t="s">
        <v>101</v>
      </c>
      <c r="K62" s="51" t="s">
        <v>101</v>
      </c>
      <c r="L62" s="51"/>
      <c r="M62" s="51" t="s">
        <v>83</v>
      </c>
      <c r="N62" s="51" t="s">
        <v>101</v>
      </c>
      <c r="O62" s="51" t="s">
        <v>119</v>
      </c>
      <c r="P62" s="51" t="s">
        <v>101</v>
      </c>
      <c r="Q62" s="129"/>
      <c r="R62" s="129"/>
      <c r="S62" s="51"/>
      <c r="T62" s="51">
        <f>_xlfn.XLOOKUP(наценка7[[#This Row],[№]],Д402[№],Д402[Расчетная проектная площадь],"-",0)</f>
        <v>45.18</v>
      </c>
      <c r="U62" s="17">
        <f t="shared" si="1"/>
        <v>89000</v>
      </c>
      <c r="V6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62" s="18">
        <f>наценка7[[#This Row],[Цена м2 базовая]]*наценка7[[#This Row],[Базовой K]]</f>
        <v>119260</v>
      </c>
      <c r="X6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62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2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2" s="55" t="str">
        <f>IF(наценка7[[#This Row],[Потолок ]]="ДА",коэффициенты!$C$13,"")</f>
        <v/>
      </c>
      <c r="AG6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6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6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2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6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2" s="52">
        <f>SUM(наценка7[[#This Row],[еврокухня]:[Лифт]])*наценка7[[#This Row],[Цена м2 с БK]]+наценка7[[#This Row],[Цена м2 с БK]]</f>
        <v>122837.8</v>
      </c>
      <c r="AQ62" s="51">
        <f>VLOOKUP(наценка7[[#This Row],[№]],Д402[],COLUMN(Д402[[#This Row],[утв цена м2]]),0)</f>
        <v>129740.87</v>
      </c>
      <c r="AR62" s="3">
        <f>наценка7[[#This Row],[утв цена м2]]*наценка7[[#This Row],[Расчетная проектная площадь]]</f>
        <v>5861692.5066</v>
      </c>
      <c r="AS62" s="27" t="str">
        <f>VLOOKUP(наценка7[[#This Row],[№]],Д402[],COLUMN('Реестр ОН'!$BA$1),0)</f>
        <v>Свободно</v>
      </c>
      <c r="AT62" s="281">
        <f>ROUND(наценка7[[#This Row],[Цена м2 с учетом всех K]]*наценка7[[#This Row],[Расчетная проектная площадь]],0)</f>
        <v>5549812</v>
      </c>
      <c r="AU62" s="286">
        <v>5549812</v>
      </c>
      <c r="AV62" s="286" t="b">
        <f>наценка7[[#This Row],[Аллио]]=наценка7[[#This Row],[Первичка тест]]</f>
        <v>1</v>
      </c>
    </row>
    <row r="63" spans="1:48" hidden="1" x14ac:dyDescent="0.25">
      <c r="A63" s="65">
        <v>61</v>
      </c>
      <c r="B63" s="2">
        <f>_xlfn.XLOOKUP(наценка7[[#This Row],[№]],Д402[№],Д402[Секция],"-",0)</f>
        <v>1</v>
      </c>
      <c r="C63" s="2">
        <f>_xlfn.XLOOKUP(наценка7[[#This Row],[№]],Д402[№],Д402[Этаж],"-",0)</f>
        <v>12</v>
      </c>
      <c r="D63" s="2">
        <f>_xlfn.XLOOKUP(наценка7[[#This Row],[№]],Д402[№],Д402[№ на этаже],"-",0)</f>
        <v>1</v>
      </c>
      <c r="E63" s="2">
        <f>_xlfn.XLOOKUP(наценка7[[#This Row],[№]],Д402[№],Д402[Тип кв],"-",0)</f>
        <v>0</v>
      </c>
      <c r="F63" s="51">
        <f>_xlfn.XLOOKUP(наценка7[[#This Row],[№]],Д402[№],Д402[Кухня],"-",0)</f>
        <v>6.15</v>
      </c>
      <c r="G63" s="51">
        <f>_xlfn.XLOOKUP(наценка7[[#This Row],[№]],Д402[№],Д402[Ванная],"-",0)</f>
        <v>4.95</v>
      </c>
      <c r="H63" s="51" t="s">
        <v>84</v>
      </c>
      <c r="I63" s="51"/>
      <c r="J63" s="51"/>
      <c r="K63" s="51" t="s">
        <v>101</v>
      </c>
      <c r="L63" s="51" t="s">
        <v>119</v>
      </c>
      <c r="M63" s="51" t="s">
        <v>83</v>
      </c>
      <c r="N63" s="51"/>
      <c r="O63" s="51" t="s">
        <v>119</v>
      </c>
      <c r="P63" s="51"/>
      <c r="Q63" s="129"/>
      <c r="R63" s="51"/>
      <c r="S63" s="51" t="s">
        <v>101</v>
      </c>
      <c r="T63" s="51">
        <f>_xlfn.XLOOKUP(наценка7[[#This Row],[№]],Д402[№],Д402[Расчетная проектная площадь],"-",0)</f>
        <v>29.62</v>
      </c>
      <c r="U63" s="17">
        <f t="shared" si="1"/>
        <v>89000</v>
      </c>
      <c r="V6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63" s="18">
        <f>наценка7[[#This Row],[Цена м2 базовая]]*наценка7[[#This Row],[Базовой K]]</f>
        <v>139730</v>
      </c>
      <c r="X6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6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63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6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3" s="55" t="str">
        <f>IF(наценка7[[#This Row],[Потолок ]]="ДА",коэффициенты!$C$13,"")</f>
        <v/>
      </c>
      <c r="AG6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6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6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6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3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63" s="52">
        <f>SUM(наценка7[[#This Row],[еврокухня]:[Лифт]])*наценка7[[#This Row],[Цена м2 с БK]]+наценка7[[#This Row],[Цена м2 с БK]]</f>
        <v>139730</v>
      </c>
      <c r="AQ63" s="51">
        <f>VLOOKUP(наценка7[[#This Row],[№]],Д402[],COLUMN(Д402[[#This Row],[утв цена м2]]),0)</f>
        <v>141162.5</v>
      </c>
      <c r="AR63" s="3">
        <f>наценка7[[#This Row],[утв цена м2]]*наценка7[[#This Row],[Расчетная проектная площадь]]</f>
        <v>4181233.25</v>
      </c>
      <c r="AS63" s="27" t="str">
        <f>VLOOKUP(наценка7[[#This Row],[№]],Д402[],COLUMN('Реестр ОН'!$BA$1),0)</f>
        <v>Стр. Резерв</v>
      </c>
      <c r="AT63" s="281">
        <f>ROUND(наценка7[[#This Row],[Цена м2 с учетом всех K]]*наценка7[[#This Row],[Расчетная проектная площадь]],0)</f>
        <v>4138803</v>
      </c>
      <c r="AU63" s="286">
        <v>4138803</v>
      </c>
      <c r="AV63" s="286" t="b">
        <f>наценка7[[#This Row],[Аллио]]=наценка7[[#This Row],[Первичка тест]]</f>
        <v>1</v>
      </c>
    </row>
    <row r="64" spans="1:48" hidden="1" x14ac:dyDescent="0.25">
      <c r="A64" s="65">
        <v>62</v>
      </c>
      <c r="B64" s="2">
        <f>_xlfn.XLOOKUP(наценка7[[#This Row],[№]],Д402[№],Д402[Секция],"-",0)</f>
        <v>1</v>
      </c>
      <c r="C64" s="2">
        <f>_xlfn.XLOOKUP(наценка7[[#This Row],[№]],Д402[№],Д402[Этаж],"-",0)</f>
        <v>12</v>
      </c>
      <c r="D64" s="2">
        <f>_xlfn.XLOOKUP(наценка7[[#This Row],[№]],Д402[№],Д402[№ на этаже],"-",0)</f>
        <v>2</v>
      </c>
      <c r="E64" s="2">
        <f>_xlfn.XLOOKUP(наценка7[[#This Row],[№]],Д402[№],Д402[Тип кв],"-",0)</f>
        <v>2</v>
      </c>
      <c r="F64" s="51">
        <f>_xlfn.XLOOKUP(наценка7[[#This Row],[№]],Д402[№],Д402[Кухня],"-",0)</f>
        <v>17.61</v>
      </c>
      <c r="G64" s="51">
        <f>_xlfn.XLOOKUP(наценка7[[#This Row],[№]],Д402[№],Д402[Ванная],"-",0)</f>
        <v>4.25</v>
      </c>
      <c r="H64" s="51" t="s">
        <v>85</v>
      </c>
      <c r="I64" s="51"/>
      <c r="J64" s="51" t="s">
        <v>101</v>
      </c>
      <c r="K64" s="51"/>
      <c r="L64" s="51"/>
      <c r="M64" s="51" t="s">
        <v>83</v>
      </c>
      <c r="N64" s="51"/>
      <c r="O64" s="51" t="s">
        <v>101</v>
      </c>
      <c r="P64" s="51" t="s">
        <v>101</v>
      </c>
      <c r="Q64" s="129"/>
      <c r="R64" s="51" t="s">
        <v>101</v>
      </c>
      <c r="S64" s="51"/>
      <c r="T64" s="51">
        <f>_xlfn.XLOOKUP(наценка7[[#This Row],[№]],Д402[№],Д402[Расчетная проектная площадь],"-",0)</f>
        <v>60.02</v>
      </c>
      <c r="U64" s="17">
        <f t="shared" si="1"/>
        <v>89000</v>
      </c>
      <c r="V6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64" s="18">
        <f>наценка7[[#This Row],[Цена м2 базовая]]*наценка7[[#This Row],[Базовой K]]</f>
        <v>113030</v>
      </c>
      <c r="X6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64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4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4" s="55" t="str">
        <f>IF(наценка7[[#This Row],[Потолок ]]="ДА",коэффициенты!$C$13,"")</f>
        <v/>
      </c>
      <c r="AG6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64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64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6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6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4" s="52">
        <f>SUM(наценка7[[#This Row],[еврокухня]:[Лифт]])*наценка7[[#This Row],[Цена м2 с БK]]+наценка7[[#This Row],[Цена м2 с БK]]</f>
        <v>119811.8</v>
      </c>
      <c r="AQ64" s="51">
        <f>VLOOKUP(наценка7[[#This Row],[№]],Д402[],COLUMN(Д402[[#This Row],[утв цена м2]]),0)</f>
        <v>125299.01</v>
      </c>
      <c r="AR64" s="3">
        <f>наценка7[[#This Row],[утв цена м2]]*наценка7[[#This Row],[Расчетная проектная площадь]]</f>
        <v>7520446.5801999997</v>
      </c>
      <c r="AS64" s="27" t="str">
        <f>VLOOKUP(наценка7[[#This Row],[№]],Д402[],COLUMN('Реестр ОН'!$BA$1),0)</f>
        <v>Стр. Резерв</v>
      </c>
      <c r="AT64" s="281">
        <f>ROUND(наценка7[[#This Row],[Цена м2 с учетом всех K]]*наценка7[[#This Row],[Расчетная проектная площадь]],0)</f>
        <v>7191104</v>
      </c>
      <c r="AU64" s="286">
        <v>7191104</v>
      </c>
      <c r="AV64" s="286" t="b">
        <f>наценка7[[#This Row],[Аллио]]=наценка7[[#This Row],[Первичка тест]]</f>
        <v>1</v>
      </c>
    </row>
    <row r="65" spans="1:48" hidden="1" x14ac:dyDescent="0.25">
      <c r="A65" s="65">
        <v>63</v>
      </c>
      <c r="B65" s="2">
        <f>_xlfn.XLOOKUP(наценка7[[#This Row],[№]],Д402[№],Д402[Секция],"-",0)</f>
        <v>1</v>
      </c>
      <c r="C65" s="2">
        <f>_xlfn.XLOOKUP(наценка7[[#This Row],[№]],Д402[№],Д402[Этаж],"-",0)</f>
        <v>12</v>
      </c>
      <c r="D65" s="2">
        <f>_xlfn.XLOOKUP(наценка7[[#This Row],[№]],Д402[№],Д402[№ на этаже],"-",0)</f>
        <v>3</v>
      </c>
      <c r="E65" s="2">
        <f>_xlfn.XLOOKUP(наценка7[[#This Row],[№]],Д402[№],Д402[Тип кв],"-",0)</f>
        <v>2</v>
      </c>
      <c r="F65" s="51">
        <f>_xlfn.XLOOKUP(наценка7[[#This Row],[№]],Д402[№],Д402[Кухня],"-",0)</f>
        <v>14.53</v>
      </c>
      <c r="G65" s="51">
        <f>_xlfn.XLOOKUP(наценка7[[#This Row],[№]],Д402[№],Д402[Ванная],"-",0)</f>
        <v>3.86</v>
      </c>
      <c r="H65" s="51" t="s">
        <v>87</v>
      </c>
      <c r="I65" s="51"/>
      <c r="J65" s="51" t="s">
        <v>101</v>
      </c>
      <c r="K65" s="51"/>
      <c r="L65" s="51"/>
      <c r="M65" s="51" t="s">
        <v>83</v>
      </c>
      <c r="N65" s="51"/>
      <c r="O65" s="51" t="s">
        <v>101</v>
      </c>
      <c r="P65" s="51" t="s">
        <v>101</v>
      </c>
      <c r="Q65" s="51" t="s">
        <v>101</v>
      </c>
      <c r="R65" s="51"/>
      <c r="S65" s="51"/>
      <c r="T65" s="51">
        <f>_xlfn.XLOOKUP(наценка7[[#This Row],[№]],Д402[№],Д402[Расчетная проектная площадь],"-",0)</f>
        <v>54.76</v>
      </c>
      <c r="U65" s="17">
        <f t="shared" si="1"/>
        <v>89000</v>
      </c>
      <c r="V6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65" s="18">
        <f>наценка7[[#This Row],[Цена м2 базовая]]*наценка7[[#This Row],[Базовой K]]</f>
        <v>113030</v>
      </c>
      <c r="X6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5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65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65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5" s="55" t="str">
        <f>IF(наценка7[[#This Row],[Потолок ]]="ДА",коэффициенты!$C$13,"")</f>
        <v/>
      </c>
      <c r="AG6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6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65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6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5" s="52">
        <f>SUM(наценка7[[#This Row],[еврокухня]:[Лифт]])*наценка7[[#This Row],[Цена м2 с БK]]+наценка7[[#This Row],[Цена м2 с БK]]</f>
        <v>118681.5</v>
      </c>
      <c r="AQ65" s="51">
        <f>VLOOKUP(наценка7[[#This Row],[№]],Д402[],COLUMN(Д402[[#This Row],[утв цена м2]]),0)</f>
        <v>120513.57</v>
      </c>
      <c r="AR65" s="3">
        <f>наценка7[[#This Row],[утв цена м2]]*наценка7[[#This Row],[Расчетная проектная площадь]]</f>
        <v>6599323.0932</v>
      </c>
      <c r="AS65" s="27" t="str">
        <f>VLOOKUP(наценка7[[#This Row],[№]],Д402[],COLUMN('Реестр ОН'!$BA$1),0)</f>
        <v>Стр. Резерв</v>
      </c>
      <c r="AT65" s="281">
        <f>ROUND(наценка7[[#This Row],[Цена м2 с учетом всех K]]*наценка7[[#This Row],[Расчетная проектная площадь]],0)</f>
        <v>6498999</v>
      </c>
      <c r="AU65" s="286">
        <v>6498999</v>
      </c>
      <c r="AV65" s="286" t="b">
        <f>наценка7[[#This Row],[Аллио]]=наценка7[[#This Row],[Первичка тест]]</f>
        <v>1</v>
      </c>
    </row>
    <row r="66" spans="1:48" hidden="1" x14ac:dyDescent="0.25">
      <c r="A66" s="65">
        <v>64</v>
      </c>
      <c r="B66" s="2">
        <f>_xlfn.XLOOKUP(наценка7[[#This Row],[№]],Д402[№],Д402[Секция],"-",0)</f>
        <v>1</v>
      </c>
      <c r="C66" s="2">
        <f>_xlfn.XLOOKUP(наценка7[[#This Row],[№]],Д402[№],Д402[Этаж],"-",0)</f>
        <v>12</v>
      </c>
      <c r="D66" s="2">
        <f>_xlfn.XLOOKUP(наценка7[[#This Row],[№]],Д402[№],Д402[№ на этаже],"-",0)</f>
        <v>4</v>
      </c>
      <c r="E66" s="2">
        <f>_xlfn.XLOOKUP(наценка7[[#This Row],[№]],Д402[№],Д402[Тип кв],"-",0)</f>
        <v>2</v>
      </c>
      <c r="F66" s="51">
        <f>_xlfn.XLOOKUP(наценка7[[#This Row],[№]],Д402[№],Д402[Кухня],"-",0)</f>
        <v>15.07</v>
      </c>
      <c r="G66" s="51">
        <f>_xlfn.XLOOKUP(наценка7[[#This Row],[№]],Д402[№],Д402[Ванная],"-",0)</f>
        <v>4.4400000000000004</v>
      </c>
      <c r="H66" s="51" t="s">
        <v>87</v>
      </c>
      <c r="I66" s="51"/>
      <c r="J66" s="51" t="s">
        <v>101</v>
      </c>
      <c r="K66" s="51"/>
      <c r="L66" s="51"/>
      <c r="M66" s="51" t="s">
        <v>83</v>
      </c>
      <c r="N66" s="51"/>
      <c r="O66" s="51" t="s">
        <v>119</v>
      </c>
      <c r="P66" s="51" t="s">
        <v>101</v>
      </c>
      <c r="Q66" s="51" t="s">
        <v>101</v>
      </c>
      <c r="R66" s="51"/>
      <c r="S66" s="51"/>
      <c r="T66" s="51">
        <f>_xlfn.XLOOKUP(наценка7[[#This Row],[№]],Д402[№],Д402[Расчетная проектная площадь],"-",0)</f>
        <v>54.69</v>
      </c>
      <c r="U66" s="17">
        <f t="shared" si="1"/>
        <v>89000</v>
      </c>
      <c r="V6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66" s="18">
        <f>наценка7[[#This Row],[Цена м2 базовая]]*наценка7[[#This Row],[Базовой K]]</f>
        <v>113030</v>
      </c>
      <c r="X6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6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6" s="55" t="str">
        <f>IF(наценка7[[#This Row],[Потолок ]]="ДА",коэффициенты!$C$13,"")</f>
        <v/>
      </c>
      <c r="AG6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6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66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6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6" s="52">
        <f>SUM(наценка7[[#This Row],[еврокухня]:[Лифт]])*наценка7[[#This Row],[Цена м2 с БK]]+наценка7[[#This Row],[Цена м2 с БK]]</f>
        <v>120942.1</v>
      </c>
      <c r="AQ66" s="51">
        <f>VLOOKUP(наценка7[[#This Row],[№]],Д402[],COLUMN(Д402[[#This Row],[утв цена м2]]),0)</f>
        <v>122785.47</v>
      </c>
      <c r="AR66" s="3">
        <f>наценка7[[#This Row],[утв цена м2]]*наценка7[[#This Row],[Расчетная проектная площадь]]</f>
        <v>6715137.3542999998</v>
      </c>
      <c r="AS66" s="27" t="str">
        <f>VLOOKUP(наценка7[[#This Row],[№]],Д402[],COLUMN('Реестр ОН'!$BA$1),0)</f>
        <v>Стр. Резерв</v>
      </c>
      <c r="AT66" s="281">
        <f>ROUND(наценка7[[#This Row],[Цена м2 с учетом всех K]]*наценка7[[#This Row],[Расчетная проектная площадь]],0)</f>
        <v>6614323</v>
      </c>
      <c r="AU66" s="286">
        <v>6614323</v>
      </c>
      <c r="AV66" s="286" t="b">
        <f>наценка7[[#This Row],[Аллио]]=наценка7[[#This Row],[Первичка тест]]</f>
        <v>1</v>
      </c>
    </row>
    <row r="67" spans="1:48" hidden="1" x14ac:dyDescent="0.25">
      <c r="A67" s="65">
        <v>65</v>
      </c>
      <c r="B67" s="2">
        <f>_xlfn.XLOOKUP(наценка7[[#This Row],[№]],Д402[№],Д402[Секция],"-",0)</f>
        <v>1</v>
      </c>
      <c r="C67" s="2">
        <f>_xlfn.XLOOKUP(наценка7[[#This Row],[№]],Д402[№],Д402[Этаж],"-",0)</f>
        <v>12</v>
      </c>
      <c r="D67" s="2">
        <f>_xlfn.XLOOKUP(наценка7[[#This Row],[№]],Д402[№],Д402[№ на этаже],"-",0)</f>
        <v>5</v>
      </c>
      <c r="E67" s="2">
        <f>_xlfn.XLOOKUP(наценка7[[#This Row],[№]],Д402[№],Д402[Тип кв],"-",0)</f>
        <v>1</v>
      </c>
      <c r="F67" s="51">
        <f>_xlfn.XLOOKUP(наценка7[[#This Row],[№]],Д402[№],Д402[Кухня],"-",0)</f>
        <v>15.01</v>
      </c>
      <c r="G67" s="51">
        <f>_xlfn.XLOOKUP(наценка7[[#This Row],[№]],Д402[№],Д402[Ванная],"-",0)</f>
        <v>4.4400000000000004</v>
      </c>
      <c r="H67" s="51" t="s">
        <v>87</v>
      </c>
      <c r="I67" s="51"/>
      <c r="J67" s="51" t="s">
        <v>101</v>
      </c>
      <c r="K67" s="51" t="s">
        <v>101</v>
      </c>
      <c r="L67" s="51"/>
      <c r="M67" s="51" t="s">
        <v>83</v>
      </c>
      <c r="N67" s="51"/>
      <c r="O67" s="51" t="s">
        <v>119</v>
      </c>
      <c r="P67" s="51" t="s">
        <v>101</v>
      </c>
      <c r="Q67" s="129"/>
      <c r="R67" s="129"/>
      <c r="S67" s="51"/>
      <c r="T67" s="51">
        <f>_xlfn.XLOOKUP(наценка7[[#This Row],[№]],Д402[№],Д402[Расчетная проектная площадь],"-",0)</f>
        <v>36.92</v>
      </c>
      <c r="U67" s="17">
        <f t="shared" si="1"/>
        <v>89000</v>
      </c>
      <c r="V6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67" s="18">
        <f>наценка7[[#This Row],[Цена м2 базовая]]*наценка7[[#This Row],[Базовой K]]</f>
        <v>119260</v>
      </c>
      <c r="X6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7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6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6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7" s="55" t="str">
        <f>IF(наценка7[[#This Row],[Потолок ]]="ДА",коэффициенты!$C$13,"")</f>
        <v/>
      </c>
      <c r="AG6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6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6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7" s="52">
        <f>SUM(наценка7[[#This Row],[еврокухня]:[Лифт]])*наценка7[[#This Row],[Цена м2 с БK]]+наценка7[[#This Row],[Цена м2 с БK]]</f>
        <v>126415.6</v>
      </c>
      <c r="AQ67" s="51">
        <f>VLOOKUP(наценка7[[#This Row],[№]],Д402[],COLUMN(Д402[[#This Row],[утв цена м2]]),0)</f>
        <v>134784.85</v>
      </c>
      <c r="AR67" s="3">
        <f>наценка7[[#This Row],[утв цена м2]]*наценка7[[#This Row],[Расчетная проектная площадь]]</f>
        <v>4976256.6620000005</v>
      </c>
      <c r="AS67" s="27" t="str">
        <f>VLOOKUP(наценка7[[#This Row],[№]],Д402[],COLUMN('Реестр ОН'!$BA$1),0)</f>
        <v>Продажа</v>
      </c>
      <c r="AT67" s="281">
        <f>ROUND(наценка7[[#This Row],[Цена м2 с учетом всех K]]*наценка7[[#This Row],[Расчетная проектная площадь]],0)</f>
        <v>4667264</v>
      </c>
      <c r="AU67" s="286">
        <v>4667264</v>
      </c>
      <c r="AV67" s="286" t="b">
        <f>наценка7[[#This Row],[Аллио]]=наценка7[[#This Row],[Первичка тест]]</f>
        <v>1</v>
      </c>
    </row>
    <row r="68" spans="1:48" hidden="1" x14ac:dyDescent="0.25">
      <c r="A68" s="65">
        <v>66</v>
      </c>
      <c r="B68" s="2">
        <f>_xlfn.XLOOKUP(наценка7[[#This Row],[№]],Д402[№],Д402[Секция],"-",0)</f>
        <v>1</v>
      </c>
      <c r="C68" s="2">
        <f>_xlfn.XLOOKUP(наценка7[[#This Row],[№]],Д402[№],Д402[Этаж],"-",0)</f>
        <v>12</v>
      </c>
      <c r="D68" s="2">
        <f>_xlfn.XLOOKUP(наценка7[[#This Row],[№]],Д402[№],Д402[№ на этаже],"-",0)</f>
        <v>6</v>
      </c>
      <c r="E68" s="2">
        <f>_xlfn.XLOOKUP(наценка7[[#This Row],[№]],Д402[№],Д402[Тип кв],"-",0)</f>
        <v>1</v>
      </c>
      <c r="F68" s="51">
        <f>_xlfn.XLOOKUP(наценка7[[#This Row],[№]],Д402[№],Д402[Кухня],"-",0)</f>
        <v>16.850000000000001</v>
      </c>
      <c r="G68" s="51">
        <f>_xlfn.XLOOKUP(наценка7[[#This Row],[№]],Д402[№],Д402[Ванная],"-",0)</f>
        <v>4.46</v>
      </c>
      <c r="H68" s="51" t="s">
        <v>84</v>
      </c>
      <c r="I68" s="51"/>
      <c r="J68" s="51" t="s">
        <v>101</v>
      </c>
      <c r="K68" s="51" t="s">
        <v>101</v>
      </c>
      <c r="L68" s="51"/>
      <c r="M68" s="51" t="s">
        <v>83</v>
      </c>
      <c r="N68" s="51" t="s">
        <v>101</v>
      </c>
      <c r="O68" s="51" t="s">
        <v>119</v>
      </c>
      <c r="P68" s="51" t="s">
        <v>101</v>
      </c>
      <c r="Q68" s="129"/>
      <c r="R68" s="129"/>
      <c r="S68" s="51"/>
      <c r="T68" s="51">
        <f>_xlfn.XLOOKUP(наценка7[[#This Row],[№]],Д402[№],Д402[Расчетная проектная площадь],"-",0)</f>
        <v>45.18</v>
      </c>
      <c r="U68" s="17">
        <f t="shared" si="1"/>
        <v>89000</v>
      </c>
      <c r="V6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68" s="18">
        <f>наценка7[[#This Row],[Цена м2 базовая]]*наценка7[[#This Row],[Базовой K]]</f>
        <v>119260</v>
      </c>
      <c r="X6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6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68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6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8" s="55" t="str">
        <f>IF(наценка7[[#This Row],[Потолок ]]="ДА",коэффициенты!$C$13,"")</f>
        <v/>
      </c>
      <c r="AG6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6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6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6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8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6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68" s="52">
        <f>SUM(наценка7[[#This Row],[еврокухня]:[Лифт]])*наценка7[[#This Row],[Цена м2 с БK]]+наценка7[[#This Row],[Цена м2 с БK]]</f>
        <v>122837.8</v>
      </c>
      <c r="AQ68" s="51">
        <f>VLOOKUP(наценка7[[#This Row],[№]],Д402[],COLUMN(Д402[[#This Row],[утв цена м2]]),0)</f>
        <v>129740.87</v>
      </c>
      <c r="AR68" s="3">
        <f>наценка7[[#This Row],[утв цена м2]]*наценка7[[#This Row],[Расчетная проектная площадь]]</f>
        <v>5861692.5066</v>
      </c>
      <c r="AS68" s="27" t="str">
        <f>VLOOKUP(наценка7[[#This Row],[№]],Д402[],COLUMN('Реестр ОН'!$BA$1),0)</f>
        <v>Стр. Резерв</v>
      </c>
      <c r="AT68" s="281">
        <f>ROUND(наценка7[[#This Row],[Цена м2 с учетом всех K]]*наценка7[[#This Row],[Расчетная проектная площадь]],0)</f>
        <v>5549812</v>
      </c>
      <c r="AU68" s="286">
        <v>5549812</v>
      </c>
      <c r="AV68" s="286" t="b">
        <f>наценка7[[#This Row],[Аллио]]=наценка7[[#This Row],[Первичка тест]]</f>
        <v>1</v>
      </c>
    </row>
    <row r="69" spans="1:48" hidden="1" x14ac:dyDescent="0.25">
      <c r="A69" s="65">
        <v>67</v>
      </c>
      <c r="B69" s="2">
        <f>_xlfn.XLOOKUP(наценка7[[#This Row],[№]],Д402[№],Д402[Секция],"-",0)</f>
        <v>1</v>
      </c>
      <c r="C69" s="2">
        <f>_xlfn.XLOOKUP(наценка7[[#This Row],[№]],Д402[№],Д402[Этаж],"-",0)</f>
        <v>13</v>
      </c>
      <c r="D69" s="2">
        <f>_xlfn.XLOOKUP(наценка7[[#This Row],[№]],Д402[№],Д402[№ на этаже],"-",0)</f>
        <v>1</v>
      </c>
      <c r="E69" s="2">
        <f>_xlfn.XLOOKUP(наценка7[[#This Row],[№]],Д402[№],Д402[Тип кв],"-",0)</f>
        <v>0</v>
      </c>
      <c r="F69" s="51">
        <f>_xlfn.XLOOKUP(наценка7[[#This Row],[№]],Д402[№],Д402[Кухня],"-",0)</f>
        <v>6.15</v>
      </c>
      <c r="G69" s="51">
        <f>_xlfn.XLOOKUP(наценка7[[#This Row],[№]],Д402[№],Д402[Ванная],"-",0)</f>
        <v>4.95</v>
      </c>
      <c r="H69" s="51" t="s">
        <v>84</v>
      </c>
      <c r="I69" s="51"/>
      <c r="J69" s="51"/>
      <c r="K69" s="51" t="s">
        <v>101</v>
      </c>
      <c r="L69" s="51" t="s">
        <v>119</v>
      </c>
      <c r="M69" s="51" t="s">
        <v>83</v>
      </c>
      <c r="N69" s="51"/>
      <c r="O69" s="51" t="s">
        <v>119</v>
      </c>
      <c r="P69" s="51"/>
      <c r="Q69" s="129"/>
      <c r="R69" s="51"/>
      <c r="S69" s="51" t="s">
        <v>101</v>
      </c>
      <c r="T69" s="51">
        <f>_xlfn.XLOOKUP(наценка7[[#This Row],[№]],Д402[№],Д402[Расчетная проектная площадь],"-",0)</f>
        <v>29.62</v>
      </c>
      <c r="U69" s="17">
        <f t="shared" si="1"/>
        <v>89000</v>
      </c>
      <c r="V6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69" s="18">
        <f>наценка7[[#This Row],[Цена м2 базовая]]*наценка7[[#This Row],[Базовой K]]</f>
        <v>139730</v>
      </c>
      <c r="X6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6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6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6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6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6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69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6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69" s="55" t="str">
        <f>IF(наценка7[[#This Row],[Потолок ]]="ДА",коэффициенты!$C$13,"")</f>
        <v/>
      </c>
      <c r="AG6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6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6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6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6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6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6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6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69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69" s="52">
        <f>SUM(наценка7[[#This Row],[еврокухня]:[Лифт]])*наценка7[[#This Row],[Цена м2 с БK]]+наценка7[[#This Row],[Цена м2 с БK]]</f>
        <v>139730</v>
      </c>
      <c r="AQ69" s="51">
        <f>VLOOKUP(наценка7[[#This Row],[№]],Д402[],COLUMN(Д402[[#This Row],[утв цена м2]]),0)</f>
        <v>141162.5</v>
      </c>
      <c r="AR69" s="3">
        <f>наценка7[[#This Row],[утв цена м2]]*наценка7[[#This Row],[Расчетная проектная площадь]]</f>
        <v>4181233.25</v>
      </c>
      <c r="AS69" s="27" t="str">
        <f>VLOOKUP(наценка7[[#This Row],[№]],Д402[],COLUMN('Реестр ОН'!$BA$1),0)</f>
        <v>Свободно</v>
      </c>
      <c r="AT69" s="281">
        <f>ROUND(наценка7[[#This Row],[Цена м2 с учетом всех K]]*наценка7[[#This Row],[Расчетная проектная площадь]],0)</f>
        <v>4138803</v>
      </c>
      <c r="AU69" s="286">
        <v>4138803</v>
      </c>
      <c r="AV69" s="286" t="b">
        <f>наценка7[[#This Row],[Аллио]]=наценка7[[#This Row],[Первичка тест]]</f>
        <v>1</v>
      </c>
    </row>
    <row r="70" spans="1:48" hidden="1" x14ac:dyDescent="0.25">
      <c r="A70" s="65">
        <v>68</v>
      </c>
      <c r="B70" s="2">
        <f>_xlfn.XLOOKUP(наценка7[[#This Row],[№]],Д402[№],Д402[Секция],"-",0)</f>
        <v>1</v>
      </c>
      <c r="C70" s="2">
        <f>_xlfn.XLOOKUP(наценка7[[#This Row],[№]],Д402[№],Д402[Этаж],"-",0)</f>
        <v>13</v>
      </c>
      <c r="D70" s="2">
        <f>_xlfn.XLOOKUP(наценка7[[#This Row],[№]],Д402[№],Д402[№ на этаже],"-",0)</f>
        <v>2</v>
      </c>
      <c r="E70" s="2">
        <f>_xlfn.XLOOKUP(наценка7[[#This Row],[№]],Д402[№],Д402[Тип кв],"-",0)</f>
        <v>2</v>
      </c>
      <c r="F70" s="51">
        <f>_xlfn.XLOOKUP(наценка7[[#This Row],[№]],Д402[№],Д402[Кухня],"-",0)</f>
        <v>17.61</v>
      </c>
      <c r="G70" s="51">
        <f>_xlfn.XLOOKUP(наценка7[[#This Row],[№]],Д402[№],Д402[Ванная],"-",0)</f>
        <v>4.25</v>
      </c>
      <c r="H70" s="51" t="s">
        <v>85</v>
      </c>
      <c r="I70" s="51"/>
      <c r="J70" s="51" t="s">
        <v>101</v>
      </c>
      <c r="K70" s="51"/>
      <c r="L70" s="51"/>
      <c r="M70" s="51" t="s">
        <v>83</v>
      </c>
      <c r="N70" s="51"/>
      <c r="O70" s="51" t="s">
        <v>101</v>
      </c>
      <c r="P70" s="51" t="s">
        <v>101</v>
      </c>
      <c r="Q70" s="129"/>
      <c r="R70" s="51" t="s">
        <v>101</v>
      </c>
      <c r="S70" s="51"/>
      <c r="T70" s="51">
        <f>_xlfn.XLOOKUP(наценка7[[#This Row],[№]],Д402[№],Д402[Расчетная проектная площадь],"-",0)</f>
        <v>60.02</v>
      </c>
      <c r="U70" s="17">
        <f t="shared" si="1"/>
        <v>89000</v>
      </c>
      <c r="V7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70" s="18">
        <f>наценка7[[#This Row],[Цена м2 базовая]]*наценка7[[#This Row],[Базовой K]]</f>
        <v>113030</v>
      </c>
      <c r="X7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70" s="57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0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0" s="55" t="str">
        <f>IF(наценка7[[#This Row],[Потолок ]]="ДА",коэффициенты!$C$13,"")</f>
        <v/>
      </c>
      <c r="AG7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70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70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7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0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7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0" s="52">
        <f>SUM(наценка7[[#This Row],[еврокухня]:[Лифт]])*наценка7[[#This Row],[Цена м2 с БK]]+наценка7[[#This Row],[Цена м2 с БK]]</f>
        <v>119811.8</v>
      </c>
      <c r="AQ70" s="51">
        <f>VLOOKUP(наценка7[[#This Row],[№]],Д402[],COLUMN(Д402[[#This Row],[утв цена м2]]),0)</f>
        <v>125299.01</v>
      </c>
      <c r="AR70" s="3">
        <f>наценка7[[#This Row],[утв цена м2]]*наценка7[[#This Row],[Расчетная проектная площадь]]</f>
        <v>7520446.5801999997</v>
      </c>
      <c r="AS70" s="27" t="str">
        <f>VLOOKUP(наценка7[[#This Row],[№]],Д402[],COLUMN('Реестр ОН'!$BA$1),0)</f>
        <v>Стр. Резерв</v>
      </c>
      <c r="AT70" s="281">
        <f>ROUND(наценка7[[#This Row],[Цена м2 с учетом всех K]]*наценка7[[#This Row],[Расчетная проектная площадь]],0)</f>
        <v>7191104</v>
      </c>
      <c r="AU70" s="286">
        <v>7191104</v>
      </c>
      <c r="AV70" s="286" t="b">
        <f>наценка7[[#This Row],[Аллио]]=наценка7[[#This Row],[Первичка тест]]</f>
        <v>1</v>
      </c>
    </row>
    <row r="71" spans="1:48" hidden="1" x14ac:dyDescent="0.25">
      <c r="A71" s="65">
        <v>69</v>
      </c>
      <c r="B71" s="2">
        <f>_xlfn.XLOOKUP(наценка7[[#This Row],[№]],Д402[№],Д402[Секция],"-",0)</f>
        <v>1</v>
      </c>
      <c r="C71" s="2">
        <f>_xlfn.XLOOKUP(наценка7[[#This Row],[№]],Д402[№],Д402[Этаж],"-",0)</f>
        <v>13</v>
      </c>
      <c r="D71" s="2">
        <f>_xlfn.XLOOKUP(наценка7[[#This Row],[№]],Д402[№],Д402[№ на этаже],"-",0)</f>
        <v>3</v>
      </c>
      <c r="E71" s="2">
        <f>_xlfn.XLOOKUP(наценка7[[#This Row],[№]],Д402[№],Д402[Тип кв],"-",0)</f>
        <v>2</v>
      </c>
      <c r="F71" s="51">
        <f>_xlfn.XLOOKUP(наценка7[[#This Row],[№]],Д402[№],Д402[Кухня],"-",0)</f>
        <v>14.53</v>
      </c>
      <c r="G71" s="51">
        <f>_xlfn.XLOOKUP(наценка7[[#This Row],[№]],Д402[№],Д402[Ванная],"-",0)</f>
        <v>3.86</v>
      </c>
      <c r="H71" s="51" t="s">
        <v>87</v>
      </c>
      <c r="I71" s="51"/>
      <c r="J71" s="51" t="s">
        <v>101</v>
      </c>
      <c r="K71" s="51"/>
      <c r="L71" s="51"/>
      <c r="M71" s="51" t="s">
        <v>83</v>
      </c>
      <c r="N71" s="51"/>
      <c r="O71" s="51" t="s">
        <v>101</v>
      </c>
      <c r="P71" s="51" t="s">
        <v>101</v>
      </c>
      <c r="Q71" s="129"/>
      <c r="R71" s="129"/>
      <c r="S71" s="51"/>
      <c r="T71" s="51">
        <f>_xlfn.XLOOKUP(наценка7[[#This Row],[№]],Д402[№],Д402[Расчетная проектная площадь],"-",0)</f>
        <v>54.76</v>
      </c>
      <c r="U71" s="17">
        <f t="shared" si="1"/>
        <v>89000</v>
      </c>
      <c r="V7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71" s="18">
        <f>наценка7[[#This Row],[Цена м2 базовая]]*наценка7[[#This Row],[Базовой K]]</f>
        <v>113030</v>
      </c>
      <c r="X7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1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71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7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1" s="55" t="str">
        <f>IF(наценка7[[#This Row],[Потолок ]]="ДА",коэффициенты!$C$13,"")</f>
        <v/>
      </c>
      <c r="AG7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7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7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1" s="52">
        <f>SUM(наценка7[[#This Row],[еврокухня]:[Лифт]])*наценка7[[#This Row],[Цена м2 с БK]]+наценка7[[#This Row],[Цена м2 с БK]]</f>
        <v>117551.2</v>
      </c>
      <c r="AQ71" s="51">
        <f>VLOOKUP(наценка7[[#This Row],[№]],Д402[],COLUMN(Д402[[#This Row],[утв цена м2]]),0)</f>
        <v>119377.62</v>
      </c>
      <c r="AR71" s="3">
        <f>наценка7[[#This Row],[утв цена м2]]*наценка7[[#This Row],[Расчетная проектная площадь]]</f>
        <v>6537118.4711999996</v>
      </c>
      <c r="AS71" s="27" t="str">
        <f>VLOOKUP(наценка7[[#This Row],[№]],Д402[],COLUMN('Реестр ОН'!$BA$1),0)</f>
        <v>Свободно</v>
      </c>
      <c r="AT71" s="281">
        <f>ROUND(наценка7[[#This Row],[Цена м2 с учетом всех K]]*наценка7[[#This Row],[Расчетная проектная площадь]],0)</f>
        <v>6437104</v>
      </c>
      <c r="AU71" s="286">
        <v>6437104</v>
      </c>
      <c r="AV71" s="286" t="b">
        <f>наценка7[[#This Row],[Аллио]]=наценка7[[#This Row],[Первичка тест]]</f>
        <v>1</v>
      </c>
    </row>
    <row r="72" spans="1:48" hidden="1" x14ac:dyDescent="0.25">
      <c r="A72" s="65">
        <v>70</v>
      </c>
      <c r="B72" s="2">
        <f>_xlfn.XLOOKUP(наценка7[[#This Row],[№]],Д402[№],Д402[Секция],"-",0)</f>
        <v>1</v>
      </c>
      <c r="C72" s="2">
        <f>_xlfn.XLOOKUP(наценка7[[#This Row],[№]],Д402[№],Д402[Этаж],"-",0)</f>
        <v>13</v>
      </c>
      <c r="D72" s="2">
        <f>_xlfn.XLOOKUP(наценка7[[#This Row],[№]],Д402[№],Д402[№ на этаже],"-",0)</f>
        <v>4</v>
      </c>
      <c r="E72" s="2">
        <f>_xlfn.XLOOKUP(наценка7[[#This Row],[№]],Д402[№],Д402[Тип кв],"-",0)</f>
        <v>2</v>
      </c>
      <c r="F72" s="51">
        <f>_xlfn.XLOOKUP(наценка7[[#This Row],[№]],Д402[№],Д402[Кухня],"-",0)</f>
        <v>15.07</v>
      </c>
      <c r="G72" s="51">
        <f>_xlfn.XLOOKUP(наценка7[[#This Row],[№]],Д402[№],Д402[Ванная],"-",0)</f>
        <v>4.4400000000000004</v>
      </c>
      <c r="H72" s="51" t="s">
        <v>87</v>
      </c>
      <c r="I72" s="51"/>
      <c r="J72" s="51" t="s">
        <v>101</v>
      </c>
      <c r="K72" s="51"/>
      <c r="L72" s="51"/>
      <c r="M72" s="51" t="s">
        <v>83</v>
      </c>
      <c r="N72" s="51"/>
      <c r="O72" s="51" t="s">
        <v>119</v>
      </c>
      <c r="P72" s="51" t="s">
        <v>101</v>
      </c>
      <c r="Q72" s="129"/>
      <c r="R72" s="129"/>
      <c r="S72" s="51"/>
      <c r="T72" s="51">
        <f>_xlfn.XLOOKUP(наценка7[[#This Row],[№]],Д402[№],Д402[Расчетная проектная площадь],"-",0)</f>
        <v>54.69</v>
      </c>
      <c r="U72" s="17">
        <f t="shared" si="1"/>
        <v>89000</v>
      </c>
      <c r="V7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72" s="18">
        <f>наценка7[[#This Row],[Цена м2 базовая]]*наценка7[[#This Row],[Базовой K]]</f>
        <v>113030</v>
      </c>
      <c r="X7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2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7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2" s="55" t="str">
        <f>IF(наценка7[[#This Row],[Потолок ]]="ДА",коэффициенты!$C$13,"")</f>
        <v/>
      </c>
      <c r="AG7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7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7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2" s="52">
        <f>SUM(наценка7[[#This Row],[еврокухня]:[Лифт]])*наценка7[[#This Row],[Цена м2 с БK]]+наценка7[[#This Row],[Цена м2 с БK]]</f>
        <v>119811.8</v>
      </c>
      <c r="AQ72" s="51">
        <f>VLOOKUP(наценка7[[#This Row],[№]],Д402[],COLUMN(Д402[[#This Row],[утв цена м2]]),0)</f>
        <v>121649.52</v>
      </c>
      <c r="AR72" s="3">
        <f>наценка7[[#This Row],[утв цена м2]]*наценка7[[#This Row],[Расчетная проектная площадь]]</f>
        <v>6653012.2488000002</v>
      </c>
      <c r="AS72" s="27" t="str">
        <f>VLOOKUP(наценка7[[#This Row],[№]],Д402[],COLUMN('Реестр ОН'!$BA$1),0)</f>
        <v>Стр. Резерв</v>
      </c>
      <c r="AT72" s="281">
        <f>ROUND(наценка7[[#This Row],[Цена м2 с учетом всех K]]*наценка7[[#This Row],[Расчетная проектная площадь]],0)</f>
        <v>6552507</v>
      </c>
      <c r="AU72" s="286">
        <v>6552507</v>
      </c>
      <c r="AV72" s="286" t="b">
        <f>наценка7[[#This Row],[Аллио]]=наценка7[[#This Row],[Первичка тест]]</f>
        <v>1</v>
      </c>
    </row>
    <row r="73" spans="1:48" hidden="1" x14ac:dyDescent="0.25">
      <c r="A73" s="65">
        <v>71</v>
      </c>
      <c r="B73" s="2">
        <f>_xlfn.XLOOKUP(наценка7[[#This Row],[№]],Д402[№],Д402[Секция],"-",0)</f>
        <v>1</v>
      </c>
      <c r="C73" s="2">
        <f>_xlfn.XLOOKUP(наценка7[[#This Row],[№]],Д402[№],Д402[Этаж],"-",0)</f>
        <v>13</v>
      </c>
      <c r="D73" s="2">
        <f>_xlfn.XLOOKUP(наценка7[[#This Row],[№]],Д402[№],Д402[№ на этаже],"-",0)</f>
        <v>5</v>
      </c>
      <c r="E73" s="2">
        <f>_xlfn.XLOOKUP(наценка7[[#This Row],[№]],Д402[№],Д402[Тип кв],"-",0)</f>
        <v>1</v>
      </c>
      <c r="F73" s="51">
        <f>_xlfn.XLOOKUP(наценка7[[#This Row],[№]],Д402[№],Д402[Кухня],"-",0)</f>
        <v>15.01</v>
      </c>
      <c r="G73" s="51">
        <f>_xlfn.XLOOKUP(наценка7[[#This Row],[№]],Д402[№],Д402[Ванная],"-",0)</f>
        <v>4.4400000000000004</v>
      </c>
      <c r="H73" s="51" t="s">
        <v>87</v>
      </c>
      <c r="I73" s="51"/>
      <c r="J73" s="51" t="s">
        <v>101</v>
      </c>
      <c r="K73" s="51" t="s">
        <v>101</v>
      </c>
      <c r="L73" s="51"/>
      <c r="M73" s="51" t="s">
        <v>83</v>
      </c>
      <c r="N73" s="51"/>
      <c r="O73" s="51" t="s">
        <v>119</v>
      </c>
      <c r="P73" s="51"/>
      <c r="Q73" s="129"/>
      <c r="R73" s="129"/>
      <c r="S73" s="51"/>
      <c r="T73" s="51">
        <f>_xlfn.XLOOKUP(наценка7[[#This Row],[№]],Д402[№],Д402[Расчетная проектная площадь],"-",0)</f>
        <v>36.92</v>
      </c>
      <c r="U73" s="17">
        <f t="shared" ref="U73:U136" si="2">$U$1</f>
        <v>89000</v>
      </c>
      <c r="V7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73" s="18">
        <f>наценка7[[#This Row],[Цена м2 базовая]]*наценка7[[#This Row],[Базовой K]]</f>
        <v>119260</v>
      </c>
      <c r="X7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7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7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7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3" s="55" t="str">
        <f>IF(наценка7[[#This Row],[Потолок ]]="ДА",коэффициенты!$C$13,"")</f>
        <v/>
      </c>
      <c r="AG7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7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7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3" s="52">
        <f>SUM(наценка7[[#This Row],[еврокухня]:[Лифт]])*наценка7[[#This Row],[Цена м2 с БK]]+наценка7[[#This Row],[Цена м2 с БK]]</f>
        <v>124030.39999999999</v>
      </c>
      <c r="AQ73" s="51">
        <f>VLOOKUP(наценка7[[#This Row],[№]],Д402[],COLUMN(Д402[[#This Row],[утв цена м2]]),0)</f>
        <v>127511.01</v>
      </c>
      <c r="AR73" s="3">
        <f>наценка7[[#This Row],[утв цена м2]]*наценка7[[#This Row],[Расчетная проектная площадь]]</f>
        <v>4707706.4891999997</v>
      </c>
      <c r="AS73" s="27" t="str">
        <f>VLOOKUP(наценка7[[#This Row],[№]],Д402[],COLUMN('Реестр ОН'!$BA$1),0)</f>
        <v>Продажа</v>
      </c>
      <c r="AT73" s="281">
        <f>ROUND(наценка7[[#This Row],[Цена м2 с учетом всех K]]*наценка7[[#This Row],[Расчетная проектная площадь]],0)</f>
        <v>4579202</v>
      </c>
      <c r="AU73" s="286">
        <v>4579202</v>
      </c>
      <c r="AV73" s="286" t="b">
        <f>наценка7[[#This Row],[Аллио]]=наценка7[[#This Row],[Первичка тест]]</f>
        <v>1</v>
      </c>
    </row>
    <row r="74" spans="1:48" hidden="1" x14ac:dyDescent="0.25">
      <c r="A74" s="65">
        <v>72</v>
      </c>
      <c r="B74" s="2">
        <f>_xlfn.XLOOKUP(наценка7[[#This Row],[№]],Д402[№],Д402[Секция],"-",0)</f>
        <v>1</v>
      </c>
      <c r="C74" s="2">
        <f>_xlfn.XLOOKUP(наценка7[[#This Row],[№]],Д402[№],Д402[Этаж],"-",0)</f>
        <v>13</v>
      </c>
      <c r="D74" s="2">
        <f>_xlfn.XLOOKUP(наценка7[[#This Row],[№]],Д402[№],Д402[№ на этаже],"-",0)</f>
        <v>6</v>
      </c>
      <c r="E74" s="2">
        <f>_xlfn.XLOOKUP(наценка7[[#This Row],[№]],Д402[№],Д402[Тип кв],"-",0)</f>
        <v>1</v>
      </c>
      <c r="F74" s="51">
        <f>_xlfn.XLOOKUP(наценка7[[#This Row],[№]],Д402[№],Д402[Кухня],"-",0)</f>
        <v>16.850000000000001</v>
      </c>
      <c r="G74" s="51">
        <f>_xlfn.XLOOKUP(наценка7[[#This Row],[№]],Д402[№],Д402[Ванная],"-",0)</f>
        <v>4.46</v>
      </c>
      <c r="H74" s="51" t="s">
        <v>84</v>
      </c>
      <c r="I74" s="51"/>
      <c r="J74" s="51" t="s">
        <v>101</v>
      </c>
      <c r="K74" s="51" t="s">
        <v>101</v>
      </c>
      <c r="L74" s="51"/>
      <c r="M74" s="51" t="s">
        <v>83</v>
      </c>
      <c r="N74" s="51" t="s">
        <v>101</v>
      </c>
      <c r="O74" s="51" t="s">
        <v>119</v>
      </c>
      <c r="P74" s="51" t="s">
        <v>101</v>
      </c>
      <c r="Q74" s="129"/>
      <c r="R74" s="129"/>
      <c r="S74" s="51"/>
      <c r="T74" s="51">
        <f>_xlfn.XLOOKUP(наценка7[[#This Row],[№]],Д402[№],Д402[Расчетная проектная площадь],"-",0)</f>
        <v>45.18</v>
      </c>
      <c r="U74" s="17">
        <f t="shared" si="2"/>
        <v>89000</v>
      </c>
      <c r="V7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74" s="18">
        <f>наценка7[[#This Row],[Цена м2 базовая]]*наценка7[[#This Row],[Базовой K]]</f>
        <v>119260</v>
      </c>
      <c r="X7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4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74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4" s="55" t="str">
        <f>IF(наценка7[[#This Row],[Потолок ]]="ДА",коэффициенты!$C$13,"")</f>
        <v/>
      </c>
      <c r="AG7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7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7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4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7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4" s="52">
        <f>SUM(наценка7[[#This Row],[еврокухня]:[Лифт]])*наценка7[[#This Row],[Цена м2 с БK]]+наценка7[[#This Row],[Цена м2 с БK]]</f>
        <v>122837.8</v>
      </c>
      <c r="AQ74" s="51">
        <f>VLOOKUP(наценка7[[#This Row],[№]],Д402[],COLUMN(Д402[[#This Row],[утв цена м2]]),0)</f>
        <v>129740.87</v>
      </c>
      <c r="AR74" s="3">
        <f>наценка7[[#This Row],[утв цена м2]]*наценка7[[#This Row],[Расчетная проектная площадь]]</f>
        <v>5861692.5066</v>
      </c>
      <c r="AS74" s="27" t="str">
        <f>VLOOKUP(наценка7[[#This Row],[№]],Д402[],COLUMN('Реестр ОН'!$BA$1),0)</f>
        <v>Свободно</v>
      </c>
      <c r="AT74" s="281">
        <f>ROUND(наценка7[[#This Row],[Цена м2 с учетом всех K]]*наценка7[[#This Row],[Расчетная проектная площадь]],0)</f>
        <v>5549812</v>
      </c>
      <c r="AU74" s="286">
        <v>5549812</v>
      </c>
      <c r="AV74" s="286" t="b">
        <f>наценка7[[#This Row],[Аллио]]=наценка7[[#This Row],[Первичка тест]]</f>
        <v>1</v>
      </c>
    </row>
    <row r="75" spans="1:48" hidden="1" x14ac:dyDescent="0.25">
      <c r="A75" s="65">
        <v>73</v>
      </c>
      <c r="B75" s="2">
        <f>_xlfn.XLOOKUP(наценка7[[#This Row],[№]],Д402[№],Д402[Секция],"-",0)</f>
        <v>1</v>
      </c>
      <c r="C75" s="2">
        <f>_xlfn.XLOOKUP(наценка7[[#This Row],[№]],Д402[№],Д402[Этаж],"-",0)</f>
        <v>14</v>
      </c>
      <c r="D75" s="2">
        <f>_xlfn.XLOOKUP(наценка7[[#This Row],[№]],Д402[№],Д402[№ на этаже],"-",0)</f>
        <v>1</v>
      </c>
      <c r="E75" s="2">
        <f>_xlfn.XLOOKUP(наценка7[[#This Row],[№]],Д402[№],Д402[Тип кв],"-",0)</f>
        <v>0</v>
      </c>
      <c r="F75" s="51">
        <f>_xlfn.XLOOKUP(наценка7[[#This Row],[№]],Д402[№],Д402[Кухня],"-",0)</f>
        <v>6.15</v>
      </c>
      <c r="G75" s="51">
        <f>_xlfn.XLOOKUP(наценка7[[#This Row],[№]],Д402[№],Д402[Ванная],"-",0)</f>
        <v>4.7300000000000004</v>
      </c>
      <c r="H75" s="51" t="s">
        <v>84</v>
      </c>
      <c r="I75" s="51"/>
      <c r="J75" s="51"/>
      <c r="K75" s="51" t="s">
        <v>101</v>
      </c>
      <c r="L75" s="51" t="s">
        <v>119</v>
      </c>
      <c r="M75" s="51" t="s">
        <v>83</v>
      </c>
      <c r="N75" s="51"/>
      <c r="O75" s="51" t="s">
        <v>119</v>
      </c>
      <c r="P75" s="51"/>
      <c r="Q75" s="129"/>
      <c r="R75" s="51"/>
      <c r="S75" s="51" t="s">
        <v>101</v>
      </c>
      <c r="T75" s="51">
        <f>_xlfn.XLOOKUP(наценка7[[#This Row],[№]],Д402[№],Д402[Расчетная проектная площадь],"-",0)</f>
        <v>29.4</v>
      </c>
      <c r="U75" s="17">
        <f t="shared" si="2"/>
        <v>89000</v>
      </c>
      <c r="V7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75" s="18">
        <f>наценка7[[#This Row],[Цена м2 базовая]]*наценка7[[#This Row],[Базовой K]]</f>
        <v>139730</v>
      </c>
      <c r="X7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7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75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7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5" s="55" t="str">
        <f>IF(наценка7[[#This Row],[Потолок ]]="ДА",коэффициенты!$C$13,"")</f>
        <v/>
      </c>
      <c r="AG7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7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7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7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5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75" s="52">
        <f>SUM(наценка7[[#This Row],[еврокухня]:[Лифт]])*наценка7[[#This Row],[Цена м2 с БK]]+наценка7[[#This Row],[Цена м2 с БK]]</f>
        <v>139730</v>
      </c>
      <c r="AQ75" s="51">
        <f>VLOOKUP(наценка7[[#This Row],[№]],Д402[],COLUMN(Д402[[#This Row],[утв цена м2]]),0)</f>
        <v>141162.5</v>
      </c>
      <c r="AR75" s="3">
        <f>наценка7[[#This Row],[утв цена м2]]*наценка7[[#This Row],[Расчетная проектная площадь]]</f>
        <v>4150177.5</v>
      </c>
      <c r="AS75" s="27" t="str">
        <f>VLOOKUP(наценка7[[#This Row],[№]],Д402[],COLUMN('Реестр ОН'!$BA$1),0)</f>
        <v>Свободно</v>
      </c>
      <c r="AT75" s="281">
        <f>ROUND(наценка7[[#This Row],[Цена м2 с учетом всех K]]*наценка7[[#This Row],[Расчетная проектная площадь]],0)</f>
        <v>4108062</v>
      </c>
      <c r="AU75" s="286">
        <v>4108062</v>
      </c>
      <c r="AV75" s="286" t="b">
        <f>наценка7[[#This Row],[Аллио]]=наценка7[[#This Row],[Первичка тест]]</f>
        <v>1</v>
      </c>
    </row>
    <row r="76" spans="1:48" hidden="1" x14ac:dyDescent="0.25">
      <c r="A76" s="65">
        <v>74</v>
      </c>
      <c r="B76" s="2">
        <f>_xlfn.XLOOKUP(наценка7[[#This Row],[№]],Д402[№],Д402[Секция],"-",0)</f>
        <v>1</v>
      </c>
      <c r="C76" s="2">
        <f>_xlfn.XLOOKUP(наценка7[[#This Row],[№]],Д402[№],Д402[Этаж],"-",0)</f>
        <v>14</v>
      </c>
      <c r="D76" s="2">
        <f>_xlfn.XLOOKUP(наценка7[[#This Row],[№]],Д402[№],Д402[№ на этаже],"-",0)</f>
        <v>2</v>
      </c>
      <c r="E76" s="2">
        <f>_xlfn.XLOOKUP(наценка7[[#This Row],[№]],Д402[№],Д402[Тип кв],"-",0)</f>
        <v>2</v>
      </c>
      <c r="F76" s="51">
        <f>_xlfn.XLOOKUP(наценка7[[#This Row],[№]],Д402[№],Д402[Кухня],"-",0)</f>
        <v>17.32</v>
      </c>
      <c r="G76" s="51">
        <f>_xlfn.XLOOKUP(наценка7[[#This Row],[№]],Д402[№],Д402[Ванная],"-",0)</f>
        <v>4.25</v>
      </c>
      <c r="H76" s="51" t="s">
        <v>85</v>
      </c>
      <c r="I76" s="51"/>
      <c r="J76" s="51" t="s">
        <v>101</v>
      </c>
      <c r="K76" s="51"/>
      <c r="L76" s="51"/>
      <c r="M76" s="51" t="s">
        <v>83</v>
      </c>
      <c r="N76" s="51"/>
      <c r="O76" s="51" t="s">
        <v>101</v>
      </c>
      <c r="P76" s="51"/>
      <c r="Q76" s="129"/>
      <c r="R76" s="51" t="s">
        <v>101</v>
      </c>
      <c r="S76" s="51"/>
      <c r="T76" s="51">
        <f>_xlfn.XLOOKUP(наценка7[[#This Row],[№]],Д402[№],Д402[Расчетная проектная площадь],"-",0)</f>
        <v>59.73</v>
      </c>
      <c r="U76" s="17">
        <f t="shared" si="2"/>
        <v>89000</v>
      </c>
      <c r="V7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76" s="18">
        <f>наценка7[[#This Row],[Цена м2 базовая]]*наценка7[[#This Row],[Базовой K]]</f>
        <v>113030</v>
      </c>
      <c r="X7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76" s="57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76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6" s="55" t="str">
        <f>IF(наценка7[[#This Row],[Потолок ]]="ДА",коэффициенты!$C$13,"")</f>
        <v/>
      </c>
      <c r="AG7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76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76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7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7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6" s="52">
        <f>SUM(наценка7[[#This Row],[еврокухня]:[Лифт]])*наценка7[[#This Row],[Цена м2 с БK]]+наценка7[[#This Row],[Цена м2 с БK]]</f>
        <v>117551.2</v>
      </c>
      <c r="AQ76" s="51">
        <f>VLOOKUP(наценка7[[#This Row],[№]],Д402[],COLUMN(Д402[[#This Row],[утв цена м2]]),0)</f>
        <v>122958.95</v>
      </c>
      <c r="AR76" s="3">
        <f>наценка7[[#This Row],[утв цена м2]]*наценка7[[#This Row],[Расчетная проектная площадь]]</f>
        <v>7344338.0834999997</v>
      </c>
      <c r="AS76" s="27" t="str">
        <f>VLOOKUP(наценка7[[#This Row],[№]],Д402[],COLUMN('Реестр ОН'!$BA$1),0)</f>
        <v>Стр. Резерв</v>
      </c>
      <c r="AT76" s="281">
        <f>ROUND(наценка7[[#This Row],[Цена м2 с учетом всех K]]*наценка7[[#This Row],[Расчетная проектная площадь]],0)</f>
        <v>7021333</v>
      </c>
      <c r="AU76" s="286">
        <v>7021333</v>
      </c>
      <c r="AV76" s="286" t="b">
        <f>наценка7[[#This Row],[Аллио]]=наценка7[[#This Row],[Первичка тест]]</f>
        <v>1</v>
      </c>
    </row>
    <row r="77" spans="1:48" hidden="1" x14ac:dyDescent="0.25">
      <c r="A77" s="65">
        <v>75</v>
      </c>
      <c r="B77" s="2">
        <f>_xlfn.XLOOKUP(наценка7[[#This Row],[№]],Д402[№],Д402[Секция],"-",0)</f>
        <v>1</v>
      </c>
      <c r="C77" s="2">
        <f>_xlfn.XLOOKUP(наценка7[[#This Row],[№]],Д402[№],Д402[Этаж],"-",0)</f>
        <v>14</v>
      </c>
      <c r="D77" s="2">
        <f>_xlfn.XLOOKUP(наценка7[[#This Row],[№]],Д402[№],Д402[№ на этаже],"-",0)</f>
        <v>3</v>
      </c>
      <c r="E77" s="2">
        <f>_xlfn.XLOOKUP(наценка7[[#This Row],[№]],Д402[№],Д402[Тип кв],"-",0)</f>
        <v>2</v>
      </c>
      <c r="F77" s="51">
        <f>_xlfn.XLOOKUP(наценка7[[#This Row],[№]],Д402[№],Д402[Кухня],"-",0)</f>
        <v>14.24</v>
      </c>
      <c r="G77" s="51">
        <f>_xlfn.XLOOKUP(наценка7[[#This Row],[№]],Д402[№],Д402[Ванная],"-",0)</f>
        <v>3.86</v>
      </c>
      <c r="H77" s="51" t="s">
        <v>87</v>
      </c>
      <c r="I77" s="51"/>
      <c r="J77" s="51" t="s">
        <v>101</v>
      </c>
      <c r="K77" s="51"/>
      <c r="L77" s="51"/>
      <c r="M77" s="51" t="s">
        <v>83</v>
      </c>
      <c r="N77" s="51"/>
      <c r="O77" s="51" t="s">
        <v>101</v>
      </c>
      <c r="P77" s="51" t="s">
        <v>101</v>
      </c>
      <c r="Q77" s="51" t="s">
        <v>101</v>
      </c>
      <c r="R77" s="51"/>
      <c r="S77" s="51"/>
      <c r="T77" s="51">
        <f>_xlfn.XLOOKUP(наценка7[[#This Row],[№]],Д402[№],Д402[Расчетная проектная площадь],"-",0)</f>
        <v>54.47</v>
      </c>
      <c r="U77" s="17">
        <f t="shared" si="2"/>
        <v>89000</v>
      </c>
      <c r="V7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77" s="18">
        <f>наценка7[[#This Row],[Цена м2 базовая]]*наценка7[[#This Row],[Базовой K]]</f>
        <v>113030</v>
      </c>
      <c r="X7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7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7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7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7" s="55" t="str">
        <f>IF(наценка7[[#This Row],[Потолок ]]="ДА",коэффициенты!$C$13,"")</f>
        <v/>
      </c>
      <c r="AG7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7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7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7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7" s="52">
        <f>SUM(наценка7[[#This Row],[еврокухня]:[Лифт]])*наценка7[[#This Row],[Цена м2 с БK]]+наценка7[[#This Row],[Цена м2 с БK]]</f>
        <v>118681.5</v>
      </c>
      <c r="AQ77" s="51">
        <f>VLOOKUP(наценка7[[#This Row],[№]],Д402[],COLUMN(Д402[[#This Row],[утв цена м2]]),0)</f>
        <v>120513.57</v>
      </c>
      <c r="AR77" s="3">
        <f>наценка7[[#This Row],[утв цена м2]]*наценка7[[#This Row],[Расчетная проектная площадь]]</f>
        <v>6564374.1579</v>
      </c>
      <c r="AS77" s="27" t="str">
        <f>VLOOKUP(наценка7[[#This Row],[№]],Д402[],COLUMN('Реестр ОН'!$BA$1),0)</f>
        <v>Стр. Резерв</v>
      </c>
      <c r="AT77" s="281">
        <f>ROUND(наценка7[[#This Row],[Цена м2 с учетом всех K]]*наценка7[[#This Row],[Расчетная проектная площадь]],0)</f>
        <v>6464581</v>
      </c>
      <c r="AU77" s="286">
        <v>6464581</v>
      </c>
      <c r="AV77" s="286" t="b">
        <f>наценка7[[#This Row],[Аллио]]=наценка7[[#This Row],[Первичка тест]]</f>
        <v>1</v>
      </c>
    </row>
    <row r="78" spans="1:48" hidden="1" x14ac:dyDescent="0.25">
      <c r="A78" s="65">
        <v>76</v>
      </c>
      <c r="B78" s="2">
        <f>_xlfn.XLOOKUP(наценка7[[#This Row],[№]],Д402[№],Д402[Секция],"-",0)</f>
        <v>1</v>
      </c>
      <c r="C78" s="2">
        <f>_xlfn.XLOOKUP(наценка7[[#This Row],[№]],Д402[№],Д402[Этаж],"-",0)</f>
        <v>14</v>
      </c>
      <c r="D78" s="2">
        <f>_xlfn.XLOOKUP(наценка7[[#This Row],[№]],Д402[№],Д402[№ на этаже],"-",0)</f>
        <v>4</v>
      </c>
      <c r="E78" s="2">
        <f>_xlfn.XLOOKUP(наценка7[[#This Row],[№]],Д402[№],Д402[Тип кв],"-",0)</f>
        <v>2</v>
      </c>
      <c r="F78" s="51">
        <f>_xlfn.XLOOKUP(наценка7[[#This Row],[№]],Д402[№],Д402[Кухня],"-",0)</f>
        <v>14.78</v>
      </c>
      <c r="G78" s="51">
        <f>_xlfn.XLOOKUP(наценка7[[#This Row],[№]],Д402[№],Д402[Ванная],"-",0)</f>
        <v>4.4400000000000004</v>
      </c>
      <c r="H78" s="51" t="s">
        <v>87</v>
      </c>
      <c r="I78" s="51"/>
      <c r="J78" s="51" t="s">
        <v>101</v>
      </c>
      <c r="K78" s="51"/>
      <c r="L78" s="51"/>
      <c r="M78" s="51" t="s">
        <v>83</v>
      </c>
      <c r="N78" s="51"/>
      <c r="O78" s="51" t="s">
        <v>119</v>
      </c>
      <c r="P78" s="51" t="s">
        <v>101</v>
      </c>
      <c r="Q78" s="51" t="s">
        <v>101</v>
      </c>
      <c r="R78" s="51"/>
      <c r="S78" s="51"/>
      <c r="T78" s="51">
        <f>_xlfn.XLOOKUP(наценка7[[#This Row],[№]],Д402[№],Д402[Расчетная проектная площадь],"-",0)</f>
        <v>54.4</v>
      </c>
      <c r="U78" s="17">
        <f t="shared" si="2"/>
        <v>89000</v>
      </c>
      <c r="V7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78" s="18">
        <f>наценка7[[#This Row],[Цена м2 базовая]]*наценка7[[#This Row],[Базовой K]]</f>
        <v>113030</v>
      </c>
      <c r="X7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8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7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7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8" s="55" t="str">
        <f>IF(наценка7[[#This Row],[Потолок ]]="ДА",коэффициенты!$C$13,"")</f>
        <v/>
      </c>
      <c r="AG7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7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78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7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8" s="52">
        <f>SUM(наценка7[[#This Row],[еврокухня]:[Лифт]])*наценка7[[#This Row],[Цена м2 с БK]]+наценка7[[#This Row],[Цена м2 с БK]]</f>
        <v>120942.1</v>
      </c>
      <c r="AQ78" s="51">
        <f>VLOOKUP(наценка7[[#This Row],[№]],Д402[],COLUMN(Д402[[#This Row],[утв цена м2]]),0)</f>
        <v>122785.47</v>
      </c>
      <c r="AR78" s="3">
        <f>наценка7[[#This Row],[утв цена м2]]*наценка7[[#This Row],[Расчетная проектная площадь]]</f>
        <v>6679529.568</v>
      </c>
      <c r="AS78" s="27" t="str">
        <f>VLOOKUP(наценка7[[#This Row],[№]],Д402[],COLUMN('Реестр ОН'!$BA$1),0)</f>
        <v>Свободно</v>
      </c>
      <c r="AT78" s="281">
        <f>ROUND(наценка7[[#This Row],[Цена м2 с учетом всех K]]*наценка7[[#This Row],[Расчетная проектная площадь]],0)</f>
        <v>6579250</v>
      </c>
      <c r="AU78" s="286">
        <v>6579250</v>
      </c>
      <c r="AV78" s="286" t="b">
        <f>наценка7[[#This Row],[Аллио]]=наценка7[[#This Row],[Первичка тест]]</f>
        <v>1</v>
      </c>
    </row>
    <row r="79" spans="1:48" hidden="1" x14ac:dyDescent="0.25">
      <c r="A79" s="65">
        <v>77</v>
      </c>
      <c r="B79" s="2">
        <f>_xlfn.XLOOKUP(наценка7[[#This Row],[№]],Д402[№],Д402[Секция],"-",0)</f>
        <v>1</v>
      </c>
      <c r="C79" s="2">
        <f>_xlfn.XLOOKUP(наценка7[[#This Row],[№]],Д402[№],Д402[Этаж],"-",0)</f>
        <v>14</v>
      </c>
      <c r="D79" s="2">
        <f>_xlfn.XLOOKUP(наценка7[[#This Row],[№]],Д402[№],Д402[№ на этаже],"-",0)</f>
        <v>5</v>
      </c>
      <c r="E79" s="2">
        <f>_xlfn.XLOOKUP(наценка7[[#This Row],[№]],Д402[№],Д402[Тип кв],"-",0)</f>
        <v>1</v>
      </c>
      <c r="F79" s="51">
        <f>_xlfn.XLOOKUP(наценка7[[#This Row],[№]],Д402[№],Д402[Кухня],"-",0)</f>
        <v>14.73</v>
      </c>
      <c r="G79" s="51">
        <f>_xlfn.XLOOKUP(наценка7[[#This Row],[№]],Д402[№],Д402[Ванная],"-",0)</f>
        <v>4.4400000000000004</v>
      </c>
      <c r="H79" s="51" t="s">
        <v>87</v>
      </c>
      <c r="I79" s="51"/>
      <c r="J79" s="51" t="s">
        <v>101</v>
      </c>
      <c r="K79" s="51" t="s">
        <v>101</v>
      </c>
      <c r="L79" s="51"/>
      <c r="M79" s="51" t="s">
        <v>83</v>
      </c>
      <c r="N79" s="51"/>
      <c r="O79" s="51" t="s">
        <v>101</v>
      </c>
      <c r="P79" s="51" t="s">
        <v>101</v>
      </c>
      <c r="Q79" s="129"/>
      <c r="R79" s="129"/>
      <c r="S79" s="51"/>
      <c r="T79" s="51">
        <f>_xlfn.XLOOKUP(наценка7[[#This Row],[№]],Д402[№],Д402[Расчетная проектная площадь],"-",0)</f>
        <v>36.64</v>
      </c>
      <c r="U79" s="17">
        <f t="shared" si="2"/>
        <v>89000</v>
      </c>
      <c r="V7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79" s="18">
        <f>наценка7[[#This Row],[Цена м2 базовая]]*наценка7[[#This Row],[Базовой K]]</f>
        <v>119260</v>
      </c>
      <c r="X7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7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7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79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7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7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7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7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79" s="55" t="str">
        <f>IF(наценка7[[#This Row],[Потолок ]]="ДА",коэффициенты!$C$13,"")</f>
        <v/>
      </c>
      <c r="AG7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7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7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7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7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7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7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7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7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79" s="52">
        <f>SUM(наценка7[[#This Row],[еврокухня]:[Лифт]])*наценка7[[#This Row],[Цена м2 с БK]]+наценка7[[#This Row],[Цена м2 с БK]]</f>
        <v>126415.6</v>
      </c>
      <c r="AQ79" s="51">
        <f>VLOOKUP(наценка7[[#This Row],[№]],Д402[],COLUMN(Д402[[#This Row],[утв цена м2]]),0)</f>
        <v>130176.41</v>
      </c>
      <c r="AR79" s="3">
        <f>наценка7[[#This Row],[утв цена м2]]*наценка7[[#This Row],[Расчетная проектная площадь]]</f>
        <v>4769663.6623999998</v>
      </c>
      <c r="AS79" s="27" t="str">
        <f>VLOOKUP(наценка7[[#This Row],[№]],Д402[],COLUMN('Реестр ОН'!$BA$1),0)</f>
        <v>Продажа</v>
      </c>
      <c r="AT79" s="281">
        <f>ROUND(наценка7[[#This Row],[Цена м2 с учетом всех K]]*наценка7[[#This Row],[Расчетная проектная площадь]],0)</f>
        <v>4631868</v>
      </c>
      <c r="AU79" s="286">
        <v>4631868</v>
      </c>
      <c r="AV79" s="286" t="b">
        <f>наценка7[[#This Row],[Аллио]]=наценка7[[#This Row],[Первичка тест]]</f>
        <v>1</v>
      </c>
    </row>
    <row r="80" spans="1:48" hidden="1" x14ac:dyDescent="0.25">
      <c r="A80" s="65">
        <v>78</v>
      </c>
      <c r="B80" s="2">
        <f>_xlfn.XLOOKUP(наценка7[[#This Row],[№]],Д402[№],Д402[Секция],"-",0)</f>
        <v>1</v>
      </c>
      <c r="C80" s="2">
        <f>_xlfn.XLOOKUP(наценка7[[#This Row],[№]],Д402[№],Д402[Этаж],"-",0)</f>
        <v>14</v>
      </c>
      <c r="D80" s="2">
        <f>_xlfn.XLOOKUP(наценка7[[#This Row],[№]],Д402[№],Д402[№ на этаже],"-",0)</f>
        <v>6</v>
      </c>
      <c r="E80" s="2">
        <f>_xlfn.XLOOKUP(наценка7[[#This Row],[№]],Д402[№],Д402[Тип кв],"-",0)</f>
        <v>1</v>
      </c>
      <c r="F80" s="51">
        <f>_xlfn.XLOOKUP(наценка7[[#This Row],[№]],Д402[№],Д402[Кухня],"-",0)</f>
        <v>16.57</v>
      </c>
      <c r="G80" s="51">
        <f>_xlfn.XLOOKUP(наценка7[[#This Row],[№]],Д402[№],Д402[Ванная],"-",0)</f>
        <v>4.46</v>
      </c>
      <c r="H80" s="51" t="s">
        <v>84</v>
      </c>
      <c r="I80" s="51"/>
      <c r="J80" s="51" t="s">
        <v>101</v>
      </c>
      <c r="K80" s="51" t="s">
        <v>101</v>
      </c>
      <c r="L80" s="51"/>
      <c r="M80" s="51" t="s">
        <v>83</v>
      </c>
      <c r="N80" s="51" t="s">
        <v>101</v>
      </c>
      <c r="O80" s="51" t="s">
        <v>101</v>
      </c>
      <c r="P80" s="51"/>
      <c r="Q80" s="129"/>
      <c r="R80" s="129"/>
      <c r="S80" s="51"/>
      <c r="T80" s="51">
        <f>_xlfn.XLOOKUP(наценка7[[#This Row],[№]],Д402[№],Д402[Расчетная проектная площадь],"-",0)</f>
        <v>44.9</v>
      </c>
      <c r="U80" s="17">
        <f t="shared" si="2"/>
        <v>89000</v>
      </c>
      <c r="V8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80" s="18">
        <f>наценка7[[#This Row],[Цена м2 базовая]]*наценка7[[#This Row],[Базовой K]]</f>
        <v>119260</v>
      </c>
      <c r="X8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80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8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0" s="55" t="str">
        <f>IF(наценка7[[#This Row],[Потолок ]]="ДА",коэффициенты!$C$13,"")</f>
        <v/>
      </c>
      <c r="AG8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8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0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8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0" s="52">
        <f>SUM(наценка7[[#This Row],[еврокухня]:[Лифт]])*наценка7[[#This Row],[Цена м2 с БK]]+наценка7[[#This Row],[Цена м2 с БK]]</f>
        <v>120452.6</v>
      </c>
      <c r="AQ80" s="51">
        <f>VLOOKUP(наценка7[[#This Row],[№]],Д402[],COLUMN(Д402[[#This Row],[утв цена м2]]),0)</f>
        <v>127246.66</v>
      </c>
      <c r="AR80" s="3">
        <f>наценка7[[#This Row],[утв цена м2]]*наценка7[[#This Row],[Расчетная проектная площадь]]</f>
        <v>5713375.034</v>
      </c>
      <c r="AS80" s="27" t="str">
        <f>VLOOKUP(наценка7[[#This Row],[№]],Д402[],COLUMN('Реестр ОН'!$BA$1),0)</f>
        <v>Стр. Резерв</v>
      </c>
      <c r="AT80" s="281">
        <f>ROUND(наценка7[[#This Row],[Цена м2 с учетом всех K]]*наценка7[[#This Row],[Расчетная проектная площадь]],0)</f>
        <v>5408322</v>
      </c>
      <c r="AU80" s="286">
        <v>5408322</v>
      </c>
      <c r="AV80" s="286" t="b">
        <f>наценка7[[#This Row],[Аллио]]=наценка7[[#This Row],[Первичка тест]]</f>
        <v>1</v>
      </c>
    </row>
    <row r="81" spans="1:48" hidden="1" x14ac:dyDescent="0.25">
      <c r="A81" s="65">
        <v>79</v>
      </c>
      <c r="B81" s="2">
        <f>_xlfn.XLOOKUP(наценка7[[#This Row],[№]],Д402[№],Д402[Секция],"-",0)</f>
        <v>1</v>
      </c>
      <c r="C81" s="2">
        <f>_xlfn.XLOOKUP(наценка7[[#This Row],[№]],Д402[№],Д402[Этаж],"-",0)</f>
        <v>15</v>
      </c>
      <c r="D81" s="2">
        <f>_xlfn.XLOOKUP(наценка7[[#This Row],[№]],Д402[№],Д402[№ на этаже],"-",0)</f>
        <v>1</v>
      </c>
      <c r="E81" s="2">
        <f>_xlfn.XLOOKUP(наценка7[[#This Row],[№]],Д402[№],Д402[Тип кв],"-",0)</f>
        <v>0</v>
      </c>
      <c r="F81" s="51">
        <f>_xlfn.XLOOKUP(наценка7[[#This Row],[№]],Д402[№],Д402[Кухня],"-",0)</f>
        <v>6.15</v>
      </c>
      <c r="G81" s="51">
        <f>_xlfn.XLOOKUP(наценка7[[#This Row],[№]],Д402[№],Д402[Ванная],"-",0)</f>
        <v>4.7300000000000004</v>
      </c>
      <c r="H81" s="51" t="s">
        <v>84</v>
      </c>
      <c r="I81" s="51"/>
      <c r="J81" s="51"/>
      <c r="K81" s="51" t="s">
        <v>101</v>
      </c>
      <c r="L81" s="51" t="s">
        <v>119</v>
      </c>
      <c r="M81" s="51" t="s">
        <v>83</v>
      </c>
      <c r="N81" s="51"/>
      <c r="O81" s="51" t="s">
        <v>119</v>
      </c>
      <c r="P81" s="51"/>
      <c r="Q81" s="129"/>
      <c r="R81" s="51"/>
      <c r="S81" s="51" t="s">
        <v>101</v>
      </c>
      <c r="T81" s="51">
        <f>_xlfn.XLOOKUP(наценка7[[#This Row],[№]],Д402[№],Д402[Расчетная проектная площадь],"-",0)</f>
        <v>29.4</v>
      </c>
      <c r="U81" s="17">
        <f t="shared" si="2"/>
        <v>89000</v>
      </c>
      <c r="V8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81" s="18">
        <f>наценка7[[#This Row],[Цена м2 базовая]]*наценка7[[#This Row],[Базовой K]]</f>
        <v>139730</v>
      </c>
      <c r="X8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8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1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8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8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1" s="55" t="str">
        <f>IF(наценка7[[#This Row],[Потолок ]]="ДА",коэффициенты!$C$13,"")</f>
        <v/>
      </c>
      <c r="AG8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8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8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1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8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1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81" s="52">
        <f>SUM(наценка7[[#This Row],[еврокухня]:[Лифт]])*наценка7[[#This Row],[Цена м2 с БK]]+наценка7[[#This Row],[Цена м2 с БK]]</f>
        <v>139730</v>
      </c>
      <c r="AQ81" s="51">
        <f>VLOOKUP(наценка7[[#This Row],[№]],Д402[],COLUMN(Д402[[#This Row],[утв цена м2]]),0)</f>
        <v>140930</v>
      </c>
      <c r="AR81" s="3">
        <f>наценка7[[#This Row],[утв цена м2]]*наценка7[[#This Row],[Расчетная проектная площадь]]</f>
        <v>4143342</v>
      </c>
      <c r="AS81" s="27" t="str">
        <f>VLOOKUP(наценка7[[#This Row],[№]],Д402[],COLUMN('Реестр ОН'!$BA$1),0)</f>
        <v>Продажа</v>
      </c>
      <c r="AT81" s="281">
        <f>ROUND(наценка7[[#This Row],[Цена м2 с учетом всех K]]*наценка7[[#This Row],[Расчетная проектная площадь]],0)</f>
        <v>4108062</v>
      </c>
      <c r="AU81" s="286">
        <v>4108062</v>
      </c>
      <c r="AV81" s="286" t="b">
        <f>наценка7[[#This Row],[Аллио]]=наценка7[[#This Row],[Первичка тест]]</f>
        <v>1</v>
      </c>
    </row>
    <row r="82" spans="1:48" hidden="1" x14ac:dyDescent="0.25">
      <c r="A82" s="65">
        <v>80</v>
      </c>
      <c r="B82" s="2">
        <f>_xlfn.XLOOKUP(наценка7[[#This Row],[№]],Д402[№],Д402[Секция],"-",0)</f>
        <v>1</v>
      </c>
      <c r="C82" s="2">
        <f>_xlfn.XLOOKUP(наценка7[[#This Row],[№]],Д402[№],Д402[Этаж],"-",0)</f>
        <v>15</v>
      </c>
      <c r="D82" s="2">
        <f>_xlfn.XLOOKUP(наценка7[[#This Row],[№]],Д402[№],Д402[№ на этаже],"-",0)</f>
        <v>2</v>
      </c>
      <c r="E82" s="2">
        <f>_xlfn.XLOOKUP(наценка7[[#This Row],[№]],Д402[№],Д402[Тип кв],"-",0)</f>
        <v>2</v>
      </c>
      <c r="F82" s="51">
        <f>_xlfn.XLOOKUP(наценка7[[#This Row],[№]],Д402[№],Д402[Кухня],"-",0)</f>
        <v>17.32</v>
      </c>
      <c r="G82" s="51">
        <f>_xlfn.XLOOKUP(наценка7[[#This Row],[№]],Д402[№],Д402[Ванная],"-",0)</f>
        <v>4.25</v>
      </c>
      <c r="H82" s="51" t="s">
        <v>85</v>
      </c>
      <c r="I82" s="51"/>
      <c r="J82" s="51" t="s">
        <v>101</v>
      </c>
      <c r="K82" s="51"/>
      <c r="L82" s="51"/>
      <c r="M82" s="51" t="s">
        <v>83</v>
      </c>
      <c r="N82" s="51"/>
      <c r="O82" s="51" t="s">
        <v>101</v>
      </c>
      <c r="P82" s="51" t="s">
        <v>101</v>
      </c>
      <c r="Q82" s="129"/>
      <c r="R82" s="51" t="s">
        <v>101</v>
      </c>
      <c r="S82" s="51"/>
      <c r="T82" s="51">
        <f>_xlfn.XLOOKUP(наценка7[[#This Row],[№]],Д402[№],Д402[Расчетная проектная площадь],"-",0)</f>
        <v>59.73</v>
      </c>
      <c r="U82" s="17">
        <f t="shared" si="2"/>
        <v>89000</v>
      </c>
      <c r="V8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82" s="18">
        <f>наценка7[[#This Row],[Цена м2 базовая]]*наценка7[[#This Row],[Базовой K]]</f>
        <v>113030</v>
      </c>
      <c r="X8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82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82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2" s="55" t="str">
        <f>IF(наценка7[[#This Row],[Потолок ]]="ДА",коэффициенты!$C$13,"")</f>
        <v/>
      </c>
      <c r="AG8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82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82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2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8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2" s="52">
        <f>SUM(наценка7[[#This Row],[еврокухня]:[Лифт]])*наценка7[[#This Row],[Цена м2 с БK]]+наценка7[[#This Row],[Цена м2 с БK]]</f>
        <v>119811.8</v>
      </c>
      <c r="AQ82" s="51">
        <f>VLOOKUP(наценка7[[#This Row],[№]],Д402[],COLUMN(Д402[[#This Row],[утв цена м2]]),0)</f>
        <v>125299.01</v>
      </c>
      <c r="AR82" s="3">
        <f>наценка7[[#This Row],[утв цена м2]]*наценка7[[#This Row],[Расчетная проектная площадь]]</f>
        <v>7484109.8672999991</v>
      </c>
      <c r="AS82" s="27" t="str">
        <f>VLOOKUP(наценка7[[#This Row],[№]],Д402[],COLUMN('Реестр ОН'!$BA$1),0)</f>
        <v>Свободно</v>
      </c>
      <c r="AT82" s="281">
        <f>ROUND(наценка7[[#This Row],[Цена м2 с учетом всех K]]*наценка7[[#This Row],[Расчетная проектная площадь]],0)</f>
        <v>7156359</v>
      </c>
      <c r="AU82" s="286">
        <v>7156359</v>
      </c>
      <c r="AV82" s="286" t="b">
        <f>наценка7[[#This Row],[Аллио]]=наценка7[[#This Row],[Первичка тест]]</f>
        <v>1</v>
      </c>
    </row>
    <row r="83" spans="1:48" hidden="1" x14ac:dyDescent="0.25">
      <c r="A83" s="65">
        <v>81</v>
      </c>
      <c r="B83" s="2">
        <f>_xlfn.XLOOKUP(наценка7[[#This Row],[№]],Д402[№],Д402[Секция],"-",0)</f>
        <v>1</v>
      </c>
      <c r="C83" s="2">
        <f>_xlfn.XLOOKUP(наценка7[[#This Row],[№]],Д402[№],Д402[Этаж],"-",0)</f>
        <v>15</v>
      </c>
      <c r="D83" s="2">
        <f>_xlfn.XLOOKUP(наценка7[[#This Row],[№]],Д402[№],Д402[№ на этаже],"-",0)</f>
        <v>3</v>
      </c>
      <c r="E83" s="2">
        <f>_xlfn.XLOOKUP(наценка7[[#This Row],[№]],Д402[№],Д402[Тип кв],"-",0)</f>
        <v>2</v>
      </c>
      <c r="F83" s="51">
        <f>_xlfn.XLOOKUP(наценка7[[#This Row],[№]],Д402[№],Д402[Кухня],"-",0)</f>
        <v>14.24</v>
      </c>
      <c r="G83" s="51">
        <f>_xlfn.XLOOKUP(наценка7[[#This Row],[№]],Д402[№],Д402[Ванная],"-",0)</f>
        <v>3.86</v>
      </c>
      <c r="H83" s="51" t="s">
        <v>87</v>
      </c>
      <c r="I83" s="51"/>
      <c r="J83" s="51" t="s">
        <v>101</v>
      </c>
      <c r="K83" s="51"/>
      <c r="L83" s="51"/>
      <c r="M83" s="51" t="s">
        <v>83</v>
      </c>
      <c r="N83" s="51"/>
      <c r="O83" s="51" t="s">
        <v>101</v>
      </c>
      <c r="P83" s="51" t="s">
        <v>101</v>
      </c>
      <c r="Q83" s="51" t="s">
        <v>101</v>
      </c>
      <c r="R83" s="51"/>
      <c r="S83" s="51"/>
      <c r="T83" s="51">
        <f>_xlfn.XLOOKUP(наценка7[[#This Row],[№]],Д402[№],Д402[Расчетная проектная площадь],"-",0)</f>
        <v>54.47</v>
      </c>
      <c r="U83" s="17">
        <f t="shared" si="2"/>
        <v>89000</v>
      </c>
      <c r="V8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83" s="18">
        <f>наценка7[[#This Row],[Цена м2 базовая]]*наценка7[[#This Row],[Базовой K]]</f>
        <v>113030</v>
      </c>
      <c r="X8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3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8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83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83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3" s="55" t="str">
        <f>IF(наценка7[[#This Row],[Потолок ]]="ДА",коэффициенты!$C$13,"")</f>
        <v/>
      </c>
      <c r="AG8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8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3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8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3" s="52">
        <f>SUM(наценка7[[#This Row],[еврокухня]:[Лифт]])*наценка7[[#This Row],[Цена м2 с БK]]+наценка7[[#This Row],[Цена м2 с БK]]</f>
        <v>118681.5</v>
      </c>
      <c r="AQ83" s="51">
        <f>VLOOKUP(наценка7[[#This Row],[№]],Д402[],COLUMN(Д402[[#This Row],[утв цена м2]]),0)</f>
        <v>120513.57</v>
      </c>
      <c r="AR83" s="3">
        <f>наценка7[[#This Row],[утв цена м2]]*наценка7[[#This Row],[Расчетная проектная площадь]]</f>
        <v>6564374.1579</v>
      </c>
      <c r="AS83" s="27" t="str">
        <f>VLOOKUP(наценка7[[#This Row],[№]],Д402[],COLUMN('Реестр ОН'!$BA$1),0)</f>
        <v>Стр. Резерв</v>
      </c>
      <c r="AT83" s="281">
        <f>ROUND(наценка7[[#This Row],[Цена м2 с учетом всех K]]*наценка7[[#This Row],[Расчетная проектная площадь]],0)</f>
        <v>6464581</v>
      </c>
      <c r="AU83" s="286">
        <v>6464581</v>
      </c>
      <c r="AV83" s="286" t="b">
        <f>наценка7[[#This Row],[Аллио]]=наценка7[[#This Row],[Первичка тест]]</f>
        <v>1</v>
      </c>
    </row>
    <row r="84" spans="1:48" hidden="1" x14ac:dyDescent="0.25">
      <c r="A84" s="65">
        <v>82</v>
      </c>
      <c r="B84" s="2">
        <f>_xlfn.XLOOKUP(наценка7[[#This Row],[№]],Д402[№],Д402[Секция],"-",0)</f>
        <v>1</v>
      </c>
      <c r="C84" s="2">
        <f>_xlfn.XLOOKUP(наценка7[[#This Row],[№]],Д402[№],Д402[Этаж],"-",0)</f>
        <v>15</v>
      </c>
      <c r="D84" s="2">
        <f>_xlfn.XLOOKUP(наценка7[[#This Row],[№]],Д402[№],Д402[№ на этаже],"-",0)</f>
        <v>4</v>
      </c>
      <c r="E84" s="2">
        <f>_xlfn.XLOOKUP(наценка7[[#This Row],[№]],Д402[№],Д402[Тип кв],"-",0)</f>
        <v>2</v>
      </c>
      <c r="F84" s="51">
        <f>_xlfn.XLOOKUP(наценка7[[#This Row],[№]],Д402[№],Д402[Кухня],"-",0)</f>
        <v>14.78</v>
      </c>
      <c r="G84" s="51">
        <f>_xlfn.XLOOKUP(наценка7[[#This Row],[№]],Д402[№],Д402[Ванная],"-",0)</f>
        <v>4.4400000000000004</v>
      </c>
      <c r="H84" s="51" t="s">
        <v>87</v>
      </c>
      <c r="I84" s="51"/>
      <c r="J84" s="51" t="s">
        <v>101</v>
      </c>
      <c r="K84" s="51"/>
      <c r="L84" s="51"/>
      <c r="M84" s="51" t="s">
        <v>83</v>
      </c>
      <c r="N84" s="51"/>
      <c r="O84" s="51" t="s">
        <v>119</v>
      </c>
      <c r="P84" s="51" t="s">
        <v>101</v>
      </c>
      <c r="Q84" s="51" t="s">
        <v>101</v>
      </c>
      <c r="R84" s="51"/>
      <c r="S84" s="51"/>
      <c r="T84" s="51">
        <f>_xlfn.XLOOKUP(наценка7[[#This Row],[№]],Д402[№],Д402[Расчетная проектная площадь],"-",0)</f>
        <v>54.4</v>
      </c>
      <c r="U84" s="17">
        <f t="shared" si="2"/>
        <v>89000</v>
      </c>
      <c r="V8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84" s="18">
        <f>наценка7[[#This Row],[Цена м2 базовая]]*наценка7[[#This Row],[Базовой K]]</f>
        <v>113030</v>
      </c>
      <c r="X8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84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8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4" s="55" t="str">
        <f>IF(наценка7[[#This Row],[Потолок ]]="ДА",коэффициенты!$C$13,"")</f>
        <v/>
      </c>
      <c r="AG8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8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84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8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4" s="52">
        <f>SUM(наценка7[[#This Row],[еврокухня]:[Лифт]])*наценка7[[#This Row],[Цена м2 с БK]]+наценка7[[#This Row],[Цена м2 с БK]]</f>
        <v>120942.1</v>
      </c>
      <c r="AQ84" s="51">
        <f>VLOOKUP(наценка7[[#This Row],[№]],Д402[],COLUMN(Д402[[#This Row],[утв цена м2]]),0)</f>
        <v>122785.47</v>
      </c>
      <c r="AR84" s="3">
        <f>наценка7[[#This Row],[утв цена м2]]*наценка7[[#This Row],[Расчетная проектная площадь]]</f>
        <v>6679529.568</v>
      </c>
      <c r="AS84" s="27" t="str">
        <f>VLOOKUP(наценка7[[#This Row],[№]],Д402[],COLUMN('Реестр ОН'!$BA$1),0)</f>
        <v>Стр. Резерв</v>
      </c>
      <c r="AT84" s="281">
        <f>ROUND(наценка7[[#This Row],[Цена м2 с учетом всех K]]*наценка7[[#This Row],[Расчетная проектная площадь]],0)</f>
        <v>6579250</v>
      </c>
      <c r="AU84" s="286">
        <v>6579250</v>
      </c>
      <c r="AV84" s="286" t="b">
        <f>наценка7[[#This Row],[Аллио]]=наценка7[[#This Row],[Первичка тест]]</f>
        <v>1</v>
      </c>
    </row>
    <row r="85" spans="1:48" hidden="1" x14ac:dyDescent="0.25">
      <c r="A85" s="65">
        <v>83</v>
      </c>
      <c r="B85" s="2">
        <f>_xlfn.XLOOKUP(наценка7[[#This Row],[№]],Д402[№],Д402[Секция],"-",0)</f>
        <v>1</v>
      </c>
      <c r="C85" s="2">
        <f>_xlfn.XLOOKUP(наценка7[[#This Row],[№]],Д402[№],Д402[Этаж],"-",0)</f>
        <v>15</v>
      </c>
      <c r="D85" s="2">
        <f>_xlfn.XLOOKUP(наценка7[[#This Row],[№]],Д402[№],Д402[№ на этаже],"-",0)</f>
        <v>5</v>
      </c>
      <c r="E85" s="2">
        <f>_xlfn.XLOOKUP(наценка7[[#This Row],[№]],Д402[№],Д402[Тип кв],"-",0)</f>
        <v>1</v>
      </c>
      <c r="F85" s="51">
        <f>_xlfn.XLOOKUP(наценка7[[#This Row],[№]],Д402[№],Д402[Кухня],"-",0)</f>
        <v>14.73</v>
      </c>
      <c r="G85" s="51">
        <f>_xlfn.XLOOKUP(наценка7[[#This Row],[№]],Д402[№],Д402[Ванная],"-",0)</f>
        <v>4.4400000000000004</v>
      </c>
      <c r="H85" s="51" t="s">
        <v>87</v>
      </c>
      <c r="I85" s="51"/>
      <c r="J85" s="51" t="s">
        <v>101</v>
      </c>
      <c r="K85" s="51" t="s">
        <v>101</v>
      </c>
      <c r="L85" s="51"/>
      <c r="M85" s="51" t="s">
        <v>83</v>
      </c>
      <c r="N85" s="51"/>
      <c r="O85" s="51" t="s">
        <v>101</v>
      </c>
      <c r="P85" s="51" t="s">
        <v>101</v>
      </c>
      <c r="Q85" s="129"/>
      <c r="R85" s="129"/>
      <c r="S85" s="51"/>
      <c r="T85" s="51">
        <f>_xlfn.XLOOKUP(наценка7[[#This Row],[№]],Д402[№],Д402[Расчетная проектная площадь],"-",0)</f>
        <v>36.64</v>
      </c>
      <c r="U85" s="17">
        <f t="shared" si="2"/>
        <v>89000</v>
      </c>
      <c r="V8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85" s="18">
        <f>наценка7[[#This Row],[Цена м2 базовая]]*наценка7[[#This Row],[Базовой K]]</f>
        <v>119260</v>
      </c>
      <c r="X8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5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8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85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8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5" s="55" t="str">
        <f>IF(наценка7[[#This Row],[Потолок ]]="ДА",коэффициенты!$C$13,"")</f>
        <v/>
      </c>
      <c r="AG8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8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5" s="52">
        <f>SUM(наценка7[[#This Row],[еврокухня]:[Лифт]])*наценка7[[#This Row],[Цена м2 с БK]]+наценка7[[#This Row],[Цена м2 с БK]]</f>
        <v>126415.6</v>
      </c>
      <c r="AQ85" s="51">
        <f>VLOOKUP(наценка7[[#This Row],[№]],Д402[],COLUMN(Д402[[#This Row],[утв цена м2]]),0)</f>
        <v>130158.91</v>
      </c>
      <c r="AR85" s="3">
        <f>наценка7[[#This Row],[утв цена м2]]*наценка7[[#This Row],[Расчетная проектная площадь]]</f>
        <v>4769022.4624000005</v>
      </c>
      <c r="AS85" s="27" t="str">
        <f>VLOOKUP(наценка7[[#This Row],[№]],Д402[],COLUMN('Реестр ОН'!$BA$1),0)</f>
        <v>Продажа</v>
      </c>
      <c r="AT85" s="281">
        <f>ROUND(наценка7[[#This Row],[Цена м2 с учетом всех K]]*наценка7[[#This Row],[Расчетная проектная площадь]],0)</f>
        <v>4631868</v>
      </c>
      <c r="AU85" s="286">
        <v>4631868</v>
      </c>
      <c r="AV85" s="286" t="b">
        <f>наценка7[[#This Row],[Аллио]]=наценка7[[#This Row],[Первичка тест]]</f>
        <v>1</v>
      </c>
    </row>
    <row r="86" spans="1:48" hidden="1" x14ac:dyDescent="0.25">
      <c r="A86" s="65">
        <v>84</v>
      </c>
      <c r="B86" s="2">
        <f>_xlfn.XLOOKUP(наценка7[[#This Row],[№]],Д402[№],Д402[Секция],"-",0)</f>
        <v>1</v>
      </c>
      <c r="C86" s="2">
        <f>_xlfn.XLOOKUP(наценка7[[#This Row],[№]],Д402[№],Д402[Этаж],"-",0)</f>
        <v>15</v>
      </c>
      <c r="D86" s="2">
        <f>_xlfn.XLOOKUP(наценка7[[#This Row],[№]],Д402[№],Д402[№ на этаже],"-",0)</f>
        <v>6</v>
      </c>
      <c r="E86" s="2">
        <f>_xlfn.XLOOKUP(наценка7[[#This Row],[№]],Д402[№],Д402[Тип кв],"-",0)</f>
        <v>1</v>
      </c>
      <c r="F86" s="51">
        <f>_xlfn.XLOOKUP(наценка7[[#This Row],[№]],Д402[№],Д402[Кухня],"-",0)</f>
        <v>16.57</v>
      </c>
      <c r="G86" s="51">
        <f>_xlfn.XLOOKUP(наценка7[[#This Row],[№]],Д402[№],Д402[Ванная],"-",0)</f>
        <v>4.46</v>
      </c>
      <c r="H86" s="51" t="s">
        <v>84</v>
      </c>
      <c r="I86" s="51"/>
      <c r="J86" s="51" t="s">
        <v>101</v>
      </c>
      <c r="K86" s="51" t="s">
        <v>101</v>
      </c>
      <c r="L86" s="51"/>
      <c r="M86" s="51" t="s">
        <v>83</v>
      </c>
      <c r="N86" s="51" t="s">
        <v>101</v>
      </c>
      <c r="O86" s="51" t="s">
        <v>101</v>
      </c>
      <c r="P86" s="51" t="s">
        <v>101</v>
      </c>
      <c r="Q86" s="129"/>
      <c r="R86" s="129"/>
      <c r="S86" s="51"/>
      <c r="T86" s="51">
        <f>_xlfn.XLOOKUP(наценка7[[#This Row],[№]],Д402[№],Д402[Расчетная проектная площадь],"-",0)</f>
        <v>44.9</v>
      </c>
      <c r="U86" s="17">
        <f t="shared" si="2"/>
        <v>89000</v>
      </c>
      <c r="V8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86" s="18">
        <f>наценка7[[#This Row],[Цена м2 базовая]]*наценка7[[#This Row],[Базовой K]]</f>
        <v>119260</v>
      </c>
      <c r="X8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6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8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8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6" s="55" t="str">
        <f>IF(наценка7[[#This Row],[Потолок ]]="ДА",коэффициенты!$C$13,"")</f>
        <v/>
      </c>
      <c r="AG8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8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6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8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6" s="52">
        <f>SUM(наценка7[[#This Row],[еврокухня]:[Лифт]])*наценка7[[#This Row],[Цена м2 с БK]]+наценка7[[#This Row],[Цена м2 с БK]]</f>
        <v>122837.8</v>
      </c>
      <c r="AQ86" s="51">
        <f>VLOOKUP(наценка7[[#This Row],[№]],Д402[],COLUMN(Д402[[#This Row],[утв цена м2]]),0)</f>
        <v>127196.93</v>
      </c>
      <c r="AR86" s="3">
        <f>наценка7[[#This Row],[утв цена м2]]*наценка7[[#This Row],[Расчетная проектная площадь]]</f>
        <v>5711142.1569999997</v>
      </c>
      <c r="AS86" s="27" t="str">
        <f>VLOOKUP(наценка7[[#This Row],[№]],Д402[],COLUMN('Реестр ОН'!$BA$1),0)</f>
        <v>Продажа</v>
      </c>
      <c r="AT86" s="281">
        <f>ROUND(наценка7[[#This Row],[Цена м2 с учетом всех K]]*наценка7[[#This Row],[Расчетная проектная площадь]],0)</f>
        <v>5515417</v>
      </c>
      <c r="AU86" s="286">
        <v>5515417</v>
      </c>
      <c r="AV86" s="286" t="b">
        <f>наценка7[[#This Row],[Аллио]]=наценка7[[#This Row],[Первичка тест]]</f>
        <v>1</v>
      </c>
    </row>
    <row r="87" spans="1:48" hidden="1" x14ac:dyDescent="0.25">
      <c r="A87" s="65">
        <v>85</v>
      </c>
      <c r="B87" s="2">
        <f>_xlfn.XLOOKUP(наценка7[[#This Row],[№]],Д402[№],Д402[Секция],"-",0)</f>
        <v>1</v>
      </c>
      <c r="C87" s="2">
        <f>_xlfn.XLOOKUP(наценка7[[#This Row],[№]],Д402[№],Д402[Этаж],"-",0)</f>
        <v>16</v>
      </c>
      <c r="D87" s="2">
        <f>_xlfn.XLOOKUP(наценка7[[#This Row],[№]],Д402[№],Д402[№ на этаже],"-",0)</f>
        <v>1</v>
      </c>
      <c r="E87" s="2">
        <f>_xlfn.XLOOKUP(наценка7[[#This Row],[№]],Д402[№],Д402[Тип кв],"-",0)</f>
        <v>0</v>
      </c>
      <c r="F87" s="51">
        <f>_xlfn.XLOOKUP(наценка7[[#This Row],[№]],Д402[№],Д402[Кухня],"-",0)</f>
        <v>6.15</v>
      </c>
      <c r="G87" s="51">
        <f>_xlfn.XLOOKUP(наценка7[[#This Row],[№]],Д402[№],Д402[Ванная],"-",0)</f>
        <v>4.7300000000000004</v>
      </c>
      <c r="H87" s="51" t="s">
        <v>84</v>
      </c>
      <c r="I87" s="51"/>
      <c r="J87" s="51"/>
      <c r="K87" s="51" t="s">
        <v>101</v>
      </c>
      <c r="L87" s="51" t="s">
        <v>119</v>
      </c>
      <c r="M87" s="51" t="s">
        <v>83</v>
      </c>
      <c r="N87" s="51"/>
      <c r="O87" s="51" t="s">
        <v>119</v>
      </c>
      <c r="P87" s="51"/>
      <c r="Q87" s="129"/>
      <c r="R87" s="51"/>
      <c r="S87" s="51" t="s">
        <v>101</v>
      </c>
      <c r="T87" s="51">
        <f>_xlfn.XLOOKUP(наценка7[[#This Row],[№]],Д402[№],Д402[Расчетная проектная площадь],"-",0)</f>
        <v>29.4</v>
      </c>
      <c r="U87" s="17">
        <f t="shared" si="2"/>
        <v>89000</v>
      </c>
      <c r="V8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87" s="18">
        <f>наценка7[[#This Row],[Цена м2 базовая]]*наценка7[[#This Row],[Базовой K]]</f>
        <v>139730</v>
      </c>
      <c r="X8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8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87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8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7" s="55" t="str">
        <f>IF(наценка7[[#This Row],[Потолок ]]="ДА",коэффициенты!$C$13,"")</f>
        <v/>
      </c>
      <c r="AG8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8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8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7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8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7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87" s="52">
        <f>SUM(наценка7[[#This Row],[еврокухня]:[Лифт]])*наценка7[[#This Row],[Цена м2 с БK]]+наценка7[[#This Row],[Цена м2 с БK]]</f>
        <v>139730</v>
      </c>
      <c r="AQ87" s="51">
        <f>VLOOKUP(наценка7[[#This Row],[№]],Д402[],COLUMN(Д402[[#This Row],[утв цена м2]]),0)</f>
        <v>141162.5</v>
      </c>
      <c r="AR87" s="3">
        <f>наценка7[[#This Row],[утв цена м2]]*наценка7[[#This Row],[Расчетная проектная площадь]]</f>
        <v>4150177.5</v>
      </c>
      <c r="AS87" s="27" t="str">
        <f>VLOOKUP(наценка7[[#This Row],[№]],Д402[],COLUMN('Реестр ОН'!$BA$1),0)</f>
        <v>Свободно</v>
      </c>
      <c r="AT87" s="281">
        <f>ROUND(наценка7[[#This Row],[Цена м2 с учетом всех K]]*наценка7[[#This Row],[Расчетная проектная площадь]],0)</f>
        <v>4108062</v>
      </c>
      <c r="AU87" s="286">
        <v>4108062</v>
      </c>
      <c r="AV87" s="286" t="b">
        <f>наценка7[[#This Row],[Аллио]]=наценка7[[#This Row],[Первичка тест]]</f>
        <v>1</v>
      </c>
    </row>
    <row r="88" spans="1:48" hidden="1" x14ac:dyDescent="0.25">
      <c r="A88" s="65">
        <v>86</v>
      </c>
      <c r="B88" s="2">
        <f>_xlfn.XLOOKUP(наценка7[[#This Row],[№]],Д402[№],Д402[Секция],"-",0)</f>
        <v>1</v>
      </c>
      <c r="C88" s="2">
        <f>_xlfn.XLOOKUP(наценка7[[#This Row],[№]],Д402[№],Д402[Этаж],"-",0)</f>
        <v>16</v>
      </c>
      <c r="D88" s="2">
        <f>_xlfn.XLOOKUP(наценка7[[#This Row],[№]],Д402[№],Д402[№ на этаже],"-",0)</f>
        <v>2</v>
      </c>
      <c r="E88" s="2">
        <f>_xlfn.XLOOKUP(наценка7[[#This Row],[№]],Д402[№],Д402[Тип кв],"-",0)</f>
        <v>2</v>
      </c>
      <c r="F88" s="51">
        <f>_xlfn.XLOOKUP(наценка7[[#This Row],[№]],Д402[№],Д402[Кухня],"-",0)</f>
        <v>17.32</v>
      </c>
      <c r="G88" s="51">
        <f>_xlfn.XLOOKUP(наценка7[[#This Row],[№]],Д402[№],Д402[Ванная],"-",0)</f>
        <v>4.25</v>
      </c>
      <c r="H88" s="51" t="s">
        <v>85</v>
      </c>
      <c r="I88" s="51"/>
      <c r="J88" s="51" t="s">
        <v>101</v>
      </c>
      <c r="K88" s="51"/>
      <c r="L88" s="51"/>
      <c r="M88" s="51" t="s">
        <v>83</v>
      </c>
      <c r="N88" s="51"/>
      <c r="O88" s="51" t="s">
        <v>101</v>
      </c>
      <c r="P88" s="51" t="s">
        <v>101</v>
      </c>
      <c r="Q88" s="129"/>
      <c r="R88" s="51" t="s">
        <v>101</v>
      </c>
      <c r="S88" s="51"/>
      <c r="T88" s="51">
        <f>_xlfn.XLOOKUP(наценка7[[#This Row],[№]],Д402[№],Д402[Расчетная проектная площадь],"-",0)</f>
        <v>59.73</v>
      </c>
      <c r="U88" s="17">
        <f t="shared" si="2"/>
        <v>89000</v>
      </c>
      <c r="V8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88" s="18">
        <f>наценка7[[#This Row],[Цена м2 базовая]]*наценка7[[#This Row],[Базовой K]]</f>
        <v>113030</v>
      </c>
      <c r="X8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8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88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88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8" s="55" t="str">
        <f>IF(наценка7[[#This Row],[Потолок ]]="ДА",коэффициенты!$C$13,"")</f>
        <v/>
      </c>
      <c r="AG8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88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88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8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8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8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8" s="52">
        <f>SUM(наценка7[[#This Row],[еврокухня]:[Лифт]])*наценка7[[#This Row],[Цена м2 с БK]]+наценка7[[#This Row],[Цена м2 с БK]]</f>
        <v>119811.8</v>
      </c>
      <c r="AQ88" s="51">
        <f>VLOOKUP(наценка7[[#This Row],[№]],Д402[],COLUMN(Д402[[#This Row],[утв цена м2]]),0)</f>
        <v>125299.01</v>
      </c>
      <c r="AR88" s="3">
        <f>наценка7[[#This Row],[утв цена м2]]*наценка7[[#This Row],[Расчетная проектная площадь]]</f>
        <v>7484109.8672999991</v>
      </c>
      <c r="AS88" s="27" t="str">
        <f>VLOOKUP(наценка7[[#This Row],[№]],Д402[],COLUMN('Реестр ОН'!$BA$1),0)</f>
        <v>Стр. Резерв</v>
      </c>
      <c r="AT88" s="281">
        <f>ROUND(наценка7[[#This Row],[Цена м2 с учетом всех K]]*наценка7[[#This Row],[Расчетная проектная площадь]],0)</f>
        <v>7156359</v>
      </c>
      <c r="AU88" s="286">
        <v>7156359</v>
      </c>
      <c r="AV88" s="286" t="b">
        <f>наценка7[[#This Row],[Аллио]]=наценка7[[#This Row],[Первичка тест]]</f>
        <v>1</v>
      </c>
    </row>
    <row r="89" spans="1:48" hidden="1" x14ac:dyDescent="0.25">
      <c r="A89" s="65">
        <v>87</v>
      </c>
      <c r="B89" s="2">
        <f>_xlfn.XLOOKUP(наценка7[[#This Row],[№]],Д402[№],Д402[Секция],"-",0)</f>
        <v>1</v>
      </c>
      <c r="C89" s="2">
        <f>_xlfn.XLOOKUP(наценка7[[#This Row],[№]],Д402[№],Д402[Этаж],"-",0)</f>
        <v>16</v>
      </c>
      <c r="D89" s="2">
        <f>_xlfn.XLOOKUP(наценка7[[#This Row],[№]],Д402[№],Д402[№ на этаже],"-",0)</f>
        <v>3</v>
      </c>
      <c r="E89" s="2">
        <f>_xlfn.XLOOKUP(наценка7[[#This Row],[№]],Д402[№],Д402[Тип кв],"-",0)</f>
        <v>2</v>
      </c>
      <c r="F89" s="51">
        <f>_xlfn.XLOOKUP(наценка7[[#This Row],[№]],Д402[№],Д402[Кухня],"-",0)</f>
        <v>14.24</v>
      </c>
      <c r="G89" s="51">
        <f>_xlfn.XLOOKUP(наценка7[[#This Row],[№]],Д402[№],Д402[Ванная],"-",0)</f>
        <v>3.86</v>
      </c>
      <c r="H89" s="51" t="s">
        <v>87</v>
      </c>
      <c r="I89" s="51"/>
      <c r="J89" s="51" t="s">
        <v>101</v>
      </c>
      <c r="K89" s="51"/>
      <c r="L89" s="51"/>
      <c r="M89" s="51" t="s">
        <v>83</v>
      </c>
      <c r="N89" s="51"/>
      <c r="O89" s="51" t="s">
        <v>101</v>
      </c>
      <c r="P89" s="51"/>
      <c r="Q89" s="51" t="s">
        <v>101</v>
      </c>
      <c r="R89" s="51"/>
      <c r="S89" s="51"/>
      <c r="T89" s="51">
        <f>_xlfn.XLOOKUP(наценка7[[#This Row],[№]],Д402[№],Д402[Расчетная проектная площадь],"-",0)</f>
        <v>54.47</v>
      </c>
      <c r="U89" s="17">
        <f t="shared" si="2"/>
        <v>89000</v>
      </c>
      <c r="V8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89" s="18">
        <f>наценка7[[#This Row],[Цена м2 базовая]]*наценка7[[#This Row],[Базовой K]]</f>
        <v>113030</v>
      </c>
      <c r="X8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8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89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8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8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8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8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8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89" s="55" t="str">
        <f>IF(наценка7[[#This Row],[Потолок ]]="ДА",коэффициенты!$C$13,"")</f>
        <v/>
      </c>
      <c r="AG8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8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8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8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89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8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8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8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8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89" s="52">
        <f>SUM(наценка7[[#This Row],[еврокухня]:[Лифт]])*наценка7[[#This Row],[Цена м2 с БK]]+наценка7[[#This Row],[Цена м2 с БK]]</f>
        <v>116420.9</v>
      </c>
      <c r="AQ89" s="51">
        <f>VLOOKUP(наценка7[[#This Row],[№]],Д402[],COLUMN(Д402[[#This Row],[утв цена м2]]),0)</f>
        <v>118241.67</v>
      </c>
      <c r="AR89" s="3">
        <f>наценка7[[#This Row],[утв цена м2]]*наценка7[[#This Row],[Расчетная проектная площадь]]</f>
        <v>6440623.7648999998</v>
      </c>
      <c r="AS89" s="27" t="str">
        <f>VLOOKUP(наценка7[[#This Row],[№]],Д402[],COLUMN('Реестр ОН'!$BA$1),0)</f>
        <v>Стр. Резерв</v>
      </c>
      <c r="AT89" s="281">
        <f>ROUND(наценка7[[#This Row],[Цена м2 с учетом всех K]]*наценка7[[#This Row],[Расчетная проектная площадь]],0)</f>
        <v>6341446</v>
      </c>
      <c r="AU89" s="286">
        <v>6341446</v>
      </c>
      <c r="AV89" s="286" t="b">
        <f>наценка7[[#This Row],[Аллио]]=наценка7[[#This Row],[Первичка тест]]</f>
        <v>1</v>
      </c>
    </row>
    <row r="90" spans="1:48" hidden="1" x14ac:dyDescent="0.25">
      <c r="A90" s="65">
        <v>88</v>
      </c>
      <c r="B90" s="2">
        <f>_xlfn.XLOOKUP(наценка7[[#This Row],[№]],Д402[№],Д402[Секция],"-",0)</f>
        <v>1</v>
      </c>
      <c r="C90" s="2">
        <f>_xlfn.XLOOKUP(наценка7[[#This Row],[№]],Д402[№],Д402[Этаж],"-",0)</f>
        <v>16</v>
      </c>
      <c r="D90" s="2">
        <f>_xlfn.XLOOKUP(наценка7[[#This Row],[№]],Д402[№],Д402[№ на этаже],"-",0)</f>
        <v>4</v>
      </c>
      <c r="E90" s="2">
        <f>_xlfn.XLOOKUP(наценка7[[#This Row],[№]],Д402[№],Д402[Тип кв],"-",0)</f>
        <v>2</v>
      </c>
      <c r="F90" s="51">
        <f>_xlfn.XLOOKUP(наценка7[[#This Row],[№]],Д402[№],Д402[Кухня],"-",0)</f>
        <v>14.78</v>
      </c>
      <c r="G90" s="51">
        <f>_xlfn.XLOOKUP(наценка7[[#This Row],[№]],Д402[№],Д402[Ванная],"-",0)</f>
        <v>4.4400000000000004</v>
      </c>
      <c r="H90" s="51" t="s">
        <v>87</v>
      </c>
      <c r="I90" s="51"/>
      <c r="J90" s="51" t="s">
        <v>101</v>
      </c>
      <c r="K90" s="51"/>
      <c r="L90" s="51"/>
      <c r="M90" s="51" t="s">
        <v>83</v>
      </c>
      <c r="N90" s="51"/>
      <c r="O90" s="51" t="s">
        <v>119</v>
      </c>
      <c r="P90" s="51"/>
      <c r="Q90" s="51" t="s">
        <v>101</v>
      </c>
      <c r="R90" s="51"/>
      <c r="S90" s="51"/>
      <c r="T90" s="51">
        <f>_xlfn.XLOOKUP(наценка7[[#This Row],[№]],Д402[№],Д402[Расчетная проектная площадь],"-",0)</f>
        <v>54.4</v>
      </c>
      <c r="U90" s="17">
        <f t="shared" si="2"/>
        <v>89000</v>
      </c>
      <c r="V9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90" s="18">
        <f>наценка7[[#This Row],[Цена м2 базовая]]*наценка7[[#This Row],[Базовой K]]</f>
        <v>113030</v>
      </c>
      <c r="X9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90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90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0" s="55" t="str">
        <f>IF(наценка7[[#This Row],[Потолок ]]="ДА",коэффициенты!$C$13,"")</f>
        <v/>
      </c>
      <c r="AG9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9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90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9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0" s="52">
        <f>SUM(наценка7[[#This Row],[еврокухня]:[Лифт]])*наценка7[[#This Row],[Цена м2 с БK]]+наценка7[[#This Row],[Цена м2 с БK]]</f>
        <v>118681.5</v>
      </c>
      <c r="AQ90" s="51">
        <f>VLOOKUP(наценка7[[#This Row],[№]],Д402[],COLUMN(Д402[[#This Row],[утв цена м2]]),0)</f>
        <v>120513.57</v>
      </c>
      <c r="AR90" s="3">
        <f>наценка7[[#This Row],[утв цена м2]]*наценка7[[#This Row],[Расчетная проектная площадь]]</f>
        <v>6555938.2080000006</v>
      </c>
      <c r="AS90" s="27" t="str">
        <f>VLOOKUP(наценка7[[#This Row],[№]],Д402[],COLUMN('Реестр ОН'!$BA$1),0)</f>
        <v>Стр. Резерв</v>
      </c>
      <c r="AT90" s="281">
        <f>ROUND(наценка7[[#This Row],[Цена м2 с учетом всех K]]*наценка7[[#This Row],[Расчетная проектная площадь]],0)</f>
        <v>6456274</v>
      </c>
      <c r="AU90" s="286">
        <v>6456274</v>
      </c>
      <c r="AV90" s="286" t="b">
        <f>наценка7[[#This Row],[Аллио]]=наценка7[[#This Row],[Первичка тест]]</f>
        <v>1</v>
      </c>
    </row>
    <row r="91" spans="1:48" hidden="1" x14ac:dyDescent="0.25">
      <c r="A91" s="65">
        <v>89</v>
      </c>
      <c r="B91" s="2">
        <f>_xlfn.XLOOKUP(наценка7[[#This Row],[№]],Д402[№],Д402[Секция],"-",0)</f>
        <v>1</v>
      </c>
      <c r="C91" s="2">
        <f>_xlfn.XLOOKUP(наценка7[[#This Row],[№]],Д402[№],Д402[Этаж],"-",0)</f>
        <v>16</v>
      </c>
      <c r="D91" s="2">
        <f>_xlfn.XLOOKUP(наценка7[[#This Row],[№]],Д402[№],Д402[№ на этаже],"-",0)</f>
        <v>5</v>
      </c>
      <c r="E91" s="2">
        <f>_xlfn.XLOOKUP(наценка7[[#This Row],[№]],Д402[№],Д402[Тип кв],"-",0)</f>
        <v>1</v>
      </c>
      <c r="F91" s="51">
        <f>_xlfn.XLOOKUP(наценка7[[#This Row],[№]],Д402[№],Д402[Кухня],"-",0)</f>
        <v>14.73</v>
      </c>
      <c r="G91" s="51">
        <f>_xlfn.XLOOKUP(наценка7[[#This Row],[№]],Д402[№],Д402[Ванная],"-",0)</f>
        <v>4.4400000000000004</v>
      </c>
      <c r="H91" s="51" t="s">
        <v>87</v>
      </c>
      <c r="I91" s="51"/>
      <c r="J91" s="51" t="s">
        <v>101</v>
      </c>
      <c r="K91" s="51" t="s">
        <v>101</v>
      </c>
      <c r="L91" s="51"/>
      <c r="M91" s="51" t="s">
        <v>83</v>
      </c>
      <c r="N91" s="51"/>
      <c r="O91" s="51" t="s">
        <v>101</v>
      </c>
      <c r="P91" s="51"/>
      <c r="Q91" s="129"/>
      <c r="R91" s="129"/>
      <c r="S91" s="51"/>
      <c r="T91" s="51">
        <f>_xlfn.XLOOKUP(наценка7[[#This Row],[№]],Д402[№],Д402[Расчетная проектная площадь],"-",0)</f>
        <v>36.64</v>
      </c>
      <c r="U91" s="17">
        <f t="shared" si="2"/>
        <v>89000</v>
      </c>
      <c r="V9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91" s="18">
        <f>наценка7[[#This Row],[Цена м2 базовая]]*наценка7[[#This Row],[Базовой K]]</f>
        <v>119260</v>
      </c>
      <c r="X9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1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9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9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1" s="55" t="str">
        <f>IF(наценка7[[#This Row],[Потолок ]]="ДА",коэффициенты!$C$13,"")</f>
        <v/>
      </c>
      <c r="AG9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9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9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1" s="52">
        <f>SUM(наценка7[[#This Row],[еврокухня]:[Лифт]])*наценка7[[#This Row],[Цена м2 с БK]]+наценка7[[#This Row],[Цена м2 с БK]]</f>
        <v>124030.39999999999</v>
      </c>
      <c r="AQ91" s="51">
        <f>VLOOKUP(наценка7[[#This Row],[№]],Д402[],COLUMN(Д402[[#This Row],[утв цена м2]]),0)</f>
        <v>132265.82</v>
      </c>
      <c r="AR91" s="3">
        <f>наценка7[[#This Row],[утв цена м2]]*наценка7[[#This Row],[Расчетная проектная площадь]]</f>
        <v>4846219.6447999999</v>
      </c>
      <c r="AS91" s="27" t="str">
        <f>VLOOKUP(наценка7[[#This Row],[№]],Д402[],COLUMN('Реестр ОН'!$BA$1),0)</f>
        <v>Продажа</v>
      </c>
      <c r="AT91" s="281">
        <f>ROUND(наценка7[[#This Row],[Цена м2 с учетом всех K]]*наценка7[[#This Row],[Расчетная проектная площадь]],0)</f>
        <v>4544474</v>
      </c>
      <c r="AU91" s="286">
        <v>4544474</v>
      </c>
      <c r="AV91" s="286" t="b">
        <f>наценка7[[#This Row],[Аллио]]=наценка7[[#This Row],[Первичка тест]]</f>
        <v>1</v>
      </c>
    </row>
    <row r="92" spans="1:48" hidden="1" x14ac:dyDescent="0.25">
      <c r="A92" s="65">
        <v>90</v>
      </c>
      <c r="B92" s="2">
        <f>_xlfn.XLOOKUP(наценка7[[#This Row],[№]],Д402[№],Д402[Секция],"-",0)</f>
        <v>1</v>
      </c>
      <c r="C92" s="2">
        <f>_xlfn.XLOOKUP(наценка7[[#This Row],[№]],Д402[№],Д402[Этаж],"-",0)</f>
        <v>16</v>
      </c>
      <c r="D92" s="2">
        <f>_xlfn.XLOOKUP(наценка7[[#This Row],[№]],Д402[№],Д402[№ на этаже],"-",0)</f>
        <v>6</v>
      </c>
      <c r="E92" s="2">
        <f>_xlfn.XLOOKUP(наценка7[[#This Row],[№]],Д402[№],Д402[Тип кв],"-",0)</f>
        <v>1</v>
      </c>
      <c r="F92" s="51">
        <f>_xlfn.XLOOKUP(наценка7[[#This Row],[№]],Д402[№],Д402[Кухня],"-",0)</f>
        <v>16.57</v>
      </c>
      <c r="G92" s="51">
        <f>_xlfn.XLOOKUP(наценка7[[#This Row],[№]],Д402[№],Д402[Ванная],"-",0)</f>
        <v>4.46</v>
      </c>
      <c r="H92" s="51" t="s">
        <v>84</v>
      </c>
      <c r="I92" s="51"/>
      <c r="J92" s="51" t="s">
        <v>101</v>
      </c>
      <c r="K92" s="51" t="s">
        <v>101</v>
      </c>
      <c r="L92" s="51"/>
      <c r="M92" s="51" t="s">
        <v>83</v>
      </c>
      <c r="N92" s="51" t="s">
        <v>101</v>
      </c>
      <c r="O92" s="51" t="s">
        <v>101</v>
      </c>
      <c r="P92" s="51" t="s">
        <v>101</v>
      </c>
      <c r="Q92" s="129"/>
      <c r="R92" s="129"/>
      <c r="S92" s="51"/>
      <c r="T92" s="51">
        <f>_xlfn.XLOOKUP(наценка7[[#This Row],[№]],Д402[№],Д402[Расчетная проектная площадь],"-",0)</f>
        <v>44.9</v>
      </c>
      <c r="U92" s="17">
        <f t="shared" si="2"/>
        <v>89000</v>
      </c>
      <c r="V9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92" s="18">
        <f>наценка7[[#This Row],[Цена м2 базовая]]*наценка7[[#This Row],[Базовой K]]</f>
        <v>119260</v>
      </c>
      <c r="X9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2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9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2" s="55" t="str">
        <f>IF(наценка7[[#This Row],[Потолок ]]="ДА",коэффициенты!$C$13,"")</f>
        <v/>
      </c>
      <c r="AG9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9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9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2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9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2" s="52">
        <f>SUM(наценка7[[#This Row],[еврокухня]:[Лифт]])*наценка7[[#This Row],[Цена м2 с БK]]+наценка7[[#This Row],[Цена м2 с БK]]</f>
        <v>122837.8</v>
      </c>
      <c r="AQ92" s="51">
        <f>VLOOKUP(наценка7[[#This Row],[№]],Д402[],COLUMN(Д402[[#This Row],[утв цена м2]]),0)</f>
        <v>129740.87</v>
      </c>
      <c r="AR92" s="3">
        <f>наценка7[[#This Row],[утв цена м2]]*наценка7[[#This Row],[Расчетная проектная площадь]]</f>
        <v>5825365.0629999992</v>
      </c>
      <c r="AS92" s="27" t="str">
        <f>VLOOKUP(наценка7[[#This Row],[№]],Д402[],COLUMN('Реестр ОН'!$BA$1),0)</f>
        <v>Стр. Резерв</v>
      </c>
      <c r="AT92" s="281">
        <f>ROUND(наценка7[[#This Row],[Цена м2 с учетом всех K]]*наценка7[[#This Row],[Расчетная проектная площадь]],0)</f>
        <v>5515417</v>
      </c>
      <c r="AU92" s="286">
        <v>5515417</v>
      </c>
      <c r="AV92" s="286" t="b">
        <f>наценка7[[#This Row],[Аллио]]=наценка7[[#This Row],[Первичка тест]]</f>
        <v>1</v>
      </c>
    </row>
    <row r="93" spans="1:48" hidden="1" x14ac:dyDescent="0.25">
      <c r="A93" s="65">
        <v>91</v>
      </c>
      <c r="B93" s="2">
        <f>_xlfn.XLOOKUP(наценка7[[#This Row],[№]],Д402[№],Д402[Секция],"-",0)</f>
        <v>1</v>
      </c>
      <c r="C93" s="2">
        <f>_xlfn.XLOOKUP(наценка7[[#This Row],[№]],Д402[№],Д402[Этаж],"-",0)</f>
        <v>17</v>
      </c>
      <c r="D93" s="2">
        <f>_xlfn.XLOOKUP(наценка7[[#This Row],[№]],Д402[№],Д402[№ на этаже],"-",0)</f>
        <v>1</v>
      </c>
      <c r="E93" s="2">
        <f>_xlfn.XLOOKUP(наценка7[[#This Row],[№]],Д402[№],Д402[Тип кв],"-",0)</f>
        <v>0</v>
      </c>
      <c r="F93" s="51">
        <f>_xlfn.XLOOKUP(наценка7[[#This Row],[№]],Д402[№],Д402[Кухня],"-",0)</f>
        <v>6.15</v>
      </c>
      <c r="G93" s="51">
        <f>_xlfn.XLOOKUP(наценка7[[#This Row],[№]],Д402[№],Д402[Ванная],"-",0)</f>
        <v>4.7300000000000004</v>
      </c>
      <c r="H93" s="51" t="s">
        <v>84</v>
      </c>
      <c r="I93" s="51"/>
      <c r="J93" s="51"/>
      <c r="K93" s="51" t="s">
        <v>101</v>
      </c>
      <c r="L93" s="51" t="s">
        <v>119</v>
      </c>
      <c r="M93" s="51" t="s">
        <v>83</v>
      </c>
      <c r="N93" s="51"/>
      <c r="O93" s="51" t="s">
        <v>119</v>
      </c>
      <c r="P93" s="51"/>
      <c r="Q93" s="129"/>
      <c r="R93" s="51"/>
      <c r="S93" s="51" t="s">
        <v>101</v>
      </c>
      <c r="T93" s="51">
        <f>_xlfn.XLOOKUP(наценка7[[#This Row],[№]],Д402[№],Д402[Расчетная проектная площадь],"-",0)</f>
        <v>29.4</v>
      </c>
      <c r="U93" s="17">
        <f t="shared" si="2"/>
        <v>89000</v>
      </c>
      <c r="V9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93" s="18">
        <f>наценка7[[#This Row],[Цена м2 базовая]]*наценка7[[#This Row],[Базовой K]]</f>
        <v>139730</v>
      </c>
      <c r="X9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9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3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3" s="54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9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3" s="55" t="str">
        <f>IF(наценка7[[#This Row],[Потолок ]]="ДА",коэффициенты!$C$13,"")</f>
        <v/>
      </c>
      <c r="AG9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9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9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9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3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93" s="52">
        <f>SUM(наценка7[[#This Row],[еврокухня]:[Лифт]])*наценка7[[#This Row],[Цена м2 с БK]]+наценка7[[#This Row],[Цена м2 с БK]]</f>
        <v>139730</v>
      </c>
      <c r="AQ93" s="51">
        <f>VLOOKUP(наценка7[[#This Row],[№]],Д402[],COLUMN(Д402[[#This Row],[утв цена м2]]),0)</f>
        <v>141162.5</v>
      </c>
      <c r="AR93" s="3">
        <f>наценка7[[#This Row],[утв цена м2]]*наценка7[[#This Row],[Расчетная проектная площадь]]</f>
        <v>4150177.5</v>
      </c>
      <c r="AS93" s="27" t="str">
        <f>VLOOKUP(наценка7[[#This Row],[№]],Д402[],COLUMN('Реестр ОН'!$BA$1),0)</f>
        <v>Свободно</v>
      </c>
      <c r="AT93" s="281">
        <f>ROUND(наценка7[[#This Row],[Цена м2 с учетом всех K]]*наценка7[[#This Row],[Расчетная проектная площадь]],0)</f>
        <v>4108062</v>
      </c>
      <c r="AU93" s="286">
        <v>4108062</v>
      </c>
      <c r="AV93" s="286" t="b">
        <f>наценка7[[#This Row],[Аллио]]=наценка7[[#This Row],[Первичка тест]]</f>
        <v>1</v>
      </c>
    </row>
    <row r="94" spans="1:48" hidden="1" x14ac:dyDescent="0.25">
      <c r="A94" s="65">
        <v>92</v>
      </c>
      <c r="B94" s="2">
        <f>_xlfn.XLOOKUP(наценка7[[#This Row],[№]],Д402[№],Д402[Секция],"-",0)</f>
        <v>1</v>
      </c>
      <c r="C94" s="2">
        <f>_xlfn.XLOOKUP(наценка7[[#This Row],[№]],Д402[№],Д402[Этаж],"-",0)</f>
        <v>17</v>
      </c>
      <c r="D94" s="2">
        <f>_xlfn.XLOOKUP(наценка7[[#This Row],[№]],Д402[№],Д402[№ на этаже],"-",0)</f>
        <v>2</v>
      </c>
      <c r="E94" s="2">
        <f>_xlfn.XLOOKUP(наценка7[[#This Row],[№]],Д402[№],Д402[Тип кв],"-",0)</f>
        <v>2</v>
      </c>
      <c r="F94" s="51">
        <f>_xlfn.XLOOKUP(наценка7[[#This Row],[№]],Д402[№],Д402[Кухня],"-",0)</f>
        <v>17.32</v>
      </c>
      <c r="G94" s="51">
        <f>_xlfn.XLOOKUP(наценка7[[#This Row],[№]],Д402[№],Д402[Ванная],"-",0)</f>
        <v>4.25</v>
      </c>
      <c r="H94" s="51" t="s">
        <v>85</v>
      </c>
      <c r="I94" s="51"/>
      <c r="J94" s="51" t="s">
        <v>101</v>
      </c>
      <c r="K94" s="51"/>
      <c r="L94" s="51"/>
      <c r="M94" s="51" t="s">
        <v>83</v>
      </c>
      <c r="N94" s="51"/>
      <c r="O94" s="51" t="s">
        <v>101</v>
      </c>
      <c r="P94" s="51" t="s">
        <v>101</v>
      </c>
      <c r="Q94" s="129"/>
      <c r="R94" s="51" t="s">
        <v>101</v>
      </c>
      <c r="S94" s="51"/>
      <c r="T94" s="51">
        <f>_xlfn.XLOOKUP(наценка7[[#This Row],[№]],Д402[№],Д402[Расчетная проектная площадь],"-",0)</f>
        <v>59.73</v>
      </c>
      <c r="U94" s="17">
        <f t="shared" si="2"/>
        <v>89000</v>
      </c>
      <c r="V9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94" s="18">
        <f>наценка7[[#This Row],[Цена м2 базовая]]*наценка7[[#This Row],[Базовой K]]</f>
        <v>113030</v>
      </c>
      <c r="X9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94" s="57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94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4" s="55" t="str">
        <f>IF(наценка7[[#This Row],[Потолок ]]="ДА",коэффициенты!$C$13,"")</f>
        <v/>
      </c>
      <c r="AG9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94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94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9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9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4" s="52">
        <f>SUM(наценка7[[#This Row],[еврокухня]:[Лифт]])*наценка7[[#This Row],[Цена м2 с БK]]+наценка7[[#This Row],[Цена м2 с БK]]</f>
        <v>119811.8</v>
      </c>
      <c r="AQ94" s="51">
        <f>VLOOKUP(наценка7[[#This Row],[№]],Д402[],COLUMN(Д402[[#This Row],[утв цена м2]]),0)</f>
        <v>125299.01</v>
      </c>
      <c r="AR94" s="3">
        <f>наценка7[[#This Row],[утв цена м2]]*наценка7[[#This Row],[Расчетная проектная площадь]]</f>
        <v>7484109.8672999991</v>
      </c>
      <c r="AS94" s="27" t="str">
        <f>VLOOKUP(наценка7[[#This Row],[№]],Д402[],COLUMN('Реестр ОН'!$BA$1),0)</f>
        <v>Свободно</v>
      </c>
      <c r="AT94" s="281">
        <f>ROUND(наценка7[[#This Row],[Цена м2 с учетом всех K]]*наценка7[[#This Row],[Расчетная проектная площадь]],0)</f>
        <v>7156359</v>
      </c>
      <c r="AU94" s="286">
        <v>7156359</v>
      </c>
      <c r="AV94" s="286" t="b">
        <f>наценка7[[#This Row],[Аллио]]=наценка7[[#This Row],[Первичка тест]]</f>
        <v>1</v>
      </c>
    </row>
    <row r="95" spans="1:48" hidden="1" x14ac:dyDescent="0.25">
      <c r="A95" s="65">
        <v>93</v>
      </c>
      <c r="B95" s="2">
        <f>_xlfn.XLOOKUP(наценка7[[#This Row],[№]],Д402[№],Д402[Секция],"-",0)</f>
        <v>1</v>
      </c>
      <c r="C95" s="2">
        <f>_xlfn.XLOOKUP(наценка7[[#This Row],[№]],Д402[№],Д402[Этаж],"-",0)</f>
        <v>17</v>
      </c>
      <c r="D95" s="2">
        <f>_xlfn.XLOOKUP(наценка7[[#This Row],[№]],Д402[№],Д402[№ на этаже],"-",0)</f>
        <v>3</v>
      </c>
      <c r="E95" s="2">
        <f>_xlfn.XLOOKUP(наценка7[[#This Row],[№]],Д402[№],Д402[Тип кв],"-",0)</f>
        <v>2</v>
      </c>
      <c r="F95" s="51">
        <f>_xlfn.XLOOKUP(наценка7[[#This Row],[№]],Д402[№],Д402[Кухня],"-",0)</f>
        <v>14.24</v>
      </c>
      <c r="G95" s="51">
        <f>_xlfn.XLOOKUP(наценка7[[#This Row],[№]],Д402[№],Д402[Ванная],"-",0)</f>
        <v>3.86</v>
      </c>
      <c r="H95" s="51" t="s">
        <v>87</v>
      </c>
      <c r="I95" s="51"/>
      <c r="J95" s="51" t="s">
        <v>101</v>
      </c>
      <c r="K95" s="51"/>
      <c r="L95" s="51"/>
      <c r="M95" s="51" t="s">
        <v>83</v>
      </c>
      <c r="N95" s="51"/>
      <c r="O95" s="51" t="s">
        <v>101</v>
      </c>
      <c r="P95" s="51" t="s">
        <v>101</v>
      </c>
      <c r="Q95" s="129"/>
      <c r="R95" s="129"/>
      <c r="S95" s="51"/>
      <c r="T95" s="51">
        <f>_xlfn.XLOOKUP(наценка7[[#This Row],[№]],Д402[№],Д402[Расчетная проектная площадь],"-",0)</f>
        <v>54.47</v>
      </c>
      <c r="U95" s="17">
        <f t="shared" si="2"/>
        <v>89000</v>
      </c>
      <c r="V9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95" s="18">
        <f>наценка7[[#This Row],[Цена м2 базовая]]*наценка7[[#This Row],[Базовой K]]</f>
        <v>113030</v>
      </c>
      <c r="X9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5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95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9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9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5" s="55" t="str">
        <f>IF(наценка7[[#This Row],[Потолок ]]="ДА",коэффициенты!$C$13,"")</f>
        <v/>
      </c>
      <c r="AG9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9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9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5" s="52">
        <f>SUM(наценка7[[#This Row],[еврокухня]:[Лифт]])*наценка7[[#This Row],[Цена м2 с БK]]+наценка7[[#This Row],[Цена м2 с БK]]</f>
        <v>117551.2</v>
      </c>
      <c r="AQ95" s="51">
        <f>VLOOKUP(наценка7[[#This Row],[№]],Д402[],COLUMN(Д402[[#This Row],[утв цена м2]]),0)</f>
        <v>119377.62</v>
      </c>
      <c r="AR95" s="3">
        <f>наценка7[[#This Row],[утв цена м2]]*наценка7[[#This Row],[Расчетная проектная площадь]]</f>
        <v>6502498.9613999994</v>
      </c>
      <c r="AS95" s="27" t="str">
        <f>VLOOKUP(наценка7[[#This Row],[№]],Д402[],COLUMN('Реестр ОН'!$BA$1),0)</f>
        <v>Стр. Резерв</v>
      </c>
      <c r="AT95" s="281">
        <f>ROUND(наценка7[[#This Row],[Цена м2 с учетом всех K]]*наценка7[[#This Row],[Расчетная проектная площадь]],0)</f>
        <v>6403014</v>
      </c>
      <c r="AU95" s="286">
        <v>6403014</v>
      </c>
      <c r="AV95" s="286" t="b">
        <f>наценка7[[#This Row],[Аллио]]=наценка7[[#This Row],[Первичка тест]]</f>
        <v>1</v>
      </c>
    </row>
    <row r="96" spans="1:48" hidden="1" x14ac:dyDescent="0.25">
      <c r="A96" s="65">
        <v>94</v>
      </c>
      <c r="B96" s="2">
        <f>_xlfn.XLOOKUP(наценка7[[#This Row],[№]],Д402[№],Д402[Секция],"-",0)</f>
        <v>1</v>
      </c>
      <c r="C96" s="2">
        <f>_xlfn.XLOOKUP(наценка7[[#This Row],[№]],Д402[№],Д402[Этаж],"-",0)</f>
        <v>17</v>
      </c>
      <c r="D96" s="2">
        <f>_xlfn.XLOOKUP(наценка7[[#This Row],[№]],Д402[№],Д402[№ на этаже],"-",0)</f>
        <v>4</v>
      </c>
      <c r="E96" s="2">
        <f>_xlfn.XLOOKUP(наценка7[[#This Row],[№]],Д402[№],Д402[Тип кв],"-",0)</f>
        <v>2</v>
      </c>
      <c r="F96" s="3">
        <f>_xlfn.XLOOKUP(наценка7[[#This Row],[№]],Д402[№],Д402[Кухня],"-",0)</f>
        <v>14.78</v>
      </c>
      <c r="G96" s="51">
        <f>_xlfn.XLOOKUP(наценка7[[#This Row],[№]],Д402[№],Д402[Ванная],"-",0)</f>
        <v>4.4400000000000004</v>
      </c>
      <c r="H96" s="51" t="s">
        <v>87</v>
      </c>
      <c r="I96" s="51"/>
      <c r="J96" s="51" t="s">
        <v>101</v>
      </c>
      <c r="K96" s="51"/>
      <c r="L96" s="51"/>
      <c r="M96" s="51" t="s">
        <v>83</v>
      </c>
      <c r="N96" s="51"/>
      <c r="O96" s="51" t="s">
        <v>119</v>
      </c>
      <c r="P96" s="51" t="s">
        <v>101</v>
      </c>
      <c r="Q96" s="129"/>
      <c r="R96" s="129"/>
      <c r="S96" s="51"/>
      <c r="T96" s="51">
        <f>_xlfn.XLOOKUP(наценка7[[#This Row],[№]],Д402[№],Д402[Расчетная проектная площадь],"-",0)</f>
        <v>54.4</v>
      </c>
      <c r="U96" s="17">
        <f t="shared" si="2"/>
        <v>89000</v>
      </c>
      <c r="V9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96" s="18">
        <f>наценка7[[#This Row],[Цена м2 базовая]]*наценка7[[#This Row],[Базовой K]]</f>
        <v>113030</v>
      </c>
      <c r="X9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9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9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6" s="55" t="str">
        <f>IF(наценка7[[#This Row],[Потолок ]]="ДА",коэффициенты!$C$13,"")</f>
        <v/>
      </c>
      <c r="AG9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9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9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6" s="52">
        <f>SUM(наценка7[[#This Row],[еврокухня]:[Лифт]])*наценка7[[#This Row],[Цена м2 с БK]]+наценка7[[#This Row],[Цена м2 с БK]]</f>
        <v>119811.8</v>
      </c>
      <c r="AQ96" s="51">
        <f>VLOOKUP(наценка7[[#This Row],[№]],Д402[],COLUMN(Д402[[#This Row],[утв цена м2]]),0)</f>
        <v>121649.52</v>
      </c>
      <c r="AR96" s="3">
        <f>наценка7[[#This Row],[утв цена м2]]*наценка7[[#This Row],[Расчетная проектная площадь]]</f>
        <v>6617733.8880000003</v>
      </c>
      <c r="AS96" s="27" t="str">
        <f>VLOOKUP(наценка7[[#This Row],[№]],Д402[],COLUMN('Реестр ОН'!$BA$1),0)</f>
        <v>Стр. Резерв</v>
      </c>
      <c r="AT96" s="281">
        <f>ROUND(наценка7[[#This Row],[Цена м2 с учетом всех K]]*наценка7[[#This Row],[Расчетная проектная площадь]],0)</f>
        <v>6517762</v>
      </c>
      <c r="AU96" s="286">
        <v>6517762</v>
      </c>
      <c r="AV96" s="286" t="b">
        <f>наценка7[[#This Row],[Аллио]]=наценка7[[#This Row],[Первичка тест]]</f>
        <v>1</v>
      </c>
    </row>
    <row r="97" spans="1:48" hidden="1" x14ac:dyDescent="0.25">
      <c r="A97" s="65">
        <v>95</v>
      </c>
      <c r="B97" s="2">
        <f>_xlfn.XLOOKUP(наценка7[[#This Row],[№]],Д402[№],Д402[Секция],"-",0)</f>
        <v>1</v>
      </c>
      <c r="C97" s="2">
        <f>_xlfn.XLOOKUP(наценка7[[#This Row],[№]],Д402[№],Д402[Этаж],"-",0)</f>
        <v>17</v>
      </c>
      <c r="D97" s="2">
        <f>_xlfn.XLOOKUP(наценка7[[#This Row],[№]],Д402[№],Д402[№ на этаже],"-",0)</f>
        <v>5</v>
      </c>
      <c r="E97" s="2">
        <f>_xlfn.XLOOKUP(наценка7[[#This Row],[№]],Д402[№],Д402[Тип кв],"-",0)</f>
        <v>1</v>
      </c>
      <c r="F97" s="51">
        <f>_xlfn.XLOOKUP(наценка7[[#This Row],[№]],Д402[№],Д402[Кухня],"-",0)</f>
        <v>14.73</v>
      </c>
      <c r="G97" s="51">
        <f>_xlfn.XLOOKUP(наценка7[[#This Row],[№]],Д402[№],Д402[Ванная],"-",0)</f>
        <v>4.4400000000000004</v>
      </c>
      <c r="H97" s="51" t="s">
        <v>87</v>
      </c>
      <c r="I97" s="51"/>
      <c r="J97" s="51" t="s">
        <v>101</v>
      </c>
      <c r="K97" s="51" t="s">
        <v>101</v>
      </c>
      <c r="L97" s="51"/>
      <c r="M97" s="51" t="s">
        <v>83</v>
      </c>
      <c r="N97" s="51"/>
      <c r="O97" s="51" t="s">
        <v>101</v>
      </c>
      <c r="P97" s="51" t="s">
        <v>101</v>
      </c>
      <c r="Q97" s="129"/>
      <c r="R97" s="129"/>
      <c r="S97" s="51"/>
      <c r="T97" s="51">
        <f>_xlfn.XLOOKUP(наценка7[[#This Row],[№]],Д402[№],Д402[Расчетная проектная площадь],"-",0)</f>
        <v>36.64</v>
      </c>
      <c r="U97" s="17">
        <f t="shared" si="2"/>
        <v>89000</v>
      </c>
      <c r="V9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97" s="18">
        <f>наценка7[[#This Row],[Цена м2 базовая]]*наценка7[[#This Row],[Базовой K]]</f>
        <v>119260</v>
      </c>
      <c r="X9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7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97" s="55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9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7" s="55" t="str">
        <f>IF(наценка7[[#This Row],[Потолок ]]="ДА",коэффициенты!$C$13,"")</f>
        <v/>
      </c>
      <c r="AG9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9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9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7" s="52">
        <f>SUM(наценка7[[#This Row],[еврокухня]:[Лифт]])*наценка7[[#This Row],[Цена м2 с БK]]+наценка7[[#This Row],[Цена м2 с БK]]</f>
        <v>126415.6</v>
      </c>
      <c r="AQ97" s="51">
        <f>VLOOKUP(наценка7[[#This Row],[№]],Д402[],COLUMN(Д402[[#This Row],[утв цена м2]]),0)</f>
        <v>130176.41</v>
      </c>
      <c r="AR97" s="3">
        <f>наценка7[[#This Row],[утв цена м2]]*наценка7[[#This Row],[Расчетная проектная площадь]]</f>
        <v>4769663.6623999998</v>
      </c>
      <c r="AS97" s="27" t="str">
        <f>VLOOKUP(наценка7[[#This Row],[№]],Д402[],COLUMN('Реестр ОН'!$BA$1),0)</f>
        <v>Продажа</v>
      </c>
      <c r="AT97" s="281">
        <f>ROUND(наценка7[[#This Row],[Цена м2 с учетом всех K]]*наценка7[[#This Row],[Расчетная проектная площадь]],0)</f>
        <v>4631868</v>
      </c>
      <c r="AU97" s="286">
        <v>4631868</v>
      </c>
      <c r="AV97" s="286" t="b">
        <f>наценка7[[#This Row],[Аллио]]=наценка7[[#This Row],[Первичка тест]]</f>
        <v>1</v>
      </c>
    </row>
    <row r="98" spans="1:48" hidden="1" x14ac:dyDescent="0.25">
      <c r="A98" s="65">
        <v>96</v>
      </c>
      <c r="B98" s="2">
        <f>_xlfn.XLOOKUP(наценка7[[#This Row],[№]],Д402[№],Д402[Секция],"-",0)</f>
        <v>1</v>
      </c>
      <c r="C98" s="2">
        <f>_xlfn.XLOOKUP(наценка7[[#This Row],[№]],Д402[№],Д402[Этаж],"-",0)</f>
        <v>17</v>
      </c>
      <c r="D98" s="2">
        <f>_xlfn.XLOOKUP(наценка7[[#This Row],[№]],Д402[№],Д402[№ на этаже],"-",0)</f>
        <v>6</v>
      </c>
      <c r="E98" s="2">
        <f>_xlfn.XLOOKUP(наценка7[[#This Row],[№]],Д402[№],Д402[Тип кв],"-",0)</f>
        <v>1</v>
      </c>
      <c r="F98" s="51">
        <f>_xlfn.XLOOKUP(наценка7[[#This Row],[№]],Д402[№],Д402[Кухня],"-",0)</f>
        <v>16.57</v>
      </c>
      <c r="G98" s="51">
        <f>_xlfn.XLOOKUP(наценка7[[#This Row],[№]],Д402[№],Д402[Ванная],"-",0)</f>
        <v>4.46</v>
      </c>
      <c r="H98" s="51" t="s">
        <v>84</v>
      </c>
      <c r="I98" s="51"/>
      <c r="J98" s="51" t="s">
        <v>101</v>
      </c>
      <c r="K98" s="51" t="s">
        <v>101</v>
      </c>
      <c r="L98" s="51"/>
      <c r="M98" s="51" t="s">
        <v>83</v>
      </c>
      <c r="N98" s="51" t="s">
        <v>101</v>
      </c>
      <c r="O98" s="51" t="s">
        <v>101</v>
      </c>
      <c r="P98" s="51"/>
      <c r="Q98" s="129"/>
      <c r="R98" s="129"/>
      <c r="S98" s="51"/>
      <c r="T98" s="51">
        <f>_xlfn.XLOOKUP(наценка7[[#This Row],[№]],Д402[№],Д402[Расчетная проектная площадь],"-",0)</f>
        <v>44.9</v>
      </c>
      <c r="U98" s="17">
        <f t="shared" si="2"/>
        <v>89000</v>
      </c>
      <c r="V9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98" s="18">
        <f>наценка7[[#This Row],[Цена м2 базовая]]*наценка7[[#This Row],[Базовой K]]</f>
        <v>119260</v>
      </c>
      <c r="X9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9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9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8" s="55" t="str">
        <f>IF(наценка7[[#This Row],[Потолок ]]="ДА",коэффициенты!$C$13,"")</f>
        <v/>
      </c>
      <c r="AG9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9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9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9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8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9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98" s="52">
        <f>SUM(наценка7[[#This Row],[еврокухня]:[Лифт]])*наценка7[[#This Row],[Цена м2 с БK]]+наценка7[[#This Row],[Цена м2 с БK]]</f>
        <v>120452.6</v>
      </c>
      <c r="AQ98" s="51">
        <f>VLOOKUP(наценка7[[#This Row],[№]],Д402[],COLUMN(Д402[[#This Row],[утв цена м2]]),0)</f>
        <v>127246.66</v>
      </c>
      <c r="AR98" s="3">
        <f>наценка7[[#This Row],[утв цена м2]]*наценка7[[#This Row],[Расчетная проектная площадь]]</f>
        <v>5713375.034</v>
      </c>
      <c r="AS98" s="27" t="str">
        <f>VLOOKUP(наценка7[[#This Row],[№]],Д402[],COLUMN('Реестр ОН'!$BA$1),0)</f>
        <v>Свободно</v>
      </c>
      <c r="AT98" s="281">
        <f>ROUND(наценка7[[#This Row],[Цена м2 с учетом всех K]]*наценка7[[#This Row],[Расчетная проектная площадь]],0)</f>
        <v>5408322</v>
      </c>
      <c r="AU98" s="286">
        <v>5408322</v>
      </c>
      <c r="AV98" s="286" t="b">
        <f>наценка7[[#This Row],[Аллио]]=наценка7[[#This Row],[Первичка тест]]</f>
        <v>1</v>
      </c>
    </row>
    <row r="99" spans="1:48" hidden="1" x14ac:dyDescent="0.25">
      <c r="A99" s="65">
        <v>97</v>
      </c>
      <c r="B99" s="2">
        <f>_xlfn.XLOOKUP(наценка7[[#This Row],[№]],Д402[№],Д402[Секция],"-",0)</f>
        <v>1</v>
      </c>
      <c r="C99" s="2">
        <f>_xlfn.XLOOKUP(наценка7[[#This Row],[№]],Д402[№],Д402[Этаж],"-",0)</f>
        <v>18</v>
      </c>
      <c r="D99" s="2">
        <f>_xlfn.XLOOKUP(наценка7[[#This Row],[№]],Д402[№],Д402[№ на этаже],"-",0)</f>
        <v>1</v>
      </c>
      <c r="E99" s="2">
        <f>_xlfn.XLOOKUP(наценка7[[#This Row],[№]],Д402[№],Д402[Тип кв],"-",0)</f>
        <v>0</v>
      </c>
      <c r="F99" s="51">
        <f>_xlfn.XLOOKUP(наценка7[[#This Row],[№]],Д402[№],Д402[Кухня],"-",0)</f>
        <v>6.15</v>
      </c>
      <c r="G99" s="51">
        <f>_xlfn.XLOOKUP(наценка7[[#This Row],[№]],Д402[№],Д402[Ванная],"-",0)</f>
        <v>4.7300000000000004</v>
      </c>
      <c r="H99" s="51" t="s">
        <v>84</v>
      </c>
      <c r="I99" s="51" t="s">
        <v>101</v>
      </c>
      <c r="J99" s="51"/>
      <c r="K99" s="51" t="s">
        <v>101</v>
      </c>
      <c r="L99" s="51" t="s">
        <v>119</v>
      </c>
      <c r="M99" s="51" t="s">
        <v>83</v>
      </c>
      <c r="N99" s="51"/>
      <c r="O99" s="51" t="s">
        <v>119</v>
      </c>
      <c r="P99" s="51"/>
      <c r="Q99" s="129"/>
      <c r="R99" s="51"/>
      <c r="S99" s="51" t="s">
        <v>101</v>
      </c>
      <c r="T99" s="51">
        <f>_xlfn.XLOOKUP(наценка7[[#This Row],[№]],Д402[№],Д402[Расчетная проектная площадь],"-",0)</f>
        <v>29.4</v>
      </c>
      <c r="U99" s="17">
        <f t="shared" si="2"/>
        <v>89000</v>
      </c>
      <c r="V9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99" s="18">
        <f>наценка7[[#This Row],[Цена м2 базовая]]*наценка7[[#This Row],[Базовой K]]</f>
        <v>139730</v>
      </c>
      <c r="X9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9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9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99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9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9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9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9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99" s="55">
        <f>IF(наценка7[[#This Row],[Потолок ]]="ДА",коэффициенты!$C$13,"")</f>
        <v>0.02</v>
      </c>
      <c r="AG9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9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9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9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9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9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9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9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99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99" s="52">
        <f>SUM(наценка7[[#This Row],[еврокухня]:[Лифт]])*наценка7[[#This Row],[Цена м2 с БK]]+наценка7[[#This Row],[Цена м2 с БK]]</f>
        <v>142524.6</v>
      </c>
      <c r="AQ99" s="51">
        <f>VLOOKUP(наценка7[[#This Row],[№]],Д402[],COLUMN(Д402[[#This Row],[утв цена м2]]),0)</f>
        <v>143957.1</v>
      </c>
      <c r="AR99" s="3">
        <f>наценка7[[#This Row],[утв цена м2]]*наценка7[[#This Row],[Расчетная проектная площадь]]</f>
        <v>4232338.74</v>
      </c>
      <c r="AS99" s="27" t="str">
        <f>VLOOKUP(наценка7[[#This Row],[№]],Д402[],COLUMN('Реестр ОН'!$BA$1),0)</f>
        <v>Свободно</v>
      </c>
      <c r="AT99" s="281">
        <f>ROUND(наценка7[[#This Row],[Цена м2 с учетом всех K]]*наценка7[[#This Row],[Расчетная проектная площадь]],0)</f>
        <v>4190223</v>
      </c>
      <c r="AU99" s="286">
        <v>4190223</v>
      </c>
      <c r="AV99" s="286" t="b">
        <f>наценка7[[#This Row],[Аллио]]=наценка7[[#This Row],[Первичка тест]]</f>
        <v>1</v>
      </c>
    </row>
    <row r="100" spans="1:48" hidden="1" x14ac:dyDescent="0.25">
      <c r="A100" s="65">
        <v>98</v>
      </c>
      <c r="B100" s="2">
        <f>_xlfn.XLOOKUP(наценка7[[#This Row],[№]],Д402[№],Д402[Секция],"-",0)</f>
        <v>1</v>
      </c>
      <c r="C100" s="2">
        <f>_xlfn.XLOOKUP(наценка7[[#This Row],[№]],Д402[№],Д402[Этаж],"-",0)</f>
        <v>18</v>
      </c>
      <c r="D100" s="2">
        <f>_xlfn.XLOOKUP(наценка7[[#This Row],[№]],Д402[№],Д402[№ на этаже],"-",0)</f>
        <v>2</v>
      </c>
      <c r="E100" s="2">
        <f>_xlfn.XLOOKUP(наценка7[[#This Row],[№]],Д402[№],Д402[Тип кв],"-",0)</f>
        <v>2</v>
      </c>
      <c r="F100" s="51">
        <f>_xlfn.XLOOKUP(наценка7[[#This Row],[№]],Д402[№],Д402[Кухня],"-",0)</f>
        <v>17.32</v>
      </c>
      <c r="G100" s="51">
        <f>_xlfn.XLOOKUP(наценка7[[#This Row],[№]],Д402[№],Д402[Ванная],"-",0)</f>
        <v>4.25</v>
      </c>
      <c r="H100" s="51" t="s">
        <v>85</v>
      </c>
      <c r="I100" s="51" t="s">
        <v>101</v>
      </c>
      <c r="J100" s="51" t="s">
        <v>101</v>
      </c>
      <c r="K100" s="51"/>
      <c r="L100" s="51"/>
      <c r="M100" s="51" t="s">
        <v>83</v>
      </c>
      <c r="N100" s="51"/>
      <c r="O100" s="51" t="s">
        <v>101</v>
      </c>
      <c r="P100" s="51" t="s">
        <v>101</v>
      </c>
      <c r="Q100" s="129"/>
      <c r="R100" s="51" t="s">
        <v>101</v>
      </c>
      <c r="S100" s="51"/>
      <c r="T100" s="51">
        <f>_xlfn.XLOOKUP(наценка7[[#This Row],[№]],Д402[№],Д402[Расчетная проектная площадь],"-",0)</f>
        <v>59.73</v>
      </c>
      <c r="U100" s="17">
        <f t="shared" si="2"/>
        <v>89000</v>
      </c>
      <c r="V10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0" s="18">
        <f>наценка7[[#This Row],[Цена м2 базовая]]*наценка7[[#This Row],[Базовой K]]</f>
        <v>113030</v>
      </c>
      <c r="X10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0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0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0" s="55">
        <f>IF(наценка7[[#This Row],[Потолок ]]="ДА",коэффициенты!$C$13,"")</f>
        <v>0.02</v>
      </c>
      <c r="AG10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0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100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0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0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0" s="52">
        <f>SUM(наценка7[[#This Row],[еврокухня]:[Лифт]])*наценка7[[#This Row],[Цена м2 с БK]]+наценка7[[#This Row],[Цена м2 с БK]]</f>
        <v>122072.4</v>
      </c>
      <c r="AQ100" s="51">
        <f>VLOOKUP(наценка7[[#This Row],[№]],Д402[],COLUMN(Д402[[#This Row],[утв цена м2]]),0)</f>
        <v>127639.07</v>
      </c>
      <c r="AR100" s="3">
        <f>наценка7[[#This Row],[утв цена м2]]*наценка7[[#This Row],[Расчетная проектная площадь]]</f>
        <v>7623881.6511000004</v>
      </c>
      <c r="AS100" s="27" t="str">
        <f>VLOOKUP(наценка7[[#This Row],[№]],Д402[],COLUMN('Реестр ОН'!$BA$1),0)</f>
        <v>Стр. Резерв</v>
      </c>
      <c r="AT100" s="281">
        <f>ROUND(наценка7[[#This Row],[Цена м2 с учетом всех K]]*наценка7[[#This Row],[Расчетная проектная площадь]],0)</f>
        <v>7291384</v>
      </c>
      <c r="AU100" s="286">
        <v>7291384</v>
      </c>
      <c r="AV100" s="286" t="b">
        <f>наценка7[[#This Row],[Аллио]]=наценка7[[#This Row],[Первичка тест]]</f>
        <v>1</v>
      </c>
    </row>
    <row r="101" spans="1:48" hidden="1" x14ac:dyDescent="0.25">
      <c r="A101" s="65">
        <v>99</v>
      </c>
      <c r="B101" s="2">
        <f>_xlfn.XLOOKUP(наценка7[[#This Row],[№]],Д402[№],Д402[Секция],"-",0)</f>
        <v>1</v>
      </c>
      <c r="C101" s="2">
        <f>_xlfn.XLOOKUP(наценка7[[#This Row],[№]],Д402[№],Д402[Этаж],"-",0)</f>
        <v>18</v>
      </c>
      <c r="D101" s="2">
        <f>_xlfn.XLOOKUP(наценка7[[#This Row],[№]],Д402[№],Д402[№ на этаже],"-",0)</f>
        <v>3</v>
      </c>
      <c r="E101" s="2">
        <f>_xlfn.XLOOKUP(наценка7[[#This Row],[№]],Д402[№],Д402[Тип кв],"-",0)</f>
        <v>2</v>
      </c>
      <c r="F101" s="51">
        <f>_xlfn.XLOOKUP(наценка7[[#This Row],[№]],Д402[№],Д402[Кухня],"-",0)</f>
        <v>14.24</v>
      </c>
      <c r="G101" s="51">
        <f>_xlfn.XLOOKUP(наценка7[[#This Row],[№]],Д402[№],Д402[Ванная],"-",0)</f>
        <v>3.86</v>
      </c>
      <c r="H101" s="51" t="s">
        <v>87</v>
      </c>
      <c r="I101" s="51" t="s">
        <v>101</v>
      </c>
      <c r="J101" s="51" t="s">
        <v>101</v>
      </c>
      <c r="K101" s="51"/>
      <c r="L101" s="51"/>
      <c r="M101" s="51" t="s">
        <v>83</v>
      </c>
      <c r="N101" s="51"/>
      <c r="O101" s="51" t="s">
        <v>101</v>
      </c>
      <c r="P101" s="51" t="s">
        <v>101</v>
      </c>
      <c r="Q101" s="51" t="s">
        <v>101</v>
      </c>
      <c r="R101" s="51"/>
      <c r="S101" s="51"/>
      <c r="T101" s="51">
        <f>_xlfn.XLOOKUP(наценка7[[#This Row],[№]],Д402[№],Д402[Расчетная проектная площадь],"-",0)</f>
        <v>54.47</v>
      </c>
      <c r="U101" s="17">
        <f t="shared" si="2"/>
        <v>89000</v>
      </c>
      <c r="V10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1" s="18">
        <f>наценка7[[#This Row],[Цена м2 базовая]]*наценка7[[#This Row],[Базовой K]]</f>
        <v>113030</v>
      </c>
      <c r="X10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1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0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1" s="54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1" s="55">
        <f>IF(наценка7[[#This Row],[Потолок ]]="ДА",коэффициенты!$C$13,"")</f>
        <v>0.02</v>
      </c>
      <c r="AG10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1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0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1" s="52">
        <f>SUM(наценка7[[#This Row],[еврокухня]:[Лифт]])*наценка7[[#This Row],[Цена м2 с БK]]+наценка7[[#This Row],[Цена м2 с БK]]</f>
        <v>120942.1</v>
      </c>
      <c r="AQ101" s="51">
        <f>VLOOKUP(наценка7[[#This Row],[№]],Д402[],COLUMN(Д402[[#This Row],[утв цена м2]]),0)</f>
        <v>122785.47</v>
      </c>
      <c r="AR101" s="3">
        <f>наценка7[[#This Row],[утв цена м2]]*наценка7[[#This Row],[Расчетная проектная площадь]]</f>
        <v>6688124.5509000001</v>
      </c>
      <c r="AS101" s="27" t="str">
        <f>VLOOKUP(наценка7[[#This Row],[№]],Д402[],COLUMN('Реестр ОН'!$BA$1),0)</f>
        <v>Стр. Резерв</v>
      </c>
      <c r="AT101" s="281">
        <f>ROUND(наценка7[[#This Row],[Цена м2 с учетом всех K]]*наценка7[[#This Row],[Расчетная проектная площадь]],0)</f>
        <v>6587716</v>
      </c>
      <c r="AU101" s="286">
        <v>6587716</v>
      </c>
      <c r="AV101" s="286" t="b">
        <f>наценка7[[#This Row],[Аллио]]=наценка7[[#This Row],[Первичка тест]]</f>
        <v>1</v>
      </c>
    </row>
    <row r="102" spans="1:48" hidden="1" x14ac:dyDescent="0.25">
      <c r="A102" s="65">
        <v>100</v>
      </c>
      <c r="B102" s="2">
        <f>_xlfn.XLOOKUP(наценка7[[#This Row],[№]],Д402[№],Д402[Секция],"-",0)</f>
        <v>1</v>
      </c>
      <c r="C102" s="2">
        <f>_xlfn.XLOOKUP(наценка7[[#This Row],[№]],Д402[№],Д402[Этаж],"-",0)</f>
        <v>18</v>
      </c>
      <c r="D102" s="2">
        <f>_xlfn.XLOOKUP(наценка7[[#This Row],[№]],Д402[№],Д402[№ на этаже],"-",0)</f>
        <v>4</v>
      </c>
      <c r="E102" s="2">
        <f>_xlfn.XLOOKUP(наценка7[[#This Row],[№]],Д402[№],Д402[Тип кв],"-",0)</f>
        <v>2</v>
      </c>
      <c r="F102" s="51">
        <f>_xlfn.XLOOKUP(наценка7[[#This Row],[№]],Д402[№],Д402[Кухня],"-",0)</f>
        <v>14.78</v>
      </c>
      <c r="G102" s="51">
        <f>_xlfn.XLOOKUP(наценка7[[#This Row],[№]],Д402[№],Д402[Ванная],"-",0)</f>
        <v>4.4400000000000004</v>
      </c>
      <c r="H102" s="51" t="s">
        <v>87</v>
      </c>
      <c r="I102" s="51" t="s">
        <v>101</v>
      </c>
      <c r="J102" s="51" t="s">
        <v>101</v>
      </c>
      <c r="K102" s="51"/>
      <c r="L102" s="51"/>
      <c r="M102" s="51" t="s">
        <v>83</v>
      </c>
      <c r="N102" s="51"/>
      <c r="O102" s="51" t="s">
        <v>119</v>
      </c>
      <c r="P102" s="51" t="s">
        <v>101</v>
      </c>
      <c r="Q102" s="51" t="s">
        <v>101</v>
      </c>
      <c r="R102" s="51"/>
      <c r="S102" s="51"/>
      <c r="T102" s="51">
        <f>_xlfn.XLOOKUP(наценка7[[#This Row],[№]],Д402[№],Д402[Расчетная проектная площадь],"-",0)</f>
        <v>54.4</v>
      </c>
      <c r="U102" s="17">
        <f t="shared" si="2"/>
        <v>89000</v>
      </c>
      <c r="V10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2" s="18">
        <f>наценка7[[#This Row],[Цена м2 базовая]]*наценка7[[#This Row],[Базовой K]]</f>
        <v>113030</v>
      </c>
      <c r="X10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2" s="53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2" s="55">
        <f>IF(наценка7[[#This Row],[Потолок ]]="ДА",коэффициенты!$C$13,"")</f>
        <v>0.02</v>
      </c>
      <c r="AG10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02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0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2" s="52">
        <f>SUM(наценка7[[#This Row],[еврокухня]:[Лифт]])*наценка7[[#This Row],[Цена м2 с БK]]+наценка7[[#This Row],[Цена м2 с БK]]</f>
        <v>123202.7</v>
      </c>
      <c r="AQ102" s="51">
        <f>VLOOKUP(наценка7[[#This Row],[№]],Д402[],COLUMN(Д402[[#This Row],[утв цена м2]]),0)</f>
        <v>125057.38</v>
      </c>
      <c r="AR102" s="3">
        <f>наценка7[[#This Row],[утв цена м2]]*наценка7[[#This Row],[Расчетная проектная площадь]]</f>
        <v>6803121.4720000001</v>
      </c>
      <c r="AS102" s="27" t="str">
        <f>VLOOKUP(наценка7[[#This Row],[№]],Д402[],COLUMN('Реестр ОН'!$BA$1),0)</f>
        <v>Свободно</v>
      </c>
      <c r="AT102" s="281">
        <f>ROUND(наценка7[[#This Row],[Цена м2 с учетом всех K]]*наценка7[[#This Row],[Расчетная проектная площадь]],0)</f>
        <v>6702227</v>
      </c>
      <c r="AU102" s="286">
        <v>6702227</v>
      </c>
      <c r="AV102" s="286" t="b">
        <f>наценка7[[#This Row],[Аллио]]=наценка7[[#This Row],[Первичка тест]]</f>
        <v>1</v>
      </c>
    </row>
    <row r="103" spans="1:48" hidden="1" x14ac:dyDescent="0.25">
      <c r="A103" s="65">
        <v>101</v>
      </c>
      <c r="B103" s="2">
        <f>_xlfn.XLOOKUP(наценка7[[#This Row],[№]],Д402[№],Д402[Секция],"-",0)</f>
        <v>1</v>
      </c>
      <c r="C103" s="2">
        <f>_xlfn.XLOOKUP(наценка7[[#This Row],[№]],Д402[№],Д402[Этаж],"-",0)</f>
        <v>18</v>
      </c>
      <c r="D103" s="2">
        <f>_xlfn.XLOOKUP(наценка7[[#This Row],[№]],Д402[№],Д402[№ на этаже],"-",0)</f>
        <v>5</v>
      </c>
      <c r="E103" s="2">
        <f>_xlfn.XLOOKUP(наценка7[[#This Row],[№]],Д402[№],Д402[Тип кв],"-",0)</f>
        <v>1</v>
      </c>
      <c r="F103" s="51">
        <f>_xlfn.XLOOKUP(наценка7[[#This Row],[№]],Д402[№],Д402[Кухня],"-",0)</f>
        <v>14.73</v>
      </c>
      <c r="G103" s="51">
        <f>_xlfn.XLOOKUP(наценка7[[#This Row],[№]],Д402[№],Д402[Ванная],"-",0)</f>
        <v>4.4400000000000004</v>
      </c>
      <c r="H103" s="51" t="s">
        <v>87</v>
      </c>
      <c r="I103" s="51" t="s">
        <v>101</v>
      </c>
      <c r="J103" s="51" t="s">
        <v>101</v>
      </c>
      <c r="K103" s="51" t="s">
        <v>101</v>
      </c>
      <c r="L103" s="51"/>
      <c r="M103" s="51" t="s">
        <v>83</v>
      </c>
      <c r="N103" s="51"/>
      <c r="O103" s="51" t="s">
        <v>101</v>
      </c>
      <c r="P103" s="51" t="s">
        <v>101</v>
      </c>
      <c r="Q103" s="129"/>
      <c r="R103" s="129"/>
      <c r="S103" s="51"/>
      <c r="T103" s="51">
        <f>_xlfn.XLOOKUP(наценка7[[#This Row],[№]],Д402[№],Д402[Расчетная проектная площадь],"-",0)</f>
        <v>36.64</v>
      </c>
      <c r="U103" s="17">
        <f t="shared" si="2"/>
        <v>89000</v>
      </c>
      <c r="V10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03" s="18">
        <f>наценка7[[#This Row],[Цена м2 базовая]]*наценка7[[#This Row],[Базовой K]]</f>
        <v>119260</v>
      </c>
      <c r="X10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0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0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3" s="55">
        <f>IF(наценка7[[#This Row],[Потолок ]]="ДА",коэффициенты!$C$13,"")</f>
        <v>0.02</v>
      </c>
      <c r="AG10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0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3" s="52">
        <f>SUM(наценка7[[#This Row],[еврокухня]:[Лифт]])*наценка7[[#This Row],[Цена м2 с БK]]+наценка7[[#This Row],[Цена м2 с БK]]</f>
        <v>128800.8</v>
      </c>
      <c r="AQ103" s="51">
        <f>VLOOKUP(наценка7[[#This Row],[№]],Д402[],COLUMN(Д402[[#This Row],[утв цена м2]]),0)</f>
        <v>137303.88</v>
      </c>
      <c r="AR103" s="3">
        <f>наценка7[[#This Row],[утв цена м2]]*наценка7[[#This Row],[Расчетная проектная площадь]]</f>
        <v>5030814.1632000003</v>
      </c>
      <c r="AS103" s="27" t="str">
        <f>VLOOKUP(наценка7[[#This Row],[№]],Д402[],COLUMN('Реестр ОН'!$BA$1),0)</f>
        <v>Продажа</v>
      </c>
      <c r="AT103" s="281">
        <f>ROUND(наценка7[[#This Row],[Цена м2 с учетом всех K]]*наценка7[[#This Row],[Расчетная проектная площадь]],0)</f>
        <v>4719261</v>
      </c>
      <c r="AU103" s="286">
        <v>4719261</v>
      </c>
      <c r="AV103" s="286" t="b">
        <f>наценка7[[#This Row],[Аллио]]=наценка7[[#This Row],[Первичка тест]]</f>
        <v>1</v>
      </c>
    </row>
    <row r="104" spans="1:48" hidden="1" x14ac:dyDescent="0.25">
      <c r="A104" s="65">
        <v>102</v>
      </c>
      <c r="B104" s="2">
        <f>_xlfn.XLOOKUP(наценка7[[#This Row],[№]],Д402[№],Д402[Секция],"-",0)</f>
        <v>1</v>
      </c>
      <c r="C104" s="2">
        <f>_xlfn.XLOOKUP(наценка7[[#This Row],[№]],Д402[№],Д402[Этаж],"-",0)</f>
        <v>18</v>
      </c>
      <c r="D104" s="2">
        <f>_xlfn.XLOOKUP(наценка7[[#This Row],[№]],Д402[№],Д402[№ на этаже],"-",0)</f>
        <v>6</v>
      </c>
      <c r="E104" s="2">
        <f>_xlfn.XLOOKUP(наценка7[[#This Row],[№]],Д402[№],Д402[Тип кв],"-",0)</f>
        <v>1</v>
      </c>
      <c r="F104" s="51">
        <f>_xlfn.XLOOKUP(наценка7[[#This Row],[№]],Д402[№],Д402[Кухня],"-",0)</f>
        <v>16.57</v>
      </c>
      <c r="G104" s="51">
        <f>_xlfn.XLOOKUP(наценка7[[#This Row],[№]],Д402[№],Д402[Ванная],"-",0)</f>
        <v>4.46</v>
      </c>
      <c r="H104" s="51" t="s">
        <v>84</v>
      </c>
      <c r="I104" s="51" t="s">
        <v>101</v>
      </c>
      <c r="J104" s="51" t="s">
        <v>101</v>
      </c>
      <c r="K104" s="51" t="s">
        <v>101</v>
      </c>
      <c r="L104" s="51"/>
      <c r="M104" s="51" t="s">
        <v>83</v>
      </c>
      <c r="N104" s="51" t="s">
        <v>101</v>
      </c>
      <c r="O104" s="51" t="s">
        <v>101</v>
      </c>
      <c r="P104" s="51" t="s">
        <v>101</v>
      </c>
      <c r="Q104" s="129"/>
      <c r="R104" s="129"/>
      <c r="S104" s="51"/>
      <c r="T104" s="51">
        <f>_xlfn.XLOOKUP(наценка7[[#This Row],[№]],Д402[№],Д402[Расчетная проектная площадь],"-",0)</f>
        <v>44.9</v>
      </c>
      <c r="U104" s="17">
        <f t="shared" si="2"/>
        <v>89000</v>
      </c>
      <c r="V10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04" s="18">
        <f>наценка7[[#This Row],[Цена м2 базовая]]*наценка7[[#This Row],[Базовой K]]</f>
        <v>119260</v>
      </c>
      <c r="X10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0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4" s="55">
        <f>IF(наценка7[[#This Row],[Потолок ]]="ДА",коэффициенты!$C$13,"")</f>
        <v>0.02</v>
      </c>
      <c r="AG10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0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4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10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4" s="52">
        <f>SUM(наценка7[[#This Row],[еврокухня]:[Лифт]])*наценка7[[#This Row],[Цена м2 с БK]]+наценка7[[#This Row],[Цена м2 с БK]]</f>
        <v>125223</v>
      </c>
      <c r="AQ104" s="51">
        <f>VLOOKUP(наценка7[[#This Row],[№]],Д402[],COLUMN(Д402[[#This Row],[утв цена м2]]),0)</f>
        <v>132235.09</v>
      </c>
      <c r="AR104" s="3">
        <f>наценка7[[#This Row],[утв цена м2]]*наценка7[[#This Row],[Расчетная проектная площадь]]</f>
        <v>5937355.5409999993</v>
      </c>
      <c r="AS104" s="27" t="str">
        <f>VLOOKUP(наценка7[[#This Row],[№]],Д402[],COLUMN('Реестр ОН'!$BA$1),0)</f>
        <v>Стр. Резерв</v>
      </c>
      <c r="AT104" s="281">
        <f>ROUND(наценка7[[#This Row],[Цена м2 с учетом всех K]]*наценка7[[#This Row],[Расчетная проектная площадь]],0)</f>
        <v>5622513</v>
      </c>
      <c r="AU104" s="286">
        <v>5622513</v>
      </c>
      <c r="AV104" s="286" t="b">
        <f>наценка7[[#This Row],[Аллио]]=наценка7[[#This Row],[Первичка тест]]</f>
        <v>1</v>
      </c>
    </row>
    <row r="105" spans="1:48" hidden="1" x14ac:dyDescent="0.25">
      <c r="A105" s="65">
        <v>103</v>
      </c>
      <c r="B105" s="2">
        <f>_xlfn.XLOOKUP(наценка7[[#This Row],[№]],Д402[№],Д402[Секция],"-",0)</f>
        <v>1</v>
      </c>
      <c r="C105" s="2">
        <f>_xlfn.XLOOKUP(наценка7[[#This Row],[№]],Д402[№],Д402[Этаж],"-",0)</f>
        <v>19</v>
      </c>
      <c r="D105" s="2">
        <f>_xlfn.XLOOKUP(наценка7[[#This Row],[№]],Д402[№],Д402[№ на этаже],"-",0)</f>
        <v>1</v>
      </c>
      <c r="E105" s="2">
        <f>_xlfn.XLOOKUP(наценка7[[#This Row],[№]],Д402[№],Д402[Тип кв],"-",0)</f>
        <v>0</v>
      </c>
      <c r="F105" s="51">
        <f>_xlfn.XLOOKUP(наценка7[[#This Row],[№]],Д402[№],Д402[Кухня],"-",0)</f>
        <v>6.15</v>
      </c>
      <c r="G105" s="51">
        <f>_xlfn.XLOOKUP(наценка7[[#This Row],[№]],Д402[№],Д402[Ванная],"-",0)</f>
        <v>4.7300000000000004</v>
      </c>
      <c r="H105" s="51" t="s">
        <v>84</v>
      </c>
      <c r="I105" s="51" t="s">
        <v>101</v>
      </c>
      <c r="J105" s="51"/>
      <c r="K105" s="51" t="s">
        <v>101</v>
      </c>
      <c r="L105" s="51" t="s">
        <v>119</v>
      </c>
      <c r="M105" s="51" t="s">
        <v>83</v>
      </c>
      <c r="N105" s="51"/>
      <c r="O105" s="51" t="s">
        <v>119</v>
      </c>
      <c r="P105" s="51"/>
      <c r="Q105" s="129"/>
      <c r="R105" s="51"/>
      <c r="S105" s="51" t="s">
        <v>101</v>
      </c>
      <c r="T105" s="51">
        <f>_xlfn.XLOOKUP(наценка7[[#This Row],[№]],Д402[№],Д402[Расчетная проектная площадь],"-",0)</f>
        <v>29.4</v>
      </c>
      <c r="U105" s="17">
        <f t="shared" si="2"/>
        <v>89000</v>
      </c>
      <c r="V10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05" s="18">
        <f>наценка7[[#This Row],[Цена м2 базовая]]*наценка7[[#This Row],[Базовой K]]</f>
        <v>139730</v>
      </c>
      <c r="X10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0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0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0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5" s="55">
        <f>IF(наценка7[[#This Row],[Потолок ]]="ДА",коэффициенты!$C$13,"")</f>
        <v>0.02</v>
      </c>
      <c r="AG10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0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0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0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5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05" s="52">
        <f>SUM(наценка7[[#This Row],[еврокухня]:[Лифт]])*наценка7[[#This Row],[Цена м2 с БK]]+наценка7[[#This Row],[Цена м2 с БK]]</f>
        <v>142524.6</v>
      </c>
      <c r="AQ105" s="51">
        <f>VLOOKUP(наценка7[[#This Row],[№]],Д402[],COLUMN(Д402[[#This Row],[утв цена м2]]),0)</f>
        <v>143957.1</v>
      </c>
      <c r="AR105" s="3">
        <f>наценка7[[#This Row],[утв цена м2]]*наценка7[[#This Row],[Расчетная проектная площадь]]</f>
        <v>4232338.74</v>
      </c>
      <c r="AS105" s="27" t="str">
        <f>VLOOKUP(наценка7[[#This Row],[№]],Д402[],COLUMN('Реестр ОН'!$BA$1),0)</f>
        <v>Гарантированная бронь</v>
      </c>
      <c r="AT105" s="281">
        <f>ROUND(наценка7[[#This Row],[Цена м2 с учетом всех K]]*наценка7[[#This Row],[Расчетная проектная площадь]],0)</f>
        <v>4190223</v>
      </c>
      <c r="AU105" s="286">
        <v>4190223</v>
      </c>
      <c r="AV105" s="286" t="b">
        <f>наценка7[[#This Row],[Аллио]]=наценка7[[#This Row],[Первичка тест]]</f>
        <v>1</v>
      </c>
    </row>
    <row r="106" spans="1:48" hidden="1" x14ac:dyDescent="0.25">
      <c r="A106" s="65">
        <v>104</v>
      </c>
      <c r="B106" s="2">
        <f>_xlfn.XLOOKUP(наценка7[[#This Row],[№]],Д402[№],Д402[Секция],"-",0)</f>
        <v>1</v>
      </c>
      <c r="C106" s="2">
        <f>_xlfn.XLOOKUP(наценка7[[#This Row],[№]],Д402[№],Д402[Этаж],"-",0)</f>
        <v>19</v>
      </c>
      <c r="D106" s="2">
        <f>_xlfn.XLOOKUP(наценка7[[#This Row],[№]],Д402[№],Д402[№ на этаже],"-",0)</f>
        <v>2</v>
      </c>
      <c r="E106" s="2">
        <f>_xlfn.XLOOKUP(наценка7[[#This Row],[№]],Д402[№],Д402[Тип кв],"-",0)</f>
        <v>2</v>
      </c>
      <c r="F106" s="51">
        <f>_xlfn.XLOOKUP(наценка7[[#This Row],[№]],Д402[№],Д402[Кухня],"-",0)</f>
        <v>17.32</v>
      </c>
      <c r="G106" s="51">
        <f>_xlfn.XLOOKUP(наценка7[[#This Row],[№]],Д402[№],Д402[Ванная],"-",0)</f>
        <v>4.25</v>
      </c>
      <c r="H106" s="51" t="s">
        <v>85</v>
      </c>
      <c r="I106" s="51" t="s">
        <v>101</v>
      </c>
      <c r="J106" s="51" t="s">
        <v>101</v>
      </c>
      <c r="K106" s="51"/>
      <c r="L106" s="51"/>
      <c r="M106" s="51" t="s">
        <v>83</v>
      </c>
      <c r="N106" s="51"/>
      <c r="O106" s="51" t="s">
        <v>101</v>
      </c>
      <c r="P106" s="51" t="s">
        <v>101</v>
      </c>
      <c r="Q106" s="129"/>
      <c r="R106" s="51" t="s">
        <v>101</v>
      </c>
      <c r="S106" s="51"/>
      <c r="T106" s="51">
        <f>_xlfn.XLOOKUP(наценка7[[#This Row],[№]],Д402[№],Д402[Расчетная проектная площадь],"-",0)</f>
        <v>59.73</v>
      </c>
      <c r="U106" s="17">
        <f t="shared" si="2"/>
        <v>89000</v>
      </c>
      <c r="V10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6" s="18">
        <f>наценка7[[#This Row],[Цена м2 базовая]]*наценка7[[#This Row],[Базовой K]]</f>
        <v>113030</v>
      </c>
      <c r="X10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6" s="55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6" s="55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6" s="55">
        <f>IF(наценка7[[#This Row],[Потолок ]]="ДА",коэффициенты!$C$13,"")</f>
        <v>0.02</v>
      </c>
      <c r="AG10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6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106" s="55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0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6" s="52">
        <f>SUM(наценка7[[#This Row],[еврокухня]:[Лифт]])*наценка7[[#This Row],[Цена м2 с БK]]+наценка7[[#This Row],[Цена м2 с БK]]</f>
        <v>122072.4</v>
      </c>
      <c r="AQ106" s="51">
        <f>VLOOKUP(наценка7[[#This Row],[№]],Д402[],COLUMN(Д402[[#This Row],[утв цена м2]]),0)</f>
        <v>127639.07</v>
      </c>
      <c r="AR106" s="3">
        <f>наценка7[[#This Row],[утв цена м2]]*наценка7[[#This Row],[Расчетная проектная площадь]]</f>
        <v>7623881.6511000004</v>
      </c>
      <c r="AS106" s="27" t="str">
        <f>VLOOKUP(наценка7[[#This Row],[№]],Д402[],COLUMN('Реестр ОН'!$BA$1),0)</f>
        <v>Стр. Резерв</v>
      </c>
      <c r="AT106" s="281">
        <f>ROUND(наценка7[[#This Row],[Цена м2 с учетом всех K]]*наценка7[[#This Row],[Расчетная проектная площадь]],0)</f>
        <v>7291384</v>
      </c>
      <c r="AU106" s="286">
        <v>7291384</v>
      </c>
      <c r="AV106" s="286" t="b">
        <f>наценка7[[#This Row],[Аллио]]=наценка7[[#This Row],[Первичка тест]]</f>
        <v>1</v>
      </c>
    </row>
    <row r="107" spans="1:48" hidden="1" x14ac:dyDescent="0.25">
      <c r="A107" s="65">
        <v>105</v>
      </c>
      <c r="B107" s="2">
        <f>_xlfn.XLOOKUP(наценка7[[#This Row],[№]],Д402[№],Д402[Секция],"-",0)</f>
        <v>1</v>
      </c>
      <c r="C107" s="2">
        <f>_xlfn.XLOOKUP(наценка7[[#This Row],[№]],Д402[№],Д402[Этаж],"-",0)</f>
        <v>19</v>
      </c>
      <c r="D107" s="2">
        <f>_xlfn.XLOOKUP(наценка7[[#This Row],[№]],Д402[№],Д402[№ на этаже],"-",0)</f>
        <v>3</v>
      </c>
      <c r="E107" s="2">
        <f>_xlfn.XLOOKUP(наценка7[[#This Row],[№]],Д402[№],Д402[Тип кв],"-",0)</f>
        <v>2</v>
      </c>
      <c r="F107" s="51">
        <f>_xlfn.XLOOKUP(наценка7[[#This Row],[№]],Д402[№],Д402[Кухня],"-",0)</f>
        <v>14.24</v>
      </c>
      <c r="G107" s="51">
        <f>_xlfn.XLOOKUP(наценка7[[#This Row],[№]],Д402[№],Д402[Ванная],"-",0)</f>
        <v>3.86</v>
      </c>
      <c r="H107" s="51" t="s">
        <v>87</v>
      </c>
      <c r="I107" s="51" t="s">
        <v>101</v>
      </c>
      <c r="J107" s="51" t="s">
        <v>101</v>
      </c>
      <c r="K107" s="51"/>
      <c r="L107" s="51"/>
      <c r="M107" s="51" t="s">
        <v>83</v>
      </c>
      <c r="N107" s="51"/>
      <c r="O107" s="51" t="s">
        <v>101</v>
      </c>
      <c r="P107" s="51" t="s">
        <v>101</v>
      </c>
      <c r="Q107" s="129"/>
      <c r="R107" s="129"/>
      <c r="S107" s="51"/>
      <c r="T107" s="51">
        <f>_xlfn.XLOOKUP(наценка7[[#This Row],[№]],Д402[№],Д402[Расчетная проектная площадь],"-",0)</f>
        <v>54.47</v>
      </c>
      <c r="U107" s="17">
        <f t="shared" si="2"/>
        <v>89000</v>
      </c>
      <c r="V10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7" s="18">
        <f>наценка7[[#This Row],[Цена м2 базовая]]*наценка7[[#This Row],[Базовой K]]</f>
        <v>113030</v>
      </c>
      <c r="X10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7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0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7" s="55">
        <f>IF(наценка7[[#This Row],[Потолок ]]="ДА",коэффициенты!$C$13,"")</f>
        <v>0.02</v>
      </c>
      <c r="AG10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7" s="52">
        <f>SUM(наценка7[[#This Row],[еврокухня]:[Лифт]])*наценка7[[#This Row],[Цена м2 с БK]]+наценка7[[#This Row],[Цена м2 с БK]]</f>
        <v>119811.8</v>
      </c>
      <c r="AQ107" s="51">
        <f>VLOOKUP(наценка7[[#This Row],[№]],Д402[],COLUMN(Д402[[#This Row],[утв цена м2]]),0)</f>
        <v>121649.52</v>
      </c>
      <c r="AR107" s="3">
        <f>наценка7[[#This Row],[утв цена м2]]*наценка7[[#This Row],[Расчетная проектная площадь]]</f>
        <v>6626249.3544000005</v>
      </c>
      <c r="AS107" s="27" t="str">
        <f>VLOOKUP(наценка7[[#This Row],[№]],Д402[],COLUMN('Реестр ОН'!$BA$1),0)</f>
        <v>Свободно</v>
      </c>
      <c r="AT107" s="281">
        <f>ROUND(наценка7[[#This Row],[Цена м2 с учетом всех K]]*наценка7[[#This Row],[Расчетная проектная площадь]],0)</f>
        <v>6526149</v>
      </c>
      <c r="AU107" s="286">
        <v>6526149</v>
      </c>
      <c r="AV107" s="286" t="b">
        <f>наценка7[[#This Row],[Аллио]]=наценка7[[#This Row],[Первичка тест]]</f>
        <v>1</v>
      </c>
    </row>
    <row r="108" spans="1:48" hidden="1" x14ac:dyDescent="0.25">
      <c r="A108" s="65">
        <v>106</v>
      </c>
      <c r="B108" s="2">
        <f>_xlfn.XLOOKUP(наценка7[[#This Row],[№]],Д402[№],Д402[Секция],"-",0)</f>
        <v>1</v>
      </c>
      <c r="C108" s="2">
        <f>_xlfn.XLOOKUP(наценка7[[#This Row],[№]],Д402[№],Д402[Этаж],"-",0)</f>
        <v>19</v>
      </c>
      <c r="D108" s="2">
        <f>_xlfn.XLOOKUP(наценка7[[#This Row],[№]],Д402[№],Д402[№ на этаже],"-",0)</f>
        <v>4</v>
      </c>
      <c r="E108" s="2">
        <f>_xlfn.XLOOKUP(наценка7[[#This Row],[№]],Д402[№],Д402[Тип кв],"-",0)</f>
        <v>2</v>
      </c>
      <c r="F108" s="51">
        <f>_xlfn.XLOOKUP(наценка7[[#This Row],[№]],Д402[№],Д402[Кухня],"-",0)</f>
        <v>14.78</v>
      </c>
      <c r="G108" s="51">
        <f>_xlfn.XLOOKUP(наценка7[[#This Row],[№]],Д402[№],Д402[Ванная],"-",0)</f>
        <v>4.4400000000000004</v>
      </c>
      <c r="H108" s="51" t="s">
        <v>87</v>
      </c>
      <c r="I108" s="51" t="s">
        <v>101</v>
      </c>
      <c r="J108" s="51" t="s">
        <v>101</v>
      </c>
      <c r="K108" s="51"/>
      <c r="L108" s="51"/>
      <c r="M108" s="51" t="s">
        <v>83</v>
      </c>
      <c r="N108" s="51"/>
      <c r="O108" s="51" t="s">
        <v>119</v>
      </c>
      <c r="P108" s="51" t="s">
        <v>101</v>
      </c>
      <c r="Q108" s="129"/>
      <c r="R108" s="129"/>
      <c r="S108" s="51"/>
      <c r="T108" s="51">
        <f>_xlfn.XLOOKUP(наценка7[[#This Row],[№]],Д402[№],Д402[Расчетная проектная площадь],"-",0)</f>
        <v>54.4</v>
      </c>
      <c r="U108" s="17">
        <f t="shared" si="2"/>
        <v>89000</v>
      </c>
      <c r="V10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08" s="18">
        <f>наценка7[[#This Row],[Цена м2 базовая]]*наценка7[[#This Row],[Базовой K]]</f>
        <v>113030</v>
      </c>
      <c r="X10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0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0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8" s="55">
        <f>IF(наценка7[[#This Row],[Потолок ]]="ДА",коэффициенты!$C$13,"")</f>
        <v>0.02</v>
      </c>
      <c r="AG10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0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0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8" s="52">
        <f>SUM(наценка7[[#This Row],[еврокухня]:[Лифт]])*наценка7[[#This Row],[Цена м2 с БK]]+наценка7[[#This Row],[Цена м2 с БK]]</f>
        <v>122072.4</v>
      </c>
      <c r="AQ108" s="51">
        <f>VLOOKUP(наценка7[[#This Row],[№]],Д402[],COLUMN(Д402[[#This Row],[утв цена м2]]),0)</f>
        <v>123921.42</v>
      </c>
      <c r="AR108" s="3">
        <f>наценка7[[#This Row],[утв цена м2]]*наценка7[[#This Row],[Расчетная проектная площадь]]</f>
        <v>6741325.2479999997</v>
      </c>
      <c r="AS108" s="27" t="str">
        <f>VLOOKUP(наценка7[[#This Row],[№]],Д402[],COLUMN('Реестр ОН'!$BA$1),0)</f>
        <v>Стр. Резерв</v>
      </c>
      <c r="AT108" s="281">
        <f>ROUND(наценка7[[#This Row],[Цена м2 с учетом всех K]]*наценка7[[#This Row],[Расчетная проектная площадь]],0)</f>
        <v>6640739</v>
      </c>
      <c r="AU108" s="286">
        <v>6640739</v>
      </c>
      <c r="AV108" s="286" t="b">
        <f>наценка7[[#This Row],[Аллио]]=наценка7[[#This Row],[Первичка тест]]</f>
        <v>1</v>
      </c>
    </row>
    <row r="109" spans="1:48" hidden="1" x14ac:dyDescent="0.25">
      <c r="A109" s="65">
        <v>107</v>
      </c>
      <c r="B109" s="2">
        <f>_xlfn.XLOOKUP(наценка7[[#This Row],[№]],Д402[№],Д402[Секция],"-",0)</f>
        <v>1</v>
      </c>
      <c r="C109" s="2">
        <f>_xlfn.XLOOKUP(наценка7[[#This Row],[№]],Д402[№],Д402[Этаж],"-",0)</f>
        <v>19</v>
      </c>
      <c r="D109" s="2">
        <f>_xlfn.XLOOKUP(наценка7[[#This Row],[№]],Д402[№],Д402[№ на этаже],"-",0)</f>
        <v>5</v>
      </c>
      <c r="E109" s="2">
        <f>_xlfn.XLOOKUP(наценка7[[#This Row],[№]],Д402[№],Д402[Тип кв],"-",0)</f>
        <v>1</v>
      </c>
      <c r="F109" s="51">
        <f>_xlfn.XLOOKUP(наценка7[[#This Row],[№]],Д402[№],Д402[Кухня],"-",0)</f>
        <v>14.73</v>
      </c>
      <c r="G109" s="51">
        <f>_xlfn.XLOOKUP(наценка7[[#This Row],[№]],Д402[№],Д402[Ванная],"-",0)</f>
        <v>4.4400000000000004</v>
      </c>
      <c r="H109" s="51" t="s">
        <v>87</v>
      </c>
      <c r="I109" s="51" t="s">
        <v>101</v>
      </c>
      <c r="J109" s="51" t="s">
        <v>101</v>
      </c>
      <c r="K109" s="51" t="s">
        <v>101</v>
      </c>
      <c r="L109" s="51"/>
      <c r="M109" s="51" t="s">
        <v>83</v>
      </c>
      <c r="N109" s="51"/>
      <c r="O109" s="51" t="s">
        <v>101</v>
      </c>
      <c r="P109" s="51" t="s">
        <v>101</v>
      </c>
      <c r="Q109" s="129"/>
      <c r="R109" s="129"/>
      <c r="S109" s="51"/>
      <c r="T109" s="51">
        <f>_xlfn.XLOOKUP(наценка7[[#This Row],[№]],Д402[№],Д402[Расчетная проектная площадь],"-",0)</f>
        <v>36.64</v>
      </c>
      <c r="U109" s="17">
        <f t="shared" si="2"/>
        <v>89000</v>
      </c>
      <c r="V10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09" s="18">
        <f>наценка7[[#This Row],[Цена м2 базовая]]*наценка7[[#This Row],[Базовой K]]</f>
        <v>119260</v>
      </c>
      <c r="X10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0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0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0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0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0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0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0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09" s="55">
        <f>IF(наценка7[[#This Row],[Потолок ]]="ДА",коэффициенты!$C$13,"")</f>
        <v>0.02</v>
      </c>
      <c r="AG10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0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0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0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0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0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0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0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0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09" s="52">
        <f>SUM(наценка7[[#This Row],[еврокухня]:[Лифт]])*наценка7[[#This Row],[Цена м2 с БK]]+наценка7[[#This Row],[Цена м2 с БK]]</f>
        <v>128800.8</v>
      </c>
      <c r="AQ109" s="51">
        <f>VLOOKUP(наценка7[[#This Row],[№]],Д402[],COLUMN(Д402[[#This Row],[утв цена м2]]),0)</f>
        <v>137303.88</v>
      </c>
      <c r="AR109" s="3">
        <f>наценка7[[#This Row],[утв цена м2]]*наценка7[[#This Row],[Расчетная проектная площадь]]</f>
        <v>5030814.1632000003</v>
      </c>
      <c r="AS109" s="27" t="str">
        <f>VLOOKUP(наценка7[[#This Row],[№]],Д402[],COLUMN('Реестр ОН'!$BA$1),0)</f>
        <v>Свободно</v>
      </c>
      <c r="AT109" s="281">
        <f>ROUND(наценка7[[#This Row],[Цена м2 с учетом всех K]]*наценка7[[#This Row],[Расчетная проектная площадь]],0)</f>
        <v>4719261</v>
      </c>
      <c r="AU109" s="286">
        <v>4719261</v>
      </c>
      <c r="AV109" s="286" t="b">
        <f>наценка7[[#This Row],[Аллио]]=наценка7[[#This Row],[Первичка тест]]</f>
        <v>1</v>
      </c>
    </row>
    <row r="110" spans="1:48" hidden="1" x14ac:dyDescent="0.25">
      <c r="A110" s="65">
        <v>108</v>
      </c>
      <c r="B110" s="2">
        <f>_xlfn.XLOOKUP(наценка7[[#This Row],[№]],Д402[№],Д402[Секция],"-",0)</f>
        <v>1</v>
      </c>
      <c r="C110" s="2">
        <f>_xlfn.XLOOKUP(наценка7[[#This Row],[№]],Д402[№],Д402[Этаж],"-",0)</f>
        <v>19</v>
      </c>
      <c r="D110" s="2">
        <f>_xlfn.XLOOKUP(наценка7[[#This Row],[№]],Д402[№],Д402[№ на этаже],"-",0)</f>
        <v>6</v>
      </c>
      <c r="E110" s="2">
        <f>_xlfn.XLOOKUP(наценка7[[#This Row],[№]],Д402[№],Д402[Тип кв],"-",0)</f>
        <v>1</v>
      </c>
      <c r="F110" s="51">
        <f>_xlfn.XLOOKUP(наценка7[[#This Row],[№]],Д402[№],Д402[Кухня],"-",0)</f>
        <v>16.57</v>
      </c>
      <c r="G110" s="51">
        <f>_xlfn.XLOOKUP(наценка7[[#This Row],[№]],Д402[№],Д402[Ванная],"-",0)</f>
        <v>4.46</v>
      </c>
      <c r="H110" s="51" t="s">
        <v>84</v>
      </c>
      <c r="I110" s="51" t="s">
        <v>101</v>
      </c>
      <c r="J110" s="51" t="s">
        <v>101</v>
      </c>
      <c r="K110" s="51" t="s">
        <v>101</v>
      </c>
      <c r="L110" s="51"/>
      <c r="M110" s="51" t="s">
        <v>83</v>
      </c>
      <c r="N110" s="51" t="s">
        <v>101</v>
      </c>
      <c r="O110" s="51" t="s">
        <v>101</v>
      </c>
      <c r="P110" s="51" t="s">
        <v>101</v>
      </c>
      <c r="Q110" s="129"/>
      <c r="R110" s="129"/>
      <c r="S110" s="51"/>
      <c r="T110" s="51">
        <f>_xlfn.XLOOKUP(наценка7[[#This Row],[№]],Д402[№],Д402[Расчетная проектная площадь],"-",0)</f>
        <v>44.9</v>
      </c>
      <c r="U110" s="17">
        <f t="shared" si="2"/>
        <v>89000</v>
      </c>
      <c r="V11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10" s="18">
        <f>наценка7[[#This Row],[Цена м2 базовая]]*наценка7[[#This Row],[Базовой K]]</f>
        <v>119260</v>
      </c>
      <c r="X11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1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1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1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1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10" s="55">
        <f>IF(наценка7[[#This Row],[Потолок ]]="ДА",коэффициенты!$C$13,"")</f>
        <v>0.02</v>
      </c>
      <c r="AG11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1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1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0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11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0" s="52">
        <f>SUM(наценка7[[#This Row],[еврокухня]:[Лифт]])*наценка7[[#This Row],[Цена м2 с БK]]+наценка7[[#This Row],[Цена м2 с БK]]</f>
        <v>125223</v>
      </c>
      <c r="AQ110" s="51">
        <f>VLOOKUP(наценка7[[#This Row],[№]],Д402[],COLUMN(Д402[[#This Row],[утв цена м2]]),0)</f>
        <v>132235.09</v>
      </c>
      <c r="AR110" s="3">
        <f>наценка7[[#This Row],[утв цена м2]]*наценка7[[#This Row],[Расчетная проектная площадь]]</f>
        <v>5937355.5409999993</v>
      </c>
      <c r="AS110" s="27" t="str">
        <f>VLOOKUP(наценка7[[#This Row],[№]],Д402[],COLUMN('Реестр ОН'!$BA$1),0)</f>
        <v>Стр. Резерв</v>
      </c>
      <c r="AT110" s="281">
        <f>ROUND(наценка7[[#This Row],[Цена м2 с учетом всех K]]*наценка7[[#This Row],[Расчетная проектная площадь]],0)</f>
        <v>5622513</v>
      </c>
      <c r="AU110" s="286">
        <v>5622513</v>
      </c>
      <c r="AV110" s="286" t="b">
        <f>наценка7[[#This Row],[Аллио]]=наценка7[[#This Row],[Первичка тест]]</f>
        <v>1</v>
      </c>
    </row>
    <row r="111" spans="1:48" hidden="1" x14ac:dyDescent="0.25">
      <c r="A111" s="65">
        <v>109</v>
      </c>
      <c r="B111" s="2">
        <f>_xlfn.XLOOKUP(наценка7[[#This Row],[№]],Д402[№],Д402[Секция],"-",0)</f>
        <v>2</v>
      </c>
      <c r="C111" s="2">
        <f>_xlfn.XLOOKUP(наценка7[[#This Row],[№]],Д402[№],Д402[Этаж],"-",0)</f>
        <v>2</v>
      </c>
      <c r="D111" s="2">
        <f>_xlfn.XLOOKUP(наценка7[[#This Row],[№]],Д402[№],Д402[№ на этаже],"-",0)</f>
        <v>1</v>
      </c>
      <c r="E111" s="2">
        <f>_xlfn.XLOOKUP(наценка7[[#This Row],[№]],Д402[№],Д402[Тип кв],"-",0)</f>
        <v>2</v>
      </c>
      <c r="F111" s="51">
        <f>_xlfn.XLOOKUP(наценка7[[#This Row],[№]],Д402[№],Д402[Кухня],"-",0)</f>
        <v>14.29</v>
      </c>
      <c r="G111" s="51">
        <f>_xlfn.XLOOKUP(наценка7[[#This Row],[№]],Д402[№],Д402[Ванная],"-",0)</f>
        <v>4.5199999999999996</v>
      </c>
      <c r="H111" s="51" t="s">
        <v>84</v>
      </c>
      <c r="I111" s="51"/>
      <c r="J111" s="51"/>
      <c r="K111" s="51" t="s">
        <v>101</v>
      </c>
      <c r="L111" s="51"/>
      <c r="M111" s="51" t="s">
        <v>83</v>
      </c>
      <c r="N111" s="51" t="s">
        <v>101</v>
      </c>
      <c r="O111" s="51" t="s">
        <v>119</v>
      </c>
      <c r="P111" s="51"/>
      <c r="Q111" s="51"/>
      <c r="R111" s="51" t="s">
        <v>101</v>
      </c>
      <c r="S111" s="51" t="s">
        <v>101</v>
      </c>
      <c r="T111" s="51">
        <f>_xlfn.XLOOKUP(наценка7[[#This Row],[№]],Д402[№],Д402[Расчетная проектная площадь],"-",0)</f>
        <v>65.72</v>
      </c>
      <c r="U111" s="17">
        <f t="shared" si="2"/>
        <v>89000</v>
      </c>
      <c r="V11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11" s="18">
        <f>наценка7[[#This Row],[Цена м2 базовая]]*наценка7[[#This Row],[Базовой K]]</f>
        <v>113030</v>
      </c>
      <c r="X11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1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1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11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11" s="55" t="str">
        <f>IF(наценка7[[#This Row],[Потолок ]]="ДА",коэффициенты!$C$13,"")</f>
        <v/>
      </c>
      <c r="AG11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1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1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11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11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11" s="52">
        <f>SUM(наценка7[[#This Row],[еврокухня]:[Лифт]])*наценка7[[#This Row],[Цена м2 с БK]]+наценка7[[#This Row],[Цена м2 с БK]]</f>
        <v>117551.2</v>
      </c>
      <c r="AQ111" s="51">
        <f>VLOOKUP(наценка7[[#This Row],[№]],Д402[],COLUMN(Д402[[#This Row],[утв цена м2]]),0)</f>
        <v>118783.7</v>
      </c>
      <c r="AR111" s="3">
        <f>наценка7[[#This Row],[утв цена м2]]*наценка7[[#This Row],[Расчетная проектная площадь]]</f>
        <v>7806464.7639999995</v>
      </c>
      <c r="AS111" s="27" t="str">
        <f>VLOOKUP(наценка7[[#This Row],[№]],Д402[],COLUMN('Реестр ОН'!$BA$1),0)</f>
        <v>Продажа</v>
      </c>
      <c r="AT111" s="281">
        <f>ROUND(наценка7[[#This Row],[Цена м2 с учетом всех K]]*наценка7[[#This Row],[Расчетная проектная площадь]],0)</f>
        <v>7725465</v>
      </c>
      <c r="AU111" s="286">
        <v>7725465</v>
      </c>
      <c r="AV111" s="286" t="b">
        <f>наценка7[[#This Row],[Аллио]]=наценка7[[#This Row],[Первичка тест]]</f>
        <v>1</v>
      </c>
    </row>
    <row r="112" spans="1:48" hidden="1" x14ac:dyDescent="0.25">
      <c r="A112" s="65">
        <v>110</v>
      </c>
      <c r="B112" s="2">
        <f>_xlfn.XLOOKUP(наценка7[[#This Row],[№]],Д402[№],Д402[Секция],"-",0)</f>
        <v>2</v>
      </c>
      <c r="C112" s="2">
        <f>_xlfn.XLOOKUP(наценка7[[#This Row],[№]],Д402[№],Д402[Этаж],"-",0)</f>
        <v>2</v>
      </c>
      <c r="D112" s="2">
        <f>_xlfn.XLOOKUP(наценка7[[#This Row],[№]],Д402[№],Д402[№ на этаже],"-",0)</f>
        <v>2</v>
      </c>
      <c r="E112" s="2">
        <f>_xlfn.XLOOKUP(наценка7[[#This Row],[№]],Д402[№],Д402[Тип кв],"-",0)</f>
        <v>1</v>
      </c>
      <c r="F112" s="51">
        <f>_xlfn.XLOOKUP(наценка7[[#This Row],[№]],Д402[№],Д402[Кухня],"-",0)</f>
        <v>11.88</v>
      </c>
      <c r="G112" s="51">
        <f>_xlfn.XLOOKUP(наценка7[[#This Row],[№]],Д402[№],Д402[Ванная],"-",0)</f>
        <v>4.1399999999999997</v>
      </c>
      <c r="H112" s="51" t="s">
        <v>87</v>
      </c>
      <c r="I112" s="51"/>
      <c r="J112" s="51"/>
      <c r="K112" s="51" t="s">
        <v>101</v>
      </c>
      <c r="L112" s="51"/>
      <c r="M112" s="51" t="s">
        <v>83</v>
      </c>
      <c r="N112" s="51"/>
      <c r="O112" s="51" t="s">
        <v>119</v>
      </c>
      <c r="P112" s="51"/>
      <c r="Q112" s="129"/>
      <c r="R112" s="129"/>
      <c r="S112" s="51"/>
      <c r="T112" s="51">
        <f>_xlfn.XLOOKUP(наценка7[[#This Row],[№]],Д402[№],Д402[Расчетная проектная площадь],"-",0)</f>
        <v>36.630000000000003</v>
      </c>
      <c r="U112" s="17">
        <f t="shared" si="2"/>
        <v>89000</v>
      </c>
      <c r="V11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12" s="18">
        <f>наценка7[[#This Row],[Цена м2 базовая]]*наценка7[[#This Row],[Базовой K]]</f>
        <v>119260</v>
      </c>
      <c r="X11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1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12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12" s="55" t="str">
        <f>IF(наценка7[[#This Row],[Потолок ]]="ДА",коэффициенты!$C$13,"")</f>
        <v/>
      </c>
      <c r="AG11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1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2" s="52">
        <f>SUM(наценка7[[#This Row],[еврокухня]:[Лифт]])*наценка7[[#This Row],[Цена м2 с БK]]+наценка7[[#This Row],[Цена м2 с БK]]</f>
        <v>124030.39999999999</v>
      </c>
      <c r="AQ112" s="51">
        <f>VLOOKUP(наценка7[[#This Row],[№]],Д402[],COLUMN(Д402[[#This Row],[утв цена м2]]),0)</f>
        <v>129697.39</v>
      </c>
      <c r="AR112" s="3">
        <f>наценка7[[#This Row],[утв цена м2]]*наценка7[[#This Row],[Расчетная проектная площадь]]</f>
        <v>4750815.3957000002</v>
      </c>
      <c r="AS112" s="27" t="str">
        <f>VLOOKUP(наценка7[[#This Row],[№]],Д402[],COLUMN('Реестр ОН'!$BA$1),0)</f>
        <v>Стр. Резерв</v>
      </c>
      <c r="AT112" s="285">
        <f>ROUND(наценка7[[#This Row],[Цена м2 с учетом всех K]]*наценка7[[#This Row],[Расчетная проектная площадь]],0)</f>
        <v>4543234</v>
      </c>
      <c r="AU112" s="286">
        <v>4543234</v>
      </c>
      <c r="AV112" s="286" t="b">
        <f>наценка7[[#This Row],[Аллио]]=наценка7[[#This Row],[Первичка тест]]</f>
        <v>1</v>
      </c>
    </row>
    <row r="113" spans="1:48" hidden="1" x14ac:dyDescent="0.25">
      <c r="A113" s="65">
        <v>111</v>
      </c>
      <c r="B113" s="2">
        <f>_xlfn.XLOOKUP(наценка7[[#This Row],[№]],Д402[№],Д402[Секция],"-",0)</f>
        <v>2</v>
      </c>
      <c r="C113" s="2">
        <f>_xlfn.XLOOKUP(наценка7[[#This Row],[№]],Д402[№],Д402[Этаж],"-",0)</f>
        <v>2</v>
      </c>
      <c r="D113" s="2">
        <f>_xlfn.XLOOKUP(наценка7[[#This Row],[№]],Д402[№],Д402[№ на этаже],"-",0)</f>
        <v>3</v>
      </c>
      <c r="E113" s="2">
        <f>_xlfn.XLOOKUP(наценка7[[#This Row],[№]],Д402[№],Д402[Тип кв],"-",0)</f>
        <v>0</v>
      </c>
      <c r="F113" s="51">
        <f>_xlfn.XLOOKUP(наценка7[[#This Row],[№]],Д402[№],Д402[Кухня],"-",0)</f>
        <v>5.98</v>
      </c>
      <c r="G113" s="51">
        <f>_xlfn.XLOOKUP(наценка7[[#This Row],[№]],Д402[№],Д402[Ванная],"-",0)</f>
        <v>4.54</v>
      </c>
      <c r="H113" s="51" t="s">
        <v>87</v>
      </c>
      <c r="I113" s="51"/>
      <c r="J113" s="51"/>
      <c r="K113" s="51" t="s">
        <v>101</v>
      </c>
      <c r="L113" s="51" t="s">
        <v>119</v>
      </c>
      <c r="M113" s="51" t="s">
        <v>83</v>
      </c>
      <c r="N113" s="51"/>
      <c r="O113" s="51" t="s">
        <v>119</v>
      </c>
      <c r="P113" s="51"/>
      <c r="Q113" s="51"/>
      <c r="R113" s="51" t="s">
        <v>101</v>
      </c>
      <c r="S113" s="51"/>
      <c r="T113" s="51">
        <f>_xlfn.XLOOKUP(наценка7[[#This Row],[№]],Д402[№],Д402[Расчетная проектная площадь],"-",0)</f>
        <v>29.5</v>
      </c>
      <c r="U113" s="17">
        <f t="shared" si="2"/>
        <v>89000</v>
      </c>
      <c r="V11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13" s="18">
        <f>наценка7[[#This Row],[Цена м2 базовая]]*наценка7[[#This Row],[Базовой K]]</f>
        <v>139730</v>
      </c>
      <c r="X11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1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13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13" s="55" t="str">
        <f>IF(наценка7[[#This Row],[Потолок ]]="ДА",коэффициенты!$C$13,"")</f>
        <v/>
      </c>
      <c r="AG11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1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13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1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3" s="52">
        <f>SUM(наценка7[[#This Row],[еврокухня]:[Лифт]])*наценка7[[#This Row],[Цена м2 с БK]]+наценка7[[#This Row],[Цена м2 с БK]]</f>
        <v>141127.29999999999</v>
      </c>
      <c r="AQ113" s="51">
        <f>VLOOKUP(наценка7[[#This Row],[№]],Д402[],COLUMN(Д402[[#This Row],[утв цена м2]]),0)</f>
        <v>142359.79999999999</v>
      </c>
      <c r="AR113" s="3">
        <f>наценка7[[#This Row],[утв цена м2]]*наценка7[[#This Row],[Расчетная проектная площадь]]</f>
        <v>4199614.0999999996</v>
      </c>
      <c r="AS113" s="27" t="str">
        <f>VLOOKUP(наценка7[[#This Row],[№]],Д402[],COLUMN('Реестр ОН'!$BA$1),0)</f>
        <v>Стр. Резерв</v>
      </c>
      <c r="AT113" s="281">
        <f>ROUND(наценка7[[#This Row],[Цена м2 с учетом всех K]]*наценка7[[#This Row],[Расчетная проектная площадь]],0)</f>
        <v>4163255</v>
      </c>
      <c r="AU113" s="286">
        <v>4163255</v>
      </c>
      <c r="AV113" s="286" t="b">
        <f>наценка7[[#This Row],[Аллио]]=наценка7[[#This Row],[Первичка тест]]</f>
        <v>1</v>
      </c>
    </row>
    <row r="114" spans="1:48" hidden="1" x14ac:dyDescent="0.25">
      <c r="A114" s="65">
        <v>112</v>
      </c>
      <c r="B114" s="2">
        <f>_xlfn.XLOOKUP(наценка7[[#This Row],[№]],Д402[№],Д402[Секция],"-",0)</f>
        <v>2</v>
      </c>
      <c r="C114" s="2">
        <f>_xlfn.XLOOKUP(наценка7[[#This Row],[№]],Д402[№],Д402[Этаж],"-",0)</f>
        <v>2</v>
      </c>
      <c r="D114" s="2">
        <f>_xlfn.XLOOKUP(наценка7[[#This Row],[№]],Д402[№],Д402[№ на этаже],"-",0)</f>
        <v>4</v>
      </c>
      <c r="E114" s="2">
        <f>_xlfn.XLOOKUP(наценка7[[#This Row],[№]],Д402[№],Д402[Тип кв],"-",0)</f>
        <v>0</v>
      </c>
      <c r="F114" s="51">
        <f>_xlfn.XLOOKUP(наценка7[[#This Row],[№]],Д402[№],Д402[Кухня],"-",0)</f>
        <v>5.98</v>
      </c>
      <c r="G114" s="51">
        <f>_xlfn.XLOOKUP(наценка7[[#This Row],[№]],Д402[№],Д402[Ванная],"-",0)</f>
        <v>4.54</v>
      </c>
      <c r="H114" s="51" t="s">
        <v>87</v>
      </c>
      <c r="I114" s="51"/>
      <c r="J114" s="51"/>
      <c r="K114" s="51" t="s">
        <v>101</v>
      </c>
      <c r="L114" s="51" t="s">
        <v>119</v>
      </c>
      <c r="M114" s="51" t="s">
        <v>83</v>
      </c>
      <c r="N114" s="51"/>
      <c r="O114" s="51" t="s">
        <v>119</v>
      </c>
      <c r="P114" s="51"/>
      <c r="Q114" s="129"/>
      <c r="R114" s="129"/>
      <c r="S114" s="51"/>
      <c r="T114" s="51">
        <f>_xlfn.XLOOKUP(наценка7[[#This Row],[№]],Д402[№],Д402[Расчетная проектная площадь],"-",0)</f>
        <v>27.99</v>
      </c>
      <c r="U114" s="17">
        <f t="shared" si="2"/>
        <v>89000</v>
      </c>
      <c r="V11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14" s="18">
        <f>наценка7[[#This Row],[Цена м2 базовая]]*наценка7[[#This Row],[Базовой K]]</f>
        <v>139730</v>
      </c>
      <c r="X11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1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14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14" s="55" t="str">
        <f>IF(наценка7[[#This Row],[Потолок ]]="ДА",коэффициенты!$C$13,"")</f>
        <v/>
      </c>
      <c r="AG11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1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1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4" s="52">
        <f>SUM(наценка7[[#This Row],[еврокухня]:[Лифт]])*наценка7[[#This Row],[Цена м2 с БK]]+наценка7[[#This Row],[Цена м2 с БK]]</f>
        <v>142524.6</v>
      </c>
      <c r="AQ114" s="51">
        <f>VLOOKUP(наценка7[[#This Row],[№]],Д402[],COLUMN(Д402[[#This Row],[утв цена м2]]),0)</f>
        <v>143757.1</v>
      </c>
      <c r="AR114" s="3">
        <f>наценка7[[#This Row],[утв цена м2]]*наценка7[[#This Row],[Расчетная проектная площадь]]</f>
        <v>4023761.2289999998</v>
      </c>
      <c r="AS114" s="27" t="str">
        <f>VLOOKUP(наценка7[[#This Row],[№]],Д402[],COLUMN('Реестр ОН'!$BA$1),0)</f>
        <v>Стр. Резерв</v>
      </c>
      <c r="AT114" s="281">
        <f>ROUND(наценка7[[#This Row],[Цена м2 с учетом всех K]]*наценка7[[#This Row],[Расчетная проектная площадь]],0)</f>
        <v>3989264</v>
      </c>
      <c r="AU114" s="286">
        <v>3989264</v>
      </c>
      <c r="AV114" s="286" t="b">
        <f>наценка7[[#This Row],[Аллио]]=наценка7[[#This Row],[Первичка тест]]</f>
        <v>1</v>
      </c>
    </row>
    <row r="115" spans="1:48" hidden="1" x14ac:dyDescent="0.25">
      <c r="A115" s="65">
        <v>113</v>
      </c>
      <c r="B115" s="2">
        <f>_xlfn.XLOOKUP(наценка7[[#This Row],[№]],Д402[№],Д402[Секция],"-",0)</f>
        <v>2</v>
      </c>
      <c r="C115" s="2">
        <f>_xlfn.XLOOKUP(наценка7[[#This Row],[№]],Д402[№],Д402[Этаж],"-",0)</f>
        <v>2</v>
      </c>
      <c r="D115" s="2">
        <f>_xlfn.XLOOKUP(наценка7[[#This Row],[№]],Д402[№],Д402[№ на этаже],"-",0)</f>
        <v>5</v>
      </c>
      <c r="E115" s="2">
        <f>_xlfn.XLOOKUP(наценка7[[#This Row],[№]],Д402[№],Д402[Тип кв],"-",0)</f>
        <v>2</v>
      </c>
      <c r="F115" s="51">
        <f>_xlfn.XLOOKUP(наценка7[[#This Row],[№]],Д402[№],Д402[Кухня],"-",0)</f>
        <v>12.38</v>
      </c>
      <c r="G115" s="51">
        <f>_xlfn.XLOOKUP(наценка7[[#This Row],[№]],Д402[№],Д402[Ванная],"-",0)</f>
        <v>4.1399999999999997</v>
      </c>
      <c r="H115" s="51" t="s">
        <v>87</v>
      </c>
      <c r="I115" s="51"/>
      <c r="J115" s="51"/>
      <c r="K115" s="51" t="s">
        <v>101</v>
      </c>
      <c r="L115" s="51" t="s">
        <v>119</v>
      </c>
      <c r="M115" s="51" t="s">
        <v>83</v>
      </c>
      <c r="N115" s="51" t="s">
        <v>101</v>
      </c>
      <c r="O115" s="51" t="s">
        <v>119</v>
      </c>
      <c r="P115" s="51"/>
      <c r="Q115" s="129"/>
      <c r="R115" s="129"/>
      <c r="S115" s="51"/>
      <c r="T115" s="51">
        <f>_xlfn.XLOOKUP(наценка7[[#This Row],[№]],Д402[№],Д402[Расчетная проектная площадь],"-",0)</f>
        <v>66.2</v>
      </c>
      <c r="U115" s="17">
        <f t="shared" si="2"/>
        <v>89000</v>
      </c>
      <c r="V11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15" s="18">
        <f>наценка7[[#This Row],[Цена м2 базовая]]*наценка7[[#This Row],[Базовой K]]</f>
        <v>113030</v>
      </c>
      <c r="X11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5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1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1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15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15" s="55" t="str">
        <f>IF(наценка7[[#This Row],[Потолок ]]="ДА",коэффициенты!$C$13,"")</f>
        <v/>
      </c>
      <c r="AG11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1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-0.02</v>
      </c>
      <c r="AM11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1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5" s="52">
        <f>SUM(наценка7[[#This Row],[еврокухня]:[Лифт]])*наценка7[[#This Row],[Цена м2 с БK]]+наценка7[[#This Row],[Цена м2 с БK]]</f>
        <v>116420.9</v>
      </c>
      <c r="AQ115" s="51">
        <f>VLOOKUP(наценка7[[#This Row],[№]],Д402[],COLUMN(Д402[[#This Row],[утв цена м2]]),0)</f>
        <v>118241.67</v>
      </c>
      <c r="AR115" s="3">
        <f>наценка7[[#This Row],[утв цена м2]]*наценка7[[#This Row],[Расчетная проектная площадь]]</f>
        <v>7827598.5540000005</v>
      </c>
      <c r="AS115" s="27" t="str">
        <f>VLOOKUP(наценка7[[#This Row],[№]],Д402[],COLUMN('Реестр ОН'!$BA$1),0)</f>
        <v>Стр. Резерв</v>
      </c>
      <c r="AT115" s="281">
        <f>ROUND(наценка7[[#This Row],[Цена м2 с учетом всех K]]*наценка7[[#This Row],[Расчетная проектная площадь]],0)</f>
        <v>7707064</v>
      </c>
      <c r="AU115" s="286">
        <v>7707064</v>
      </c>
      <c r="AV115" s="286" t="b">
        <f>наценка7[[#This Row],[Аллио]]=наценка7[[#This Row],[Первичка тест]]</f>
        <v>1</v>
      </c>
    </row>
    <row r="116" spans="1:48" hidden="1" x14ac:dyDescent="0.25">
      <c r="A116" s="65">
        <v>114</v>
      </c>
      <c r="B116" s="2">
        <f>_xlfn.XLOOKUP(наценка7[[#This Row],[№]],Д402[№],Д402[Секция],"-",0)</f>
        <v>2</v>
      </c>
      <c r="C116" s="2">
        <f>_xlfn.XLOOKUP(наценка7[[#This Row],[№]],Д402[№],Д402[Этаж],"-",0)</f>
        <v>2</v>
      </c>
      <c r="D116" s="2">
        <f>_xlfn.XLOOKUP(наценка7[[#This Row],[№]],Д402[№],Д402[№ на этаже],"-",0)</f>
        <v>6</v>
      </c>
      <c r="E116" s="2">
        <f>_xlfn.XLOOKUP(наценка7[[#This Row],[№]],Д402[№],Д402[Тип кв],"-",0)</f>
        <v>2</v>
      </c>
      <c r="F116" s="51">
        <f>_xlfn.XLOOKUP(наценка7[[#This Row],[№]],Д402[№],Д402[Кухня],"-",0)</f>
        <v>13.65</v>
      </c>
      <c r="G116" s="51">
        <f>_xlfn.XLOOKUP(наценка7[[#This Row],[№]],Д402[№],Д402[Ванная],"-",0)</f>
        <v>5.22</v>
      </c>
      <c r="H116" s="51" t="s">
        <v>84</v>
      </c>
      <c r="I116" s="51"/>
      <c r="J116" s="51"/>
      <c r="K116" s="51"/>
      <c r="L116" s="51"/>
      <c r="M116" s="51" t="s">
        <v>88</v>
      </c>
      <c r="N116" s="51"/>
      <c r="O116" s="51" t="s">
        <v>119</v>
      </c>
      <c r="P116" s="51"/>
      <c r="Q116" s="129"/>
      <c r="R116" s="51" t="s">
        <v>101</v>
      </c>
      <c r="S116" s="51"/>
      <c r="T116" s="51">
        <f>_xlfn.XLOOKUP(наценка7[[#This Row],[№]],Д402[№],Д402[Расчетная проектная площадь],"-",0)</f>
        <v>60.94</v>
      </c>
      <c r="U116" s="17">
        <f t="shared" si="2"/>
        <v>89000</v>
      </c>
      <c r="V11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16" s="18">
        <f>наценка7[[#This Row],[Цена м2 базовая]]*наценка7[[#This Row],[Базовой K]]</f>
        <v>113030</v>
      </c>
      <c r="X11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1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6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1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1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16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16" s="55" t="str">
        <f>IF(наценка7[[#This Row],[Потолок ]]="ДА",коэффициенты!$C$13,"")</f>
        <v/>
      </c>
      <c r="AG11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1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1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6" s="52">
        <f>SUM(наценка7[[#This Row],[еврокухня]:[Лифт]])*наценка7[[#This Row],[Цена м2 с БK]]+наценка7[[#This Row],[Цена м2 с БK]]</f>
        <v>124333</v>
      </c>
      <c r="AQ116" s="51">
        <f>VLOOKUP(наценка7[[#This Row],[№]],Д402[],COLUMN(Д402[[#This Row],[утв цена м2]]),0)</f>
        <v>129979.13</v>
      </c>
      <c r="AR116" s="3">
        <f>наценка7[[#This Row],[утв цена м2]]*наценка7[[#This Row],[Расчетная проектная площадь]]</f>
        <v>7920928.1821999997</v>
      </c>
      <c r="AS116" s="27" t="str">
        <f>VLOOKUP(наценка7[[#This Row],[№]],Д402[],COLUMN('Реестр ОН'!$BA$1),0)</f>
        <v>Стр. Резерв</v>
      </c>
      <c r="AT116" s="281">
        <f>ROUND(наценка7[[#This Row],[Цена м2 с учетом всех K]]*наценка7[[#This Row],[Расчетная проектная площадь]],0)</f>
        <v>7576853</v>
      </c>
      <c r="AU116" s="286">
        <v>7576853</v>
      </c>
      <c r="AV116" s="286" t="b">
        <f>наценка7[[#This Row],[Аллио]]=наценка7[[#This Row],[Первичка тест]]</f>
        <v>1</v>
      </c>
    </row>
    <row r="117" spans="1:48" hidden="1" x14ac:dyDescent="0.25">
      <c r="A117" s="65">
        <v>115</v>
      </c>
      <c r="B117" s="2">
        <f>_xlfn.XLOOKUP(наценка7[[#This Row],[№]],Д402[№],Д402[Секция],"-",0)</f>
        <v>2</v>
      </c>
      <c r="C117" s="2">
        <f>_xlfn.XLOOKUP(наценка7[[#This Row],[№]],Д402[№],Д402[Этаж],"-",0)</f>
        <v>3</v>
      </c>
      <c r="D117" s="2">
        <f>_xlfn.XLOOKUP(наценка7[[#This Row],[№]],Д402[№],Д402[№ на этаже],"-",0)</f>
        <v>1</v>
      </c>
      <c r="E117" s="2">
        <f>_xlfn.XLOOKUP(наценка7[[#This Row],[№]],Д402[№],Д402[Тип кв],"-",0)</f>
        <v>2</v>
      </c>
      <c r="F117" s="51">
        <f>_xlfn.XLOOKUP(наценка7[[#This Row],[№]],Д402[№],Д402[Кухня],"-",0)</f>
        <v>14.29</v>
      </c>
      <c r="G117" s="51">
        <f>_xlfn.XLOOKUP(наценка7[[#This Row],[№]],Д402[№],Д402[Ванная],"-",0)</f>
        <v>4.5199999999999996</v>
      </c>
      <c r="H117" s="51" t="s">
        <v>84</v>
      </c>
      <c r="I117" s="51"/>
      <c r="J117" s="51"/>
      <c r="K117" s="51" t="s">
        <v>101</v>
      </c>
      <c r="L117" s="51"/>
      <c r="M117" s="51" t="s">
        <v>83</v>
      </c>
      <c r="N117" s="51" t="s">
        <v>101</v>
      </c>
      <c r="O117" s="51" t="s">
        <v>119</v>
      </c>
      <c r="P117" s="51"/>
      <c r="Q117" s="51" t="s">
        <v>101</v>
      </c>
      <c r="R117" s="129"/>
      <c r="S117" s="51" t="s">
        <v>101</v>
      </c>
      <c r="T117" s="51">
        <f>_xlfn.XLOOKUP(наценка7[[#This Row],[№]],Д402[№],Д402[Расчетная проектная площадь],"-",0)</f>
        <v>65.72</v>
      </c>
      <c r="U117" s="17">
        <f t="shared" si="2"/>
        <v>89000</v>
      </c>
      <c r="V11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17" s="18">
        <f>наценка7[[#This Row],[Цена м2 базовая]]*наценка7[[#This Row],[Базовой K]]</f>
        <v>113030</v>
      </c>
      <c r="X11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1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1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17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17" s="55" t="str">
        <f>IF(наценка7[[#This Row],[Потолок ]]="ДА",коэффициенты!$C$13,"")</f>
        <v/>
      </c>
      <c r="AG11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1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1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7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17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17" s="52">
        <f>SUM(наценка7[[#This Row],[еврокухня]:[Лифт]])*наценка7[[#This Row],[Цена м2 с БK]]+наценка7[[#This Row],[Цена м2 с БK]]</f>
        <v>119811.8</v>
      </c>
      <c r="AQ117" s="51">
        <f>VLOOKUP(наценка7[[#This Row],[№]],Д402[],COLUMN(Д402[[#This Row],[утв цена м2]]),0)</f>
        <v>121649.52</v>
      </c>
      <c r="AR117" s="3">
        <f>наценка7[[#This Row],[утв цена м2]]*наценка7[[#This Row],[Расчетная проектная площадь]]</f>
        <v>7994806.4544000002</v>
      </c>
      <c r="AS117" s="27" t="str">
        <f>VLOOKUP(наценка7[[#This Row],[№]],Д402[],COLUMN('Реестр ОН'!$BA$1),0)</f>
        <v>Стр. Резерв</v>
      </c>
      <c r="AT117" s="281">
        <f>ROUND(наценка7[[#This Row],[Цена м2 с учетом всех K]]*наценка7[[#This Row],[Расчетная проектная площадь]],0)</f>
        <v>7874031</v>
      </c>
      <c r="AU117" s="286">
        <v>7874031</v>
      </c>
      <c r="AV117" s="286" t="b">
        <f>наценка7[[#This Row],[Аллио]]=наценка7[[#This Row],[Первичка тест]]</f>
        <v>1</v>
      </c>
    </row>
    <row r="118" spans="1:48" hidden="1" x14ac:dyDescent="0.25">
      <c r="A118" s="65">
        <v>116</v>
      </c>
      <c r="B118" s="2">
        <f>_xlfn.XLOOKUP(наценка7[[#This Row],[№]],Д402[№],Д402[Секция],"-",0)</f>
        <v>2</v>
      </c>
      <c r="C118" s="2">
        <f>_xlfn.XLOOKUP(наценка7[[#This Row],[№]],Д402[№],Д402[Этаж],"-",0)</f>
        <v>3</v>
      </c>
      <c r="D118" s="2">
        <f>_xlfn.XLOOKUP(наценка7[[#This Row],[№]],Д402[№],Д402[№ на этаже],"-",0)</f>
        <v>2</v>
      </c>
      <c r="E118" s="2">
        <f>_xlfn.XLOOKUP(наценка7[[#This Row],[№]],Д402[№],Д402[Тип кв],"-",0)</f>
        <v>1</v>
      </c>
      <c r="F118" s="51">
        <f>_xlfn.XLOOKUP(наценка7[[#This Row],[№]],Д402[№],Д402[Кухня],"-",0)</f>
        <v>11.88</v>
      </c>
      <c r="G118" s="51">
        <f>_xlfn.XLOOKUP(наценка7[[#This Row],[№]],Д402[№],Д402[Ванная],"-",0)</f>
        <v>4.1399999999999997</v>
      </c>
      <c r="H118" s="51" t="s">
        <v>87</v>
      </c>
      <c r="I118" s="51"/>
      <c r="J118" s="51"/>
      <c r="K118" s="51" t="s">
        <v>101</v>
      </c>
      <c r="L118" s="51"/>
      <c r="M118" s="51" t="s">
        <v>83</v>
      </c>
      <c r="N118" s="51"/>
      <c r="O118" s="51" t="s">
        <v>119</v>
      </c>
      <c r="P118" s="51"/>
      <c r="Q118" s="129"/>
      <c r="R118" s="129"/>
      <c r="S118" s="51"/>
      <c r="T118" s="51">
        <f>_xlfn.XLOOKUP(наценка7[[#This Row],[№]],Д402[№],Д402[Расчетная проектная площадь],"-",0)</f>
        <v>36.630000000000003</v>
      </c>
      <c r="U118" s="17">
        <f t="shared" si="2"/>
        <v>89000</v>
      </c>
      <c r="V11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18" s="18">
        <f>наценка7[[#This Row],[Цена м2 базовая]]*наценка7[[#This Row],[Базовой K]]</f>
        <v>119260</v>
      </c>
      <c r="X11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1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18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18" s="55" t="str">
        <f>IF(наценка7[[#This Row],[Потолок ]]="ДА",коэффициенты!$C$13,"")</f>
        <v/>
      </c>
      <c r="AG11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1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1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8" s="52">
        <f>SUM(наценка7[[#This Row],[еврокухня]:[Лифт]])*наценка7[[#This Row],[Цена м2 с БK]]+наценка7[[#This Row],[Цена м2 с БK]]</f>
        <v>124030.39999999999</v>
      </c>
      <c r="AQ118" s="51">
        <f>VLOOKUP(наценка7[[#This Row],[№]],Д402[],COLUMN(Д402[[#This Row],[утв цена м2]]),0)</f>
        <v>129697.39</v>
      </c>
      <c r="AR118" s="3">
        <f>наценка7[[#This Row],[утв цена м2]]*наценка7[[#This Row],[Расчетная проектная площадь]]</f>
        <v>4750815.3957000002</v>
      </c>
      <c r="AS118" s="27" t="str">
        <f>VLOOKUP(наценка7[[#This Row],[№]],Д402[],COLUMN('Реестр ОН'!$BA$1),0)</f>
        <v>Стр. Резерв</v>
      </c>
      <c r="AT118" s="285">
        <f>ROUND(наценка7[[#This Row],[Цена м2 с учетом всех K]]*наценка7[[#This Row],[Расчетная проектная площадь]],0)</f>
        <v>4543234</v>
      </c>
      <c r="AU118" s="286">
        <v>4543234</v>
      </c>
      <c r="AV118" s="286" t="b">
        <f>наценка7[[#This Row],[Аллио]]=наценка7[[#This Row],[Первичка тест]]</f>
        <v>1</v>
      </c>
    </row>
    <row r="119" spans="1:48" hidden="1" x14ac:dyDescent="0.25">
      <c r="A119" s="65">
        <v>117</v>
      </c>
      <c r="B119" s="2">
        <f>_xlfn.XLOOKUP(наценка7[[#This Row],[№]],Д402[№],Д402[Секция],"-",0)</f>
        <v>2</v>
      </c>
      <c r="C119" s="2">
        <f>_xlfn.XLOOKUP(наценка7[[#This Row],[№]],Д402[№],Д402[Этаж],"-",0)</f>
        <v>3</v>
      </c>
      <c r="D119" s="2">
        <f>_xlfn.XLOOKUP(наценка7[[#This Row],[№]],Д402[№],Д402[№ на этаже],"-",0)</f>
        <v>3</v>
      </c>
      <c r="E119" s="2">
        <f>_xlfn.XLOOKUP(наценка7[[#This Row],[№]],Д402[№],Д402[Тип кв],"-",0)</f>
        <v>0</v>
      </c>
      <c r="F119" s="51">
        <f>_xlfn.XLOOKUP(наценка7[[#This Row],[№]],Д402[№],Д402[Кухня],"-",0)</f>
        <v>5.98</v>
      </c>
      <c r="G119" s="51">
        <f>_xlfn.XLOOKUP(наценка7[[#This Row],[№]],Д402[№],Д402[Ванная],"-",0)</f>
        <v>4.54</v>
      </c>
      <c r="H119" s="51" t="s">
        <v>87</v>
      </c>
      <c r="I119" s="51"/>
      <c r="J119" s="51"/>
      <c r="K119" s="51" t="s">
        <v>101</v>
      </c>
      <c r="L119" s="51" t="s">
        <v>119</v>
      </c>
      <c r="M119" s="51" t="s">
        <v>83</v>
      </c>
      <c r="N119" s="51"/>
      <c r="O119" s="51" t="s">
        <v>119</v>
      </c>
      <c r="P119" s="51"/>
      <c r="Q119" s="129"/>
      <c r="R119" s="129"/>
      <c r="S119" s="51"/>
      <c r="T119" s="51">
        <f>_xlfn.XLOOKUP(наценка7[[#This Row],[№]],Д402[№],Д402[Расчетная проектная площадь],"-",0)</f>
        <v>29.5</v>
      </c>
      <c r="U119" s="17">
        <f t="shared" si="2"/>
        <v>89000</v>
      </c>
      <c r="V11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19" s="18">
        <f>наценка7[[#This Row],[Цена м2 базовая]]*наценка7[[#This Row],[Базовой K]]</f>
        <v>139730</v>
      </c>
      <c r="X11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1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1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1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1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1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1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19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19" s="55" t="str">
        <f>IF(наценка7[[#This Row],[Потолок ]]="ДА",коэффициенты!$C$13,"")</f>
        <v/>
      </c>
      <c r="AG11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1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1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1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1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1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1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1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1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19" s="52">
        <f>SUM(наценка7[[#This Row],[еврокухня]:[Лифт]])*наценка7[[#This Row],[Цена м2 с БK]]+наценка7[[#This Row],[Цена м2 с БK]]</f>
        <v>142524.6</v>
      </c>
      <c r="AQ119" s="51">
        <f>VLOOKUP(наценка7[[#This Row],[№]],Д402[],COLUMN(Д402[[#This Row],[утв цена м2]]),0)</f>
        <v>143757.1</v>
      </c>
      <c r="AR119" s="3">
        <f>наценка7[[#This Row],[утв цена м2]]*наценка7[[#This Row],[Расчетная проектная площадь]]</f>
        <v>4240834.45</v>
      </c>
      <c r="AS119" s="27" t="str">
        <f>VLOOKUP(наценка7[[#This Row],[№]],Д402[],COLUMN('Реестр ОН'!$BA$1),0)</f>
        <v>Стр. Резерв</v>
      </c>
      <c r="AT119" s="281">
        <f>ROUND(наценка7[[#This Row],[Цена м2 с учетом всех K]]*наценка7[[#This Row],[Расчетная проектная площадь]],0)</f>
        <v>4204476</v>
      </c>
      <c r="AU119" s="286">
        <v>4204476</v>
      </c>
      <c r="AV119" s="286" t="b">
        <f>наценка7[[#This Row],[Аллио]]=наценка7[[#This Row],[Первичка тест]]</f>
        <v>1</v>
      </c>
    </row>
    <row r="120" spans="1:48" hidden="1" x14ac:dyDescent="0.25">
      <c r="A120" s="65">
        <v>118</v>
      </c>
      <c r="B120" s="2">
        <f>_xlfn.XLOOKUP(наценка7[[#This Row],[№]],Д402[№],Д402[Секция],"-",0)</f>
        <v>2</v>
      </c>
      <c r="C120" s="2">
        <f>_xlfn.XLOOKUP(наценка7[[#This Row],[№]],Д402[№],Д402[Этаж],"-",0)</f>
        <v>3</v>
      </c>
      <c r="D120" s="2">
        <f>_xlfn.XLOOKUP(наценка7[[#This Row],[№]],Д402[№],Д402[№ на этаже],"-",0)</f>
        <v>4</v>
      </c>
      <c r="E120" s="2">
        <f>_xlfn.XLOOKUP(наценка7[[#This Row],[№]],Д402[№],Д402[Тип кв],"-",0)</f>
        <v>0</v>
      </c>
      <c r="F120" s="51">
        <f>_xlfn.XLOOKUP(наценка7[[#This Row],[№]],Д402[№],Д402[Кухня],"-",0)</f>
        <v>5.98</v>
      </c>
      <c r="G120" s="51">
        <f>_xlfn.XLOOKUP(наценка7[[#This Row],[№]],Д402[№],Д402[Ванная],"-",0)</f>
        <v>4.54</v>
      </c>
      <c r="H120" s="51" t="s">
        <v>87</v>
      </c>
      <c r="I120" s="51"/>
      <c r="J120" s="51"/>
      <c r="K120" s="51" t="s">
        <v>101</v>
      </c>
      <c r="L120" s="51" t="s">
        <v>119</v>
      </c>
      <c r="M120" s="51" t="s">
        <v>83</v>
      </c>
      <c r="N120" s="51"/>
      <c r="O120" s="51" t="s">
        <v>119</v>
      </c>
      <c r="P120" s="51"/>
      <c r="Q120" s="129"/>
      <c r="R120" s="129"/>
      <c r="S120" s="51"/>
      <c r="T120" s="51">
        <f>_xlfn.XLOOKUP(наценка7[[#This Row],[№]],Д402[№],Д402[Расчетная проектная площадь],"-",0)</f>
        <v>27.99</v>
      </c>
      <c r="U120" s="17">
        <f t="shared" si="2"/>
        <v>89000</v>
      </c>
      <c r="V12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20" s="18">
        <f>наценка7[[#This Row],[Цена м2 базовая]]*наценка7[[#This Row],[Базовой K]]</f>
        <v>139730</v>
      </c>
      <c r="X12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2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20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20" s="55" t="str">
        <f>IF(наценка7[[#This Row],[Потолок ]]="ДА",коэффициенты!$C$13,"")</f>
        <v/>
      </c>
      <c r="AG12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2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2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2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0" s="52">
        <f>SUM(наценка7[[#This Row],[еврокухня]:[Лифт]])*наценка7[[#This Row],[Цена м2 с БK]]+наценка7[[#This Row],[Цена м2 с БK]]</f>
        <v>142524.6</v>
      </c>
      <c r="AQ120" s="51">
        <f>VLOOKUP(наценка7[[#This Row],[№]],Д402[],COLUMN(Д402[[#This Row],[утв цена м2]]),0)</f>
        <v>143757.1</v>
      </c>
      <c r="AR120" s="3">
        <f>наценка7[[#This Row],[утв цена м2]]*наценка7[[#This Row],[Расчетная проектная площадь]]</f>
        <v>4023761.2289999998</v>
      </c>
      <c r="AS120" s="27" t="str">
        <f>VLOOKUP(наценка7[[#This Row],[№]],Д402[],COLUMN('Реестр ОН'!$BA$1),0)</f>
        <v>Стр. Резерв</v>
      </c>
      <c r="AT120" s="281">
        <f>ROUND(наценка7[[#This Row],[Цена м2 с учетом всех K]]*наценка7[[#This Row],[Расчетная проектная площадь]],0)</f>
        <v>3989264</v>
      </c>
      <c r="AU120" s="286">
        <v>3989264</v>
      </c>
      <c r="AV120" s="286" t="b">
        <f>наценка7[[#This Row],[Аллио]]=наценка7[[#This Row],[Первичка тест]]</f>
        <v>1</v>
      </c>
    </row>
    <row r="121" spans="1:48" hidden="1" x14ac:dyDescent="0.25">
      <c r="A121" s="65">
        <v>119</v>
      </c>
      <c r="B121" s="2">
        <f>_xlfn.XLOOKUP(наценка7[[#This Row],[№]],Д402[№],Д402[Секция],"-",0)</f>
        <v>2</v>
      </c>
      <c r="C121" s="2">
        <f>_xlfn.XLOOKUP(наценка7[[#This Row],[№]],Д402[№],Д402[Этаж],"-",0)</f>
        <v>3</v>
      </c>
      <c r="D121" s="2">
        <f>_xlfn.XLOOKUP(наценка7[[#This Row],[№]],Д402[№],Д402[№ на этаже],"-",0)</f>
        <v>5</v>
      </c>
      <c r="E121" s="2">
        <f>_xlfn.XLOOKUP(наценка7[[#This Row],[№]],Д402[№],Д402[Тип кв],"-",0)</f>
        <v>2</v>
      </c>
      <c r="F121" s="51">
        <f>_xlfn.XLOOKUP(наценка7[[#This Row],[№]],Д402[№],Д402[Кухня],"-",0)</f>
        <v>12.38</v>
      </c>
      <c r="G121" s="51">
        <f>_xlfn.XLOOKUP(наценка7[[#This Row],[№]],Д402[№],Д402[Ванная],"-",0)</f>
        <v>4.1399999999999997</v>
      </c>
      <c r="H121" s="51" t="s">
        <v>87</v>
      </c>
      <c r="I121" s="51"/>
      <c r="J121" s="51"/>
      <c r="K121" s="51" t="s">
        <v>101</v>
      </c>
      <c r="L121" s="51"/>
      <c r="M121" s="51" t="s">
        <v>83</v>
      </c>
      <c r="N121" s="51"/>
      <c r="O121" s="51" t="s">
        <v>119</v>
      </c>
      <c r="P121" s="51"/>
      <c r="Q121" s="129"/>
      <c r="R121" s="129"/>
      <c r="S121" s="51"/>
      <c r="T121" s="51">
        <f>_xlfn.XLOOKUP(наценка7[[#This Row],[№]],Д402[№],Д402[Расчетная проектная площадь],"-",0)</f>
        <v>63.44</v>
      </c>
      <c r="U121" s="17">
        <f t="shared" si="2"/>
        <v>89000</v>
      </c>
      <c r="V12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1" s="18">
        <f>наценка7[[#This Row],[Цена м2 базовая]]*наценка7[[#This Row],[Базовой K]]</f>
        <v>113030</v>
      </c>
      <c r="X12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1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2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2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21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21" s="55" t="str">
        <f>IF(наценка7[[#This Row],[Потолок ]]="ДА",коэффициенты!$C$13,"")</f>
        <v/>
      </c>
      <c r="AG12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2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1" s="52">
        <f>SUM(наценка7[[#This Row],[еврокухня]:[Лифт]])*наценка7[[#This Row],[Цена м2 с БK]]+наценка7[[#This Row],[Цена м2 с БK]]</f>
        <v>122072.4</v>
      </c>
      <c r="AQ121" s="51">
        <f>VLOOKUP(наценка7[[#This Row],[№]],Д402[],COLUMN(Д402[[#This Row],[утв цена м2]]),0)</f>
        <v>120393.02</v>
      </c>
      <c r="AR121" s="3">
        <f>наценка7[[#This Row],[утв цена м2]]*наценка7[[#This Row],[Расчетная проектная площадь]]</f>
        <v>7637733.1887999997</v>
      </c>
      <c r="AS121" s="27" t="str">
        <f>VLOOKUP(наценка7[[#This Row],[№]],Д402[],COLUMN('Реестр ОН'!$BA$1),0)</f>
        <v>Свободно</v>
      </c>
      <c r="AT121" s="281">
        <f>ROUND(наценка7[[#This Row],[Цена м2 с учетом всех K]]*наценка7[[#This Row],[Расчетная проектная площадь]],0)</f>
        <v>7744273</v>
      </c>
      <c r="AU121" s="286">
        <v>7744273</v>
      </c>
      <c r="AV121" s="286" t="b">
        <f>наценка7[[#This Row],[Аллио]]=наценка7[[#This Row],[Первичка тест]]</f>
        <v>1</v>
      </c>
    </row>
    <row r="122" spans="1:48" hidden="1" x14ac:dyDescent="0.25">
      <c r="A122" s="65">
        <v>120</v>
      </c>
      <c r="B122" s="2">
        <f>_xlfn.XLOOKUP(наценка7[[#This Row],[№]],Д402[№],Д402[Секция],"-",0)</f>
        <v>2</v>
      </c>
      <c r="C122" s="2">
        <f>_xlfn.XLOOKUP(наценка7[[#This Row],[№]],Д402[№],Д402[Этаж],"-",0)</f>
        <v>3</v>
      </c>
      <c r="D122" s="2">
        <f>_xlfn.XLOOKUP(наценка7[[#This Row],[№]],Д402[№],Д402[№ на этаже],"-",0)</f>
        <v>6</v>
      </c>
      <c r="E122" s="2">
        <f>_xlfn.XLOOKUP(наценка7[[#This Row],[№]],Д402[№],Д402[Тип кв],"-",0)</f>
        <v>2</v>
      </c>
      <c r="F122" s="51">
        <f>_xlfn.XLOOKUP(наценка7[[#This Row],[№]],Д402[№],Д402[Кухня],"-",0)</f>
        <v>13.65</v>
      </c>
      <c r="G122" s="51">
        <f>_xlfn.XLOOKUP(наценка7[[#This Row],[№]],Д402[№],Д402[Ванная],"-",0)</f>
        <v>5.22</v>
      </c>
      <c r="H122" s="51" t="s">
        <v>84</v>
      </c>
      <c r="I122" s="51"/>
      <c r="J122" s="51"/>
      <c r="K122" s="51"/>
      <c r="L122" s="51"/>
      <c r="M122" s="51" t="s">
        <v>88</v>
      </c>
      <c r="N122" s="51"/>
      <c r="O122" s="51" t="s">
        <v>119</v>
      </c>
      <c r="P122" s="51"/>
      <c r="Q122" s="51" t="s">
        <v>101</v>
      </c>
      <c r="R122" s="129"/>
      <c r="S122" s="51"/>
      <c r="T122" s="51">
        <f>_xlfn.XLOOKUP(наценка7[[#This Row],[№]],Д402[№],Д402[Расчетная проектная площадь],"-",0)</f>
        <v>60.94</v>
      </c>
      <c r="U122" s="17">
        <f t="shared" si="2"/>
        <v>89000</v>
      </c>
      <c r="V12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2" s="18">
        <f>наценка7[[#This Row],[Цена м2 базовая]]*наценка7[[#This Row],[Базовой K]]</f>
        <v>113030</v>
      </c>
      <c r="X12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2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2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2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2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22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22" s="55" t="str">
        <f>IF(наценка7[[#This Row],[Потолок ]]="ДА",коэффициенты!$C$13,"")</f>
        <v/>
      </c>
      <c r="AG12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2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2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2" s="52">
        <f>SUM(наценка7[[#This Row],[еврокухня]:[Лифт]])*наценка7[[#This Row],[Цена м2 с БK]]+наценка7[[#This Row],[Цена м2 с БK]]</f>
        <v>126593.60000000001</v>
      </c>
      <c r="AQ122" s="51">
        <f>VLOOKUP(наценка7[[#This Row],[№]],Д402[],COLUMN(Д402[[#This Row],[утв цена м2]]),0)</f>
        <v>121967.69</v>
      </c>
      <c r="AR122" s="3">
        <f>наценка7[[#This Row],[утв цена м2]]*наценка7[[#This Row],[Расчетная проектная площадь]]</f>
        <v>7432711.0285999998</v>
      </c>
      <c r="AS122" s="27" t="str">
        <f>VLOOKUP(наценка7[[#This Row],[№]],Д402[],COLUMN('Реестр ОН'!$BA$1),0)</f>
        <v>Стр. Резерв</v>
      </c>
      <c r="AT122" s="281">
        <f>ROUND(наценка7[[#This Row],[Цена м2 с учетом всех K]]*наценка7[[#This Row],[Расчетная проектная площадь]],0)</f>
        <v>7714614</v>
      </c>
      <c r="AU122" s="286">
        <v>7714614</v>
      </c>
      <c r="AV122" s="286" t="b">
        <f>наценка7[[#This Row],[Аллио]]=наценка7[[#This Row],[Первичка тест]]</f>
        <v>1</v>
      </c>
    </row>
    <row r="123" spans="1:48" hidden="1" x14ac:dyDescent="0.25">
      <c r="A123" s="65">
        <v>121</v>
      </c>
      <c r="B123" s="2">
        <f>_xlfn.XLOOKUP(наценка7[[#This Row],[№]],Д402[№],Д402[Секция],"-",0)</f>
        <v>2</v>
      </c>
      <c r="C123" s="2">
        <f>_xlfn.XLOOKUP(наценка7[[#This Row],[№]],Д402[№],Д402[Этаж],"-",0)</f>
        <v>4</v>
      </c>
      <c r="D123" s="2">
        <f>_xlfn.XLOOKUP(наценка7[[#This Row],[№]],Д402[№],Д402[№ на этаже],"-",0)</f>
        <v>1</v>
      </c>
      <c r="E123" s="2">
        <f>_xlfn.XLOOKUP(наценка7[[#This Row],[№]],Д402[№],Д402[Тип кв],"-",0)</f>
        <v>2</v>
      </c>
      <c r="F123" s="51">
        <f>_xlfn.XLOOKUP(наценка7[[#This Row],[№]],Д402[№],Д402[Кухня],"-",0)</f>
        <v>14.29</v>
      </c>
      <c r="G123" s="51">
        <f>_xlfn.XLOOKUP(наценка7[[#This Row],[№]],Д402[№],Д402[Ванная],"-",0)</f>
        <v>4.5199999999999996</v>
      </c>
      <c r="H123" s="51" t="s">
        <v>84</v>
      </c>
      <c r="I123" s="51"/>
      <c r="J123" s="51"/>
      <c r="K123" s="51" t="s">
        <v>101</v>
      </c>
      <c r="L123" s="51"/>
      <c r="M123" s="51" t="s">
        <v>83</v>
      </c>
      <c r="N123" s="51" t="s">
        <v>101</v>
      </c>
      <c r="O123" s="51" t="s">
        <v>119</v>
      </c>
      <c r="P123" s="51"/>
      <c r="Q123" s="51" t="s">
        <v>101</v>
      </c>
      <c r="R123" s="129"/>
      <c r="S123" s="51" t="s">
        <v>101</v>
      </c>
      <c r="T123" s="51">
        <f>_xlfn.XLOOKUP(наценка7[[#This Row],[№]],Д402[№],Д402[Расчетная проектная площадь],"-",0)</f>
        <v>65.72</v>
      </c>
      <c r="U123" s="17">
        <f t="shared" si="2"/>
        <v>89000</v>
      </c>
      <c r="V12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3" s="18">
        <f>наценка7[[#This Row],[Цена м2 базовая]]*наценка7[[#This Row],[Базовой K]]</f>
        <v>113030</v>
      </c>
      <c r="X12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2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2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23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23" s="55" t="str">
        <f>IF(наценка7[[#This Row],[Потолок ]]="ДА",коэффициенты!$C$13,"")</f>
        <v/>
      </c>
      <c r="AG12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3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2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3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23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23" s="52">
        <f>SUM(наценка7[[#This Row],[еврокухня]:[Лифт]])*наценка7[[#This Row],[Цена м2 с БK]]+наценка7[[#This Row],[Цена м2 с БK]]</f>
        <v>119811.8</v>
      </c>
      <c r="AQ123" s="51">
        <f>VLOOKUP(наценка7[[#This Row],[№]],Д402[],COLUMN(Д402[[#This Row],[утв цена м2]]),0)</f>
        <v>121649.52</v>
      </c>
      <c r="AR123" s="3">
        <f>наценка7[[#This Row],[утв цена м2]]*наценка7[[#This Row],[Расчетная проектная площадь]]</f>
        <v>7994806.4544000002</v>
      </c>
      <c r="AS123" s="27" t="str">
        <f>VLOOKUP(наценка7[[#This Row],[№]],Д402[],COLUMN('Реестр ОН'!$BA$1),0)</f>
        <v>Стр. Резерв</v>
      </c>
      <c r="AT123" s="281">
        <f>ROUND(наценка7[[#This Row],[Цена м2 с учетом всех K]]*наценка7[[#This Row],[Расчетная проектная площадь]],0)</f>
        <v>7874031</v>
      </c>
      <c r="AU123" s="286">
        <v>7874031</v>
      </c>
      <c r="AV123" s="286" t="b">
        <f>наценка7[[#This Row],[Аллио]]=наценка7[[#This Row],[Первичка тест]]</f>
        <v>1</v>
      </c>
    </row>
    <row r="124" spans="1:48" hidden="1" x14ac:dyDescent="0.25">
      <c r="A124" s="65">
        <v>122</v>
      </c>
      <c r="B124" s="2">
        <f>_xlfn.XLOOKUP(наценка7[[#This Row],[№]],Д402[№],Д402[Секция],"-",0)</f>
        <v>2</v>
      </c>
      <c r="C124" s="2">
        <f>_xlfn.XLOOKUP(наценка7[[#This Row],[№]],Д402[№],Д402[Этаж],"-",0)</f>
        <v>4</v>
      </c>
      <c r="D124" s="2">
        <f>_xlfn.XLOOKUP(наценка7[[#This Row],[№]],Д402[№],Д402[№ на этаже],"-",0)</f>
        <v>2</v>
      </c>
      <c r="E124" s="2">
        <f>_xlfn.XLOOKUP(наценка7[[#This Row],[№]],Д402[№],Д402[Тип кв],"-",0)</f>
        <v>1</v>
      </c>
      <c r="F124" s="51">
        <f>_xlfn.XLOOKUP(наценка7[[#This Row],[№]],Д402[№],Д402[Кухня],"-",0)</f>
        <v>11.88</v>
      </c>
      <c r="G124" s="51">
        <f>_xlfn.XLOOKUP(наценка7[[#This Row],[№]],Д402[№],Д402[Ванная],"-",0)</f>
        <v>4.1399999999999997</v>
      </c>
      <c r="H124" s="51" t="s">
        <v>87</v>
      </c>
      <c r="I124" s="51"/>
      <c r="J124" s="51"/>
      <c r="K124" s="51" t="s">
        <v>101</v>
      </c>
      <c r="L124" s="51"/>
      <c r="M124" s="51" t="s">
        <v>83</v>
      </c>
      <c r="N124" s="51"/>
      <c r="O124" s="51" t="s">
        <v>119</v>
      </c>
      <c r="P124" s="51"/>
      <c r="Q124" s="129"/>
      <c r="R124" s="129"/>
      <c r="S124" s="51"/>
      <c r="T124" s="51">
        <f>_xlfn.XLOOKUP(наценка7[[#This Row],[№]],Д402[№],Д402[Расчетная проектная площадь],"-",0)</f>
        <v>36.630000000000003</v>
      </c>
      <c r="U124" s="17">
        <f t="shared" si="2"/>
        <v>89000</v>
      </c>
      <c r="V12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24" s="18">
        <f>наценка7[[#This Row],[Цена м2 базовая]]*наценка7[[#This Row],[Базовой K]]</f>
        <v>119260</v>
      </c>
      <c r="X12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2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24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24" s="55" t="str">
        <f>IF(наценка7[[#This Row],[Потолок ]]="ДА",коэффициенты!$C$13,"")</f>
        <v/>
      </c>
      <c r="AG12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2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2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4" s="52">
        <f>SUM(наценка7[[#This Row],[еврокухня]:[Лифт]])*наценка7[[#This Row],[Цена м2 с БK]]+наценка7[[#This Row],[Цена м2 с БK]]</f>
        <v>124030.39999999999</v>
      </c>
      <c r="AQ124" s="51">
        <f>VLOOKUP(наценка7[[#This Row],[№]],Д402[],COLUMN(Д402[[#This Row],[утв цена м2]]),0)</f>
        <v>129697.39</v>
      </c>
      <c r="AR124" s="3">
        <f>наценка7[[#This Row],[утв цена м2]]*наценка7[[#This Row],[Расчетная проектная площадь]]</f>
        <v>4750815.3957000002</v>
      </c>
      <c r="AS124" s="27" t="str">
        <f>VLOOKUP(наценка7[[#This Row],[№]],Д402[],COLUMN('Реестр ОН'!$BA$1),0)</f>
        <v>Стр. Резерв</v>
      </c>
      <c r="AT124" s="285">
        <f>ROUND(наценка7[[#This Row],[Цена м2 с учетом всех K]]*наценка7[[#This Row],[Расчетная проектная площадь]],0)</f>
        <v>4543234</v>
      </c>
      <c r="AU124" s="286">
        <v>4543234</v>
      </c>
      <c r="AV124" s="286" t="b">
        <f>наценка7[[#This Row],[Аллио]]=наценка7[[#This Row],[Первичка тест]]</f>
        <v>1</v>
      </c>
    </row>
    <row r="125" spans="1:48" hidden="1" x14ac:dyDescent="0.25">
      <c r="A125" s="65">
        <v>123</v>
      </c>
      <c r="B125" s="2">
        <f>_xlfn.XLOOKUP(наценка7[[#This Row],[№]],Д402[№],Д402[Секция],"-",0)</f>
        <v>2</v>
      </c>
      <c r="C125" s="2">
        <f>_xlfn.XLOOKUP(наценка7[[#This Row],[№]],Д402[№],Д402[Этаж],"-",0)</f>
        <v>4</v>
      </c>
      <c r="D125" s="2">
        <f>_xlfn.XLOOKUP(наценка7[[#This Row],[№]],Д402[№],Д402[№ на этаже],"-",0)</f>
        <v>3</v>
      </c>
      <c r="E125" s="2">
        <f>_xlfn.XLOOKUP(наценка7[[#This Row],[№]],Д402[№],Д402[Тип кв],"-",0)</f>
        <v>0</v>
      </c>
      <c r="F125" s="51">
        <f>_xlfn.XLOOKUP(наценка7[[#This Row],[№]],Д402[№],Д402[Кухня],"-",0)</f>
        <v>5.98</v>
      </c>
      <c r="G125" s="51">
        <f>_xlfn.XLOOKUP(наценка7[[#This Row],[№]],Д402[№],Д402[Ванная],"-",0)</f>
        <v>4.54</v>
      </c>
      <c r="H125" s="51" t="s">
        <v>87</v>
      </c>
      <c r="I125" s="51"/>
      <c r="J125" s="51"/>
      <c r="K125" s="51" t="s">
        <v>101</v>
      </c>
      <c r="L125" s="51" t="s">
        <v>119</v>
      </c>
      <c r="M125" s="51" t="s">
        <v>83</v>
      </c>
      <c r="N125" s="51"/>
      <c r="O125" s="51" t="s">
        <v>119</v>
      </c>
      <c r="P125" s="51"/>
      <c r="Q125" s="51" t="s">
        <v>101</v>
      </c>
      <c r="R125" s="51"/>
      <c r="S125" s="51"/>
      <c r="T125" s="51">
        <f>_xlfn.XLOOKUP(наценка7[[#This Row],[№]],Д402[№],Д402[Расчетная проектная площадь],"-",0)</f>
        <v>29.5</v>
      </c>
      <c r="U125" s="17">
        <f t="shared" si="2"/>
        <v>89000</v>
      </c>
      <c r="V12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25" s="18">
        <f>наценка7[[#This Row],[Цена м2 базовая]]*наценка7[[#This Row],[Базовой K]]</f>
        <v>139730</v>
      </c>
      <c r="X12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2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5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25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25" s="55" t="str">
        <f>IF(наценка7[[#This Row],[Потолок ]]="ДА",коэффициенты!$C$13,"")</f>
        <v/>
      </c>
      <c r="AG12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25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0.02</v>
      </c>
      <c r="AL12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2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5" s="52">
        <f>SUM(наценка7[[#This Row],[еврокухня]:[Лифт]])*наценка7[[#This Row],[Цена м2 с БK]]+наценка7[[#This Row],[Цена м2 с БK]]</f>
        <v>145319.20000000001</v>
      </c>
      <c r="AQ125" s="51">
        <f>VLOOKUP(наценка7[[#This Row],[№]],Д402[],COLUMN(Д402[[#This Row],[утв цена м2]]),0)</f>
        <v>146551.70000000001</v>
      </c>
      <c r="AR125" s="3">
        <f>наценка7[[#This Row],[утв цена м2]]*наценка7[[#This Row],[Расчетная проектная площадь]]</f>
        <v>4323275.1500000004</v>
      </c>
      <c r="AS125" s="27" t="str">
        <f>VLOOKUP(наценка7[[#This Row],[№]],Д402[],COLUMN('Реестр ОН'!$BA$1),0)</f>
        <v>Стр. Резерв</v>
      </c>
      <c r="AT125" s="281">
        <f>ROUND(наценка7[[#This Row],[Цена м2 с учетом всех K]]*наценка7[[#This Row],[Расчетная проектная площадь]],0)</f>
        <v>4286916</v>
      </c>
      <c r="AU125" s="286">
        <v>4286916</v>
      </c>
      <c r="AV125" s="286" t="b">
        <f>наценка7[[#This Row],[Аллио]]=наценка7[[#This Row],[Первичка тест]]</f>
        <v>1</v>
      </c>
    </row>
    <row r="126" spans="1:48" hidden="1" x14ac:dyDescent="0.25">
      <c r="A126" s="65">
        <v>124</v>
      </c>
      <c r="B126" s="2">
        <f>_xlfn.XLOOKUP(наценка7[[#This Row],[№]],Д402[№],Д402[Секция],"-",0)</f>
        <v>2</v>
      </c>
      <c r="C126" s="2">
        <f>_xlfn.XLOOKUP(наценка7[[#This Row],[№]],Д402[№],Д402[Этаж],"-",0)</f>
        <v>4</v>
      </c>
      <c r="D126" s="2">
        <f>_xlfn.XLOOKUP(наценка7[[#This Row],[№]],Д402[№],Д402[№ на этаже],"-",0)</f>
        <v>4</v>
      </c>
      <c r="E126" s="2">
        <f>_xlfn.XLOOKUP(наценка7[[#This Row],[№]],Д402[№],Д402[Тип кв],"-",0)</f>
        <v>0</v>
      </c>
      <c r="F126" s="51">
        <f>_xlfn.XLOOKUP(наценка7[[#This Row],[№]],Д402[№],Д402[Кухня],"-",0)</f>
        <v>5.98</v>
      </c>
      <c r="G126" s="51">
        <f>_xlfn.XLOOKUP(наценка7[[#This Row],[№]],Д402[№],Д402[Ванная],"-",0)</f>
        <v>4.54</v>
      </c>
      <c r="H126" s="51" t="s">
        <v>87</v>
      </c>
      <c r="I126" s="51"/>
      <c r="J126" s="51"/>
      <c r="K126" s="51" t="s">
        <v>101</v>
      </c>
      <c r="L126" s="51" t="s">
        <v>119</v>
      </c>
      <c r="M126" s="51" t="s">
        <v>83</v>
      </c>
      <c r="N126" s="51"/>
      <c r="O126" s="51" t="s">
        <v>119</v>
      </c>
      <c r="P126" s="51"/>
      <c r="Q126" s="129"/>
      <c r="R126" s="129"/>
      <c r="S126" s="51"/>
      <c r="T126" s="51">
        <f>_xlfn.XLOOKUP(наценка7[[#This Row],[№]],Д402[№],Д402[Расчетная проектная площадь],"-",0)</f>
        <v>27.99</v>
      </c>
      <c r="U126" s="17">
        <f t="shared" si="2"/>
        <v>89000</v>
      </c>
      <c r="V12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26" s="18">
        <f>наценка7[[#This Row],[Цена м2 базовая]]*наценка7[[#This Row],[Базовой K]]</f>
        <v>139730</v>
      </c>
      <c r="X12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2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26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26" s="55" t="str">
        <f>IF(наценка7[[#This Row],[Потолок ]]="ДА",коэффициенты!$C$13,"")</f>
        <v/>
      </c>
      <c r="AG12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2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26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2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6" s="52">
        <f>SUM(наценка7[[#This Row],[еврокухня]:[Лифт]])*наценка7[[#This Row],[Цена м2 с БK]]+наценка7[[#This Row],[Цена м2 с БK]]</f>
        <v>142524.6</v>
      </c>
      <c r="AQ126" s="51">
        <f>VLOOKUP(наценка7[[#This Row],[№]],Д402[],COLUMN(Д402[[#This Row],[утв цена м2]]),0)</f>
        <v>143757.1</v>
      </c>
      <c r="AR126" s="3">
        <f>наценка7[[#This Row],[утв цена м2]]*наценка7[[#This Row],[Расчетная проектная площадь]]</f>
        <v>4023761.2289999998</v>
      </c>
      <c r="AS126" s="27" t="str">
        <f>VLOOKUP(наценка7[[#This Row],[№]],Д402[],COLUMN('Реестр ОН'!$BA$1),0)</f>
        <v>Стр. Резерв</v>
      </c>
      <c r="AT126" s="281">
        <f>ROUND(наценка7[[#This Row],[Цена м2 с учетом всех K]]*наценка7[[#This Row],[Расчетная проектная площадь]],0)</f>
        <v>3989264</v>
      </c>
      <c r="AU126" s="286">
        <v>3989264</v>
      </c>
      <c r="AV126" s="286" t="b">
        <f>наценка7[[#This Row],[Аллио]]=наценка7[[#This Row],[Первичка тест]]</f>
        <v>1</v>
      </c>
    </row>
    <row r="127" spans="1:48" hidden="1" x14ac:dyDescent="0.25">
      <c r="A127" s="65">
        <v>125</v>
      </c>
      <c r="B127" s="2">
        <f>_xlfn.XLOOKUP(наценка7[[#This Row],[№]],Д402[№],Д402[Секция],"-",0)</f>
        <v>2</v>
      </c>
      <c r="C127" s="2">
        <f>_xlfn.XLOOKUP(наценка7[[#This Row],[№]],Д402[№],Д402[Этаж],"-",0)</f>
        <v>4</v>
      </c>
      <c r="D127" s="2">
        <f>_xlfn.XLOOKUP(наценка7[[#This Row],[№]],Д402[№],Д402[№ на этаже],"-",0)</f>
        <v>5</v>
      </c>
      <c r="E127" s="2">
        <f>_xlfn.XLOOKUP(наценка7[[#This Row],[№]],Д402[№],Д402[Тип кв],"-",0)</f>
        <v>2</v>
      </c>
      <c r="F127" s="51">
        <f>_xlfn.XLOOKUP(наценка7[[#This Row],[№]],Д402[№],Д402[Кухня],"-",0)</f>
        <v>12.38</v>
      </c>
      <c r="G127" s="51">
        <f>_xlfn.XLOOKUP(наценка7[[#This Row],[№]],Д402[№],Д402[Ванная],"-",0)</f>
        <v>4.1399999999999997</v>
      </c>
      <c r="H127" s="51" t="s">
        <v>87</v>
      </c>
      <c r="I127" s="51"/>
      <c r="J127" s="51"/>
      <c r="K127" s="51" t="s">
        <v>101</v>
      </c>
      <c r="L127" s="51"/>
      <c r="M127" s="51" t="s">
        <v>83</v>
      </c>
      <c r="N127" s="51"/>
      <c r="O127" s="51" t="s">
        <v>119</v>
      </c>
      <c r="P127" s="51"/>
      <c r="Q127" s="129"/>
      <c r="R127" s="129"/>
      <c r="S127" s="51"/>
      <c r="T127" s="51">
        <f>_xlfn.XLOOKUP(наценка7[[#This Row],[№]],Д402[№],Д402[Расчетная проектная площадь],"-",0)</f>
        <v>63.44</v>
      </c>
      <c r="U127" s="17">
        <f t="shared" si="2"/>
        <v>89000</v>
      </c>
      <c r="V12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7" s="18">
        <f>наценка7[[#This Row],[Цена м2 базовая]]*наценка7[[#This Row],[Базовой K]]</f>
        <v>113030</v>
      </c>
      <c r="X12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7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2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2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27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27" s="55" t="str">
        <f>IF(наценка7[[#This Row],[Потолок ]]="ДА",коэффициенты!$C$13,"")</f>
        <v/>
      </c>
      <c r="AG12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2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7" s="52">
        <f>SUM(наценка7[[#This Row],[еврокухня]:[Лифт]])*наценка7[[#This Row],[Цена м2 с БK]]+наценка7[[#This Row],[Цена м2 с БK]]</f>
        <v>122072.4</v>
      </c>
      <c r="AQ127" s="51">
        <f>VLOOKUP(наценка7[[#This Row],[№]],Д402[],COLUMN(Д402[[#This Row],[утв цена м2]]),0)</f>
        <v>120393.02</v>
      </c>
      <c r="AR127" s="3">
        <f>наценка7[[#This Row],[утв цена м2]]*наценка7[[#This Row],[Расчетная проектная площадь]]</f>
        <v>7637733.1887999997</v>
      </c>
      <c r="AS127" s="27" t="str">
        <f>VLOOKUP(наценка7[[#This Row],[№]],Д402[],COLUMN('Реестр ОН'!$BA$1),0)</f>
        <v>Стр. Резерв</v>
      </c>
      <c r="AT127" s="281">
        <f>ROUND(наценка7[[#This Row],[Цена м2 с учетом всех K]]*наценка7[[#This Row],[Расчетная проектная площадь]],0)</f>
        <v>7744273</v>
      </c>
      <c r="AU127" s="286">
        <v>7744273</v>
      </c>
      <c r="AV127" s="286" t="b">
        <f>наценка7[[#This Row],[Аллио]]=наценка7[[#This Row],[Первичка тест]]</f>
        <v>1</v>
      </c>
    </row>
    <row r="128" spans="1:48" hidden="1" x14ac:dyDescent="0.25">
      <c r="A128" s="65">
        <v>126</v>
      </c>
      <c r="B128" s="2">
        <f>_xlfn.XLOOKUP(наценка7[[#This Row],[№]],Д402[№],Д402[Секция],"-",0)</f>
        <v>2</v>
      </c>
      <c r="C128" s="2">
        <f>_xlfn.XLOOKUP(наценка7[[#This Row],[№]],Д402[№],Д402[Этаж],"-",0)</f>
        <v>4</v>
      </c>
      <c r="D128" s="2">
        <f>_xlfn.XLOOKUP(наценка7[[#This Row],[№]],Д402[№],Д402[№ на этаже],"-",0)</f>
        <v>6</v>
      </c>
      <c r="E128" s="2">
        <f>_xlfn.XLOOKUP(наценка7[[#This Row],[№]],Д402[№],Д402[Тип кв],"-",0)</f>
        <v>2</v>
      </c>
      <c r="F128" s="51">
        <f>_xlfn.XLOOKUP(наценка7[[#This Row],[№]],Д402[№],Д402[Кухня],"-",0)</f>
        <v>13.65</v>
      </c>
      <c r="G128" s="51">
        <f>_xlfn.XLOOKUP(наценка7[[#This Row],[№]],Д402[№],Д402[Ванная],"-",0)</f>
        <v>5.22</v>
      </c>
      <c r="H128" s="51" t="s">
        <v>84</v>
      </c>
      <c r="I128" s="51"/>
      <c r="J128" s="51"/>
      <c r="K128" s="51"/>
      <c r="L128" s="51"/>
      <c r="M128" s="51" t="s">
        <v>88</v>
      </c>
      <c r="N128" s="51"/>
      <c r="O128" s="51" t="s">
        <v>119</v>
      </c>
      <c r="P128" s="51"/>
      <c r="Q128" s="51" t="s">
        <v>101</v>
      </c>
      <c r="R128" s="129"/>
      <c r="S128" s="51"/>
      <c r="T128" s="51">
        <f>_xlfn.XLOOKUP(наценка7[[#This Row],[№]],Д402[№],Д402[Расчетная проектная площадь],"-",0)</f>
        <v>60.94</v>
      </c>
      <c r="U128" s="17">
        <f t="shared" si="2"/>
        <v>89000</v>
      </c>
      <c r="V12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8" s="18">
        <f>наценка7[[#This Row],[Цена м2 базовая]]*наценка7[[#This Row],[Базовой K]]</f>
        <v>113030</v>
      </c>
      <c r="X12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28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2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8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2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2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2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28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28" s="55" t="str">
        <f>IF(наценка7[[#This Row],[Потолок ]]="ДА",коэффициенты!$C$13,"")</f>
        <v/>
      </c>
      <c r="AG12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8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2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2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28" s="52">
        <f>SUM(наценка7[[#This Row],[еврокухня]:[Лифт]])*наценка7[[#This Row],[Цена м2 с БK]]+наценка7[[#This Row],[Цена м2 с БK]]</f>
        <v>126593.60000000001</v>
      </c>
      <c r="AQ128" s="51">
        <f>VLOOKUP(наценка7[[#This Row],[№]],Д402[],COLUMN(Д402[[#This Row],[утв цена м2]]),0)</f>
        <v>118415.23</v>
      </c>
      <c r="AR128" s="3">
        <f>наценка7[[#This Row],[утв цена м2]]*наценка7[[#This Row],[Расчетная проектная площадь]]</f>
        <v>7216224.1161999991</v>
      </c>
      <c r="AS128" s="27" t="str">
        <f>VLOOKUP(наценка7[[#This Row],[№]],Д402[],COLUMN('Реестр ОН'!$BA$1),0)</f>
        <v>Продажа</v>
      </c>
      <c r="AT128" s="281">
        <f>ROUND(наценка7[[#This Row],[Цена м2 с учетом всех K]]*наценка7[[#This Row],[Расчетная проектная площадь]],0)</f>
        <v>7714614</v>
      </c>
      <c r="AU128" s="286">
        <v>7714614</v>
      </c>
      <c r="AV128" s="286" t="b">
        <f>наценка7[[#This Row],[Аллио]]=наценка7[[#This Row],[Первичка тест]]</f>
        <v>1</v>
      </c>
    </row>
    <row r="129" spans="1:48" hidden="1" x14ac:dyDescent="0.25">
      <c r="A129" s="65">
        <v>127</v>
      </c>
      <c r="B129" s="2">
        <f>_xlfn.XLOOKUP(наценка7[[#This Row],[№]],Д402[№],Д402[Секция],"-",0)</f>
        <v>2</v>
      </c>
      <c r="C129" s="2">
        <f>_xlfn.XLOOKUP(наценка7[[#This Row],[№]],Д402[№],Д402[Этаж],"-",0)</f>
        <v>5</v>
      </c>
      <c r="D129" s="2">
        <f>_xlfn.XLOOKUP(наценка7[[#This Row],[№]],Д402[№],Д402[№ на этаже],"-",0)</f>
        <v>1</v>
      </c>
      <c r="E129" s="2">
        <f>_xlfn.XLOOKUP(наценка7[[#This Row],[№]],Д402[№],Д402[Тип кв],"-",0)</f>
        <v>2</v>
      </c>
      <c r="F129" s="51">
        <f>_xlfn.XLOOKUP(наценка7[[#This Row],[№]],Д402[№],Д402[Кухня],"-",0)</f>
        <v>14.29</v>
      </c>
      <c r="G129" s="51">
        <f>_xlfn.XLOOKUP(наценка7[[#This Row],[№]],Д402[№],Д402[Ванная],"-",0)</f>
        <v>4.5199999999999996</v>
      </c>
      <c r="H129" s="51" t="s">
        <v>84</v>
      </c>
      <c r="I129" s="51"/>
      <c r="J129" s="51"/>
      <c r="K129" s="51" t="s">
        <v>101</v>
      </c>
      <c r="L129" s="51"/>
      <c r="M129" s="51" t="s">
        <v>83</v>
      </c>
      <c r="N129" s="51" t="s">
        <v>101</v>
      </c>
      <c r="O129" s="51" t="s">
        <v>119</v>
      </c>
      <c r="P129" s="51" t="s">
        <v>101</v>
      </c>
      <c r="Q129" s="51" t="s">
        <v>101</v>
      </c>
      <c r="R129" s="129"/>
      <c r="S129" s="51" t="s">
        <v>101</v>
      </c>
      <c r="T129" s="51">
        <f>_xlfn.XLOOKUP(наценка7[[#This Row],[№]],Д402[№],Д402[Расчетная проектная площадь],"-",0)</f>
        <v>65.72</v>
      </c>
      <c r="U129" s="17">
        <f t="shared" si="2"/>
        <v>89000</v>
      </c>
      <c r="V12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29" s="18">
        <f>наценка7[[#This Row],[Цена м2 базовая]]*наценка7[[#This Row],[Базовой K]]</f>
        <v>113030</v>
      </c>
      <c r="X12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2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2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2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2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2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2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2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29" s="55" t="str">
        <f>IF(наценка7[[#This Row],[Потолок ]]="ДА",коэффициенты!$C$13,"")</f>
        <v/>
      </c>
      <c r="AG12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2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2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2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29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2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2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29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29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29" s="52">
        <f>SUM(наценка7[[#This Row],[еврокухня]:[Лифт]])*наценка7[[#This Row],[Цена м2 с БK]]+наценка7[[#This Row],[Цена м2 с БK]]</f>
        <v>119811.8</v>
      </c>
      <c r="AQ129" s="51">
        <f>VLOOKUP(наценка7[[#This Row],[№]],Д402[],COLUMN(Д402[[#This Row],[утв цена м2]]),0)</f>
        <v>121649.52</v>
      </c>
      <c r="AR129" s="3">
        <f>наценка7[[#This Row],[утв цена м2]]*наценка7[[#This Row],[Расчетная проектная площадь]]</f>
        <v>7994806.4544000002</v>
      </c>
      <c r="AS129" s="27" t="str">
        <f>VLOOKUP(наценка7[[#This Row],[№]],Д402[],COLUMN('Реестр ОН'!$BA$1),0)</f>
        <v>Стр. Резерв</v>
      </c>
      <c r="AT129" s="281">
        <f>ROUND(наценка7[[#This Row],[Цена м2 с учетом всех K]]*наценка7[[#This Row],[Расчетная проектная площадь]],0)</f>
        <v>7874031</v>
      </c>
      <c r="AU129" s="286">
        <v>7874031</v>
      </c>
      <c r="AV129" s="286" t="b">
        <f>наценка7[[#This Row],[Аллио]]=наценка7[[#This Row],[Первичка тест]]</f>
        <v>1</v>
      </c>
    </row>
    <row r="130" spans="1:48" hidden="1" x14ac:dyDescent="0.25">
      <c r="A130" s="65">
        <v>128</v>
      </c>
      <c r="B130" s="2">
        <f>_xlfn.XLOOKUP(наценка7[[#This Row],[№]],Д402[№],Д402[Секция],"-",0)</f>
        <v>2</v>
      </c>
      <c r="C130" s="2">
        <f>_xlfn.XLOOKUP(наценка7[[#This Row],[№]],Д402[№],Д402[Этаж],"-",0)</f>
        <v>5</v>
      </c>
      <c r="D130" s="2">
        <f>_xlfn.XLOOKUP(наценка7[[#This Row],[№]],Д402[№],Д402[№ на этаже],"-",0)</f>
        <v>2</v>
      </c>
      <c r="E130" s="2">
        <f>_xlfn.XLOOKUP(наценка7[[#This Row],[№]],Д402[№],Д402[Тип кв],"-",0)</f>
        <v>1</v>
      </c>
      <c r="F130" s="51">
        <f>_xlfn.XLOOKUP(наценка7[[#This Row],[№]],Д402[№],Д402[Кухня],"-",0)</f>
        <v>11.88</v>
      </c>
      <c r="G130" s="51">
        <f>_xlfn.XLOOKUP(наценка7[[#This Row],[№]],Д402[№],Д402[Ванная],"-",0)</f>
        <v>4.1399999999999997</v>
      </c>
      <c r="H130" s="51" t="s">
        <v>87</v>
      </c>
      <c r="I130" s="51"/>
      <c r="J130" s="51"/>
      <c r="K130" s="51" t="s">
        <v>101</v>
      </c>
      <c r="L130" s="51"/>
      <c r="M130" s="51" t="s">
        <v>83</v>
      </c>
      <c r="N130" s="51"/>
      <c r="O130" s="51" t="s">
        <v>119</v>
      </c>
      <c r="P130" s="51" t="s">
        <v>101</v>
      </c>
      <c r="Q130" s="129"/>
      <c r="R130" s="129"/>
      <c r="S130" s="51"/>
      <c r="T130" s="51">
        <f>_xlfn.XLOOKUP(наценка7[[#This Row],[№]],Д402[№],Д402[Расчетная проектная площадь],"-",0)</f>
        <v>36.630000000000003</v>
      </c>
      <c r="U130" s="17">
        <f t="shared" si="2"/>
        <v>89000</v>
      </c>
      <c r="V13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30" s="18">
        <f>наценка7[[#This Row],[Цена м2 базовая]]*наценка7[[#This Row],[Базовой K]]</f>
        <v>119260</v>
      </c>
      <c r="X13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3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0" s="55" t="str">
        <f>IF(наценка7[[#This Row],[Потолок ]]="ДА",коэффициенты!$C$13,"")</f>
        <v/>
      </c>
      <c r="AG13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0" s="52">
        <f>SUM(наценка7[[#This Row],[еврокухня]:[Лифт]])*наценка7[[#This Row],[Цена м2 с БK]]+наценка7[[#This Row],[Цена м2 с БK]]</f>
        <v>125223</v>
      </c>
      <c r="AQ130" s="51">
        <f>VLOOKUP(наценка7[[#This Row],[№]],Д402[],COLUMN(Д402[[#This Row],[утв цена м2]]),0)</f>
        <v>130932.21</v>
      </c>
      <c r="AR130" s="3">
        <f>наценка7[[#This Row],[утв цена м2]]*наценка7[[#This Row],[Расчетная проектная площадь]]</f>
        <v>4796046.8523000004</v>
      </c>
      <c r="AS130" s="27" t="str">
        <f>VLOOKUP(наценка7[[#This Row],[№]],Д402[],COLUMN('Реестр ОН'!$BA$1),0)</f>
        <v>Стр. Резерв</v>
      </c>
      <c r="AT130" s="285">
        <f>ROUND(наценка7[[#This Row],[Цена м2 с учетом всех K]]*наценка7[[#This Row],[Расчетная проектная площадь]],0)</f>
        <v>4586918</v>
      </c>
      <c r="AU130" s="286">
        <v>4586918</v>
      </c>
      <c r="AV130" s="286" t="b">
        <f>наценка7[[#This Row],[Аллио]]=наценка7[[#This Row],[Первичка тест]]</f>
        <v>1</v>
      </c>
    </row>
    <row r="131" spans="1:48" hidden="1" x14ac:dyDescent="0.25">
      <c r="A131" s="65">
        <v>129</v>
      </c>
      <c r="B131" s="2">
        <f>_xlfn.XLOOKUP(наценка7[[#This Row],[№]],Д402[№],Д402[Секция],"-",0)</f>
        <v>2</v>
      </c>
      <c r="C131" s="2">
        <f>_xlfn.XLOOKUP(наценка7[[#This Row],[№]],Д402[№],Д402[Этаж],"-",0)</f>
        <v>5</v>
      </c>
      <c r="D131" s="2">
        <f>_xlfn.XLOOKUP(наценка7[[#This Row],[№]],Д402[№],Д402[№ на этаже],"-",0)</f>
        <v>3</v>
      </c>
      <c r="E131" s="2">
        <f>_xlfn.XLOOKUP(наценка7[[#This Row],[№]],Д402[№],Д402[Тип кв],"-",0)</f>
        <v>0</v>
      </c>
      <c r="F131" s="51">
        <f>_xlfn.XLOOKUP(наценка7[[#This Row],[№]],Д402[№],Д402[Кухня],"-",0)</f>
        <v>5.98</v>
      </c>
      <c r="G131" s="51">
        <f>_xlfn.XLOOKUP(наценка7[[#This Row],[№]],Д402[№],Д402[Ванная],"-",0)</f>
        <v>4.54</v>
      </c>
      <c r="H131" s="51" t="s">
        <v>87</v>
      </c>
      <c r="I131" s="51"/>
      <c r="J131" s="51"/>
      <c r="K131" s="51" t="s">
        <v>101</v>
      </c>
      <c r="L131" s="51" t="s">
        <v>119</v>
      </c>
      <c r="M131" s="51" t="s">
        <v>83</v>
      </c>
      <c r="N131" s="51"/>
      <c r="O131" s="51" t="s">
        <v>119</v>
      </c>
      <c r="P131" s="51"/>
      <c r="Q131" s="129"/>
      <c r="R131" s="129"/>
      <c r="S131" s="51"/>
      <c r="T131" s="51">
        <f>_xlfn.XLOOKUP(наценка7[[#This Row],[№]],Д402[№],Д402[Расчетная проектная площадь],"-",0)</f>
        <v>29.5</v>
      </c>
      <c r="U131" s="17">
        <f t="shared" si="2"/>
        <v>89000</v>
      </c>
      <c r="V13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31" s="18">
        <f>наценка7[[#This Row],[Цена м2 базовая]]*наценка7[[#This Row],[Базовой K]]</f>
        <v>139730</v>
      </c>
      <c r="X13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3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1" s="55" t="str">
        <f>IF(наценка7[[#This Row],[Потолок ]]="ДА",коэффициенты!$C$13,"")</f>
        <v/>
      </c>
      <c r="AG13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1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3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1" s="52">
        <f>SUM(наценка7[[#This Row],[еврокухня]:[Лифт]])*наценка7[[#This Row],[Цена м2 с БK]]+наценка7[[#This Row],[Цена м2 с БK]]</f>
        <v>142524.6</v>
      </c>
      <c r="AQ131" s="51">
        <f>VLOOKUP(наценка7[[#This Row],[№]],Д402[],COLUMN(Д402[[#This Row],[утв цена м2]]),0)</f>
        <v>143757.1</v>
      </c>
      <c r="AR131" s="3">
        <f>наценка7[[#This Row],[утв цена м2]]*наценка7[[#This Row],[Расчетная проектная площадь]]</f>
        <v>4240834.45</v>
      </c>
      <c r="AS131" s="27" t="str">
        <f>VLOOKUP(наценка7[[#This Row],[№]],Д402[],COLUMN('Реестр ОН'!$BA$1),0)</f>
        <v>Стр. Резерв</v>
      </c>
      <c r="AT131" s="281">
        <f>ROUND(наценка7[[#This Row],[Цена м2 с учетом всех K]]*наценка7[[#This Row],[Расчетная проектная площадь]],0)</f>
        <v>4204476</v>
      </c>
      <c r="AU131" s="286">
        <v>4204476</v>
      </c>
      <c r="AV131" s="286" t="b">
        <f>наценка7[[#This Row],[Аллио]]=наценка7[[#This Row],[Первичка тест]]</f>
        <v>1</v>
      </c>
    </row>
    <row r="132" spans="1:48" hidden="1" x14ac:dyDescent="0.25">
      <c r="A132" s="65">
        <v>130</v>
      </c>
      <c r="B132" s="2">
        <f>_xlfn.XLOOKUP(наценка7[[#This Row],[№]],Д402[№],Д402[Секция],"-",0)</f>
        <v>2</v>
      </c>
      <c r="C132" s="2">
        <f>_xlfn.XLOOKUP(наценка7[[#This Row],[№]],Д402[№],Д402[Этаж],"-",0)</f>
        <v>5</v>
      </c>
      <c r="D132" s="2">
        <f>_xlfn.XLOOKUP(наценка7[[#This Row],[№]],Д402[№],Д402[№ на этаже],"-",0)</f>
        <v>4</v>
      </c>
      <c r="E132" s="2">
        <f>_xlfn.XLOOKUP(наценка7[[#This Row],[№]],Д402[№],Д402[Тип кв],"-",0)</f>
        <v>0</v>
      </c>
      <c r="F132" s="51">
        <f>_xlfn.XLOOKUP(наценка7[[#This Row],[№]],Д402[№],Д402[Кухня],"-",0)</f>
        <v>5.98</v>
      </c>
      <c r="G132" s="51">
        <f>_xlfn.XLOOKUP(наценка7[[#This Row],[№]],Д402[№],Д402[Ванная],"-",0)</f>
        <v>4.54</v>
      </c>
      <c r="H132" s="51" t="s">
        <v>87</v>
      </c>
      <c r="I132" s="51"/>
      <c r="J132" s="51"/>
      <c r="K132" s="51" t="s">
        <v>101</v>
      </c>
      <c r="L132" s="51" t="s">
        <v>119</v>
      </c>
      <c r="M132" s="51" t="s">
        <v>83</v>
      </c>
      <c r="N132" s="51"/>
      <c r="O132" s="51" t="s">
        <v>119</v>
      </c>
      <c r="P132" s="51"/>
      <c r="Q132" s="129"/>
      <c r="R132" s="129"/>
      <c r="S132" s="51"/>
      <c r="T132" s="51">
        <f>_xlfn.XLOOKUP(наценка7[[#This Row],[№]],Д402[№],Д402[Расчетная проектная площадь],"-",0)</f>
        <v>27.99</v>
      </c>
      <c r="U132" s="17">
        <f t="shared" si="2"/>
        <v>89000</v>
      </c>
      <c r="V13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32" s="18">
        <f>наценка7[[#This Row],[Цена м2 базовая]]*наценка7[[#This Row],[Базовой K]]</f>
        <v>139730</v>
      </c>
      <c r="X13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3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2" s="55" t="str">
        <f>IF(наценка7[[#This Row],[Потолок ]]="ДА",коэффициенты!$C$13,"")</f>
        <v/>
      </c>
      <c r="AG13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2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3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2" s="52">
        <f>SUM(наценка7[[#This Row],[еврокухня]:[Лифт]])*наценка7[[#This Row],[Цена м2 с БK]]+наценка7[[#This Row],[Цена м2 с БK]]</f>
        <v>142524.6</v>
      </c>
      <c r="AQ132" s="51">
        <f>VLOOKUP(наценка7[[#This Row],[№]],Д402[],COLUMN(Д402[[#This Row],[утв цена м2]]),0)</f>
        <v>143757.1</v>
      </c>
      <c r="AR132" s="3">
        <f>наценка7[[#This Row],[утв цена м2]]*наценка7[[#This Row],[Расчетная проектная площадь]]</f>
        <v>4023761.2289999998</v>
      </c>
      <c r="AS132" s="27" t="str">
        <f>VLOOKUP(наценка7[[#This Row],[№]],Д402[],COLUMN('Реестр ОН'!$BA$1),0)</f>
        <v>Стр. Резерв</v>
      </c>
      <c r="AT132" s="281">
        <f>ROUND(наценка7[[#This Row],[Цена м2 с учетом всех K]]*наценка7[[#This Row],[Расчетная проектная площадь]],0)</f>
        <v>3989264</v>
      </c>
      <c r="AU132" s="286">
        <v>3989264</v>
      </c>
      <c r="AV132" s="286" t="b">
        <f>наценка7[[#This Row],[Аллио]]=наценка7[[#This Row],[Первичка тест]]</f>
        <v>1</v>
      </c>
    </row>
    <row r="133" spans="1:48" hidden="1" x14ac:dyDescent="0.25">
      <c r="A133" s="65">
        <v>131</v>
      </c>
      <c r="B133" s="2">
        <f>_xlfn.XLOOKUP(наценка7[[#This Row],[№]],Д402[№],Д402[Секция],"-",0)</f>
        <v>2</v>
      </c>
      <c r="C133" s="2">
        <f>_xlfn.XLOOKUP(наценка7[[#This Row],[№]],Д402[№],Д402[Этаж],"-",0)</f>
        <v>5</v>
      </c>
      <c r="D133" s="2">
        <f>_xlfn.XLOOKUP(наценка7[[#This Row],[№]],Д402[№],Д402[№ на этаже],"-",0)</f>
        <v>5</v>
      </c>
      <c r="E133" s="2">
        <f>_xlfn.XLOOKUP(наценка7[[#This Row],[№]],Д402[№],Д402[Тип кв],"-",0)</f>
        <v>2</v>
      </c>
      <c r="F133" s="51">
        <f>_xlfn.XLOOKUP(наценка7[[#This Row],[№]],Д402[№],Д402[Кухня],"-",0)</f>
        <v>12.38</v>
      </c>
      <c r="G133" s="51">
        <f>_xlfn.XLOOKUP(наценка7[[#This Row],[№]],Д402[№],Д402[Ванная],"-",0)</f>
        <v>4.1399999999999997</v>
      </c>
      <c r="H133" s="51" t="s">
        <v>87</v>
      </c>
      <c r="I133" s="51"/>
      <c r="J133" s="51"/>
      <c r="K133" s="51" t="s">
        <v>101</v>
      </c>
      <c r="L133" s="51"/>
      <c r="M133" s="51" t="s">
        <v>83</v>
      </c>
      <c r="N133" s="51"/>
      <c r="O133" s="51" t="s">
        <v>119</v>
      </c>
      <c r="P133" s="51" t="s">
        <v>101</v>
      </c>
      <c r="Q133" s="129"/>
      <c r="R133" s="129"/>
      <c r="S133" s="51"/>
      <c r="T133" s="51">
        <f>_xlfn.XLOOKUP(наценка7[[#This Row],[№]],Д402[№],Д402[Расчетная проектная площадь],"-",0)</f>
        <v>63.44</v>
      </c>
      <c r="U133" s="17">
        <f t="shared" si="2"/>
        <v>89000</v>
      </c>
      <c r="V13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33" s="18">
        <f>наценка7[[#This Row],[Цена м2 базовая]]*наценка7[[#This Row],[Базовой K]]</f>
        <v>113030</v>
      </c>
      <c r="X13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3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3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3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3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3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3" s="55" t="str">
        <f>IF(наценка7[[#This Row],[Потолок ]]="ДА",коэффициенты!$C$13,"")</f>
        <v/>
      </c>
      <c r="AG13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3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3" s="52">
        <f>SUM(наценка7[[#This Row],[еврокухня]:[Лифт]])*наценка7[[#This Row],[Цена м2 с БK]]+наценка7[[#This Row],[Цена м2 с БK]]</f>
        <v>122072.4</v>
      </c>
      <c r="AQ133" s="51">
        <f>VLOOKUP(наценка7[[#This Row],[№]],Д402[],COLUMN(Д402[[#This Row],[утв цена м2]]),0)</f>
        <v>120393.02</v>
      </c>
      <c r="AR133" s="3">
        <f>наценка7[[#This Row],[утв цена м2]]*наценка7[[#This Row],[Расчетная проектная площадь]]</f>
        <v>7637733.1887999997</v>
      </c>
      <c r="AS133" s="27" t="str">
        <f>VLOOKUP(наценка7[[#This Row],[№]],Д402[],COLUMN('Реестр ОН'!$BA$1),0)</f>
        <v>Стр. Резерв</v>
      </c>
      <c r="AT133" s="281">
        <f>ROUND(наценка7[[#This Row],[Цена м2 с учетом всех K]]*наценка7[[#This Row],[Расчетная проектная площадь]],0)</f>
        <v>7744273</v>
      </c>
      <c r="AU133" s="286">
        <v>7744273</v>
      </c>
      <c r="AV133" s="286" t="b">
        <f>наценка7[[#This Row],[Аллио]]=наценка7[[#This Row],[Первичка тест]]</f>
        <v>1</v>
      </c>
    </row>
    <row r="134" spans="1:48" hidden="1" x14ac:dyDescent="0.25">
      <c r="A134" s="65">
        <v>132</v>
      </c>
      <c r="B134" s="2">
        <f>_xlfn.XLOOKUP(наценка7[[#This Row],[№]],Д402[№],Д402[Секция],"-",0)</f>
        <v>2</v>
      </c>
      <c r="C134" s="2">
        <f>_xlfn.XLOOKUP(наценка7[[#This Row],[№]],Д402[№],Д402[Этаж],"-",0)</f>
        <v>5</v>
      </c>
      <c r="D134" s="2">
        <f>_xlfn.XLOOKUP(наценка7[[#This Row],[№]],Д402[№],Д402[№ на этаже],"-",0)</f>
        <v>6</v>
      </c>
      <c r="E134" s="2">
        <f>_xlfn.XLOOKUP(наценка7[[#This Row],[№]],Д402[№],Д402[Тип кв],"-",0)</f>
        <v>2</v>
      </c>
      <c r="F134" s="51">
        <f>_xlfn.XLOOKUP(наценка7[[#This Row],[№]],Д402[№],Д402[Кухня],"-",0)</f>
        <v>13.65</v>
      </c>
      <c r="G134" s="51">
        <f>_xlfn.XLOOKUP(наценка7[[#This Row],[№]],Д402[№],Д402[Ванная],"-",0)</f>
        <v>5.22</v>
      </c>
      <c r="H134" s="51" t="s">
        <v>84</v>
      </c>
      <c r="I134" s="51"/>
      <c r="J134" s="51"/>
      <c r="K134" s="51"/>
      <c r="L134" s="51"/>
      <c r="M134" s="51" t="s">
        <v>88</v>
      </c>
      <c r="N134" s="51"/>
      <c r="O134" s="51" t="s">
        <v>119</v>
      </c>
      <c r="P134" s="51" t="s">
        <v>101</v>
      </c>
      <c r="Q134" s="51" t="s">
        <v>101</v>
      </c>
      <c r="R134" s="129"/>
      <c r="S134" s="51"/>
      <c r="T134" s="51">
        <f>_xlfn.XLOOKUP(наценка7[[#This Row],[№]],Д402[№],Д402[Расчетная проектная площадь],"-",0)</f>
        <v>60.94</v>
      </c>
      <c r="U134" s="17">
        <f t="shared" si="2"/>
        <v>89000</v>
      </c>
      <c r="V13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34" s="18">
        <f>наценка7[[#This Row],[Цена м2 базовая]]*наценка7[[#This Row],[Базовой K]]</f>
        <v>113030</v>
      </c>
      <c r="X13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4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3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4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3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3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3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3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4" s="55" t="str">
        <f>IF(наценка7[[#This Row],[Потолок ]]="ДА",коэффициенты!$C$13,"")</f>
        <v/>
      </c>
      <c r="AG13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34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3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4" s="52">
        <f>SUM(наценка7[[#This Row],[еврокухня]:[Лифт]])*наценка7[[#This Row],[Цена м2 с БK]]+наценка7[[#This Row],[Цена м2 с БK]]</f>
        <v>126593.60000000001</v>
      </c>
      <c r="AQ134" s="51">
        <f>VLOOKUP(наценка7[[#This Row],[№]],Д402[],COLUMN(Д402[[#This Row],[утв цена м2]]),0)</f>
        <v>121967.69</v>
      </c>
      <c r="AR134" s="3">
        <f>наценка7[[#This Row],[утв цена м2]]*наценка7[[#This Row],[Расчетная проектная площадь]]</f>
        <v>7432711.0285999998</v>
      </c>
      <c r="AS134" s="27" t="str">
        <f>VLOOKUP(наценка7[[#This Row],[№]],Д402[],COLUMN('Реестр ОН'!$BA$1),0)</f>
        <v>Стр. Резерв</v>
      </c>
      <c r="AT134" s="281">
        <f>ROUND(наценка7[[#This Row],[Цена м2 с учетом всех K]]*наценка7[[#This Row],[Расчетная проектная площадь]],0)</f>
        <v>7714614</v>
      </c>
      <c r="AU134" s="286">
        <v>7714614</v>
      </c>
      <c r="AV134" s="286" t="b">
        <f>наценка7[[#This Row],[Аллио]]=наценка7[[#This Row],[Первичка тест]]</f>
        <v>1</v>
      </c>
    </row>
    <row r="135" spans="1:48" hidden="1" x14ac:dyDescent="0.25">
      <c r="A135" s="65">
        <v>133</v>
      </c>
      <c r="B135" s="2">
        <f>_xlfn.XLOOKUP(наценка7[[#This Row],[№]],Д402[№],Д402[Секция],"-",0)</f>
        <v>2</v>
      </c>
      <c r="C135" s="2">
        <f>_xlfn.XLOOKUP(наценка7[[#This Row],[№]],Д402[№],Д402[Этаж],"-",0)</f>
        <v>6</v>
      </c>
      <c r="D135" s="2">
        <f>_xlfn.XLOOKUP(наценка7[[#This Row],[№]],Д402[№],Д402[№ на этаже],"-",0)</f>
        <v>1</v>
      </c>
      <c r="E135" s="2">
        <f>_xlfn.XLOOKUP(наценка7[[#This Row],[№]],Д402[№],Д402[Тип кв],"-",0)</f>
        <v>2</v>
      </c>
      <c r="F135" s="51">
        <f>_xlfn.XLOOKUP(наценка7[[#This Row],[№]],Д402[№],Д402[Кухня],"-",0)</f>
        <v>14.29</v>
      </c>
      <c r="G135" s="51">
        <f>_xlfn.XLOOKUP(наценка7[[#This Row],[№]],Д402[№],Д402[Ванная],"-",0)</f>
        <v>4.5199999999999996</v>
      </c>
      <c r="H135" s="51" t="s">
        <v>84</v>
      </c>
      <c r="I135" s="51"/>
      <c r="J135" s="51"/>
      <c r="K135" s="51" t="s">
        <v>101</v>
      </c>
      <c r="L135" s="51"/>
      <c r="M135" s="51" t="s">
        <v>83</v>
      </c>
      <c r="N135" s="51" t="s">
        <v>101</v>
      </c>
      <c r="O135" s="51" t="s">
        <v>119</v>
      </c>
      <c r="P135" s="51" t="s">
        <v>101</v>
      </c>
      <c r="Q135" s="51" t="s">
        <v>101</v>
      </c>
      <c r="R135" s="129"/>
      <c r="S135" s="51" t="s">
        <v>101</v>
      </c>
      <c r="T135" s="51">
        <f>_xlfn.XLOOKUP(наценка7[[#This Row],[№]],Д402[№],Д402[Расчетная проектная площадь],"-",0)</f>
        <v>65.72</v>
      </c>
      <c r="U135" s="17">
        <f t="shared" si="2"/>
        <v>89000</v>
      </c>
      <c r="V13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35" s="18">
        <f>наценка7[[#This Row],[Цена м2 базовая]]*наценка7[[#This Row],[Базовой K]]</f>
        <v>113030</v>
      </c>
      <c r="X13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3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3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35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3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5" s="55" t="str">
        <f>IF(наценка7[[#This Row],[Потолок ]]="ДА",коэффициенты!$C$13,"")</f>
        <v/>
      </c>
      <c r="AG13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35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3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35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35" s="52">
        <f>SUM(наценка7[[#This Row],[еврокухня]:[Лифт]])*наценка7[[#This Row],[Цена м2 с БK]]+наценка7[[#This Row],[Цена м2 с БK]]</f>
        <v>119811.8</v>
      </c>
      <c r="AQ135" s="51">
        <f>VLOOKUP(наценка7[[#This Row],[№]],Д402[],COLUMN(Д402[[#This Row],[утв цена м2]]),0)</f>
        <v>121649.52</v>
      </c>
      <c r="AR135" s="3">
        <f>наценка7[[#This Row],[утв цена м2]]*наценка7[[#This Row],[Расчетная проектная площадь]]</f>
        <v>7994806.4544000002</v>
      </c>
      <c r="AS135" s="27" t="str">
        <f>VLOOKUP(наценка7[[#This Row],[№]],Д402[],COLUMN('Реестр ОН'!$BA$1),0)</f>
        <v>Стр. Резерв</v>
      </c>
      <c r="AT135" s="281">
        <f>ROUND(наценка7[[#This Row],[Цена м2 с учетом всех K]]*наценка7[[#This Row],[Расчетная проектная площадь]],0)</f>
        <v>7874031</v>
      </c>
      <c r="AU135" s="286">
        <v>7874031</v>
      </c>
      <c r="AV135" s="286" t="b">
        <f>наценка7[[#This Row],[Аллио]]=наценка7[[#This Row],[Первичка тест]]</f>
        <v>1</v>
      </c>
    </row>
    <row r="136" spans="1:48" hidden="1" x14ac:dyDescent="0.25">
      <c r="A136" s="65">
        <v>134</v>
      </c>
      <c r="B136" s="2">
        <f>_xlfn.XLOOKUP(наценка7[[#This Row],[№]],Д402[№],Д402[Секция],"-",0)</f>
        <v>2</v>
      </c>
      <c r="C136" s="2">
        <f>_xlfn.XLOOKUP(наценка7[[#This Row],[№]],Д402[№],Д402[Этаж],"-",0)</f>
        <v>6</v>
      </c>
      <c r="D136" s="2">
        <f>_xlfn.XLOOKUP(наценка7[[#This Row],[№]],Д402[№],Д402[№ на этаже],"-",0)</f>
        <v>2</v>
      </c>
      <c r="E136" s="2">
        <f>_xlfn.XLOOKUP(наценка7[[#This Row],[№]],Д402[№],Д402[Тип кв],"-",0)</f>
        <v>1</v>
      </c>
      <c r="F136" s="51">
        <f>_xlfn.XLOOKUP(наценка7[[#This Row],[№]],Д402[№],Д402[Кухня],"-",0)</f>
        <v>11.88</v>
      </c>
      <c r="G136" s="51">
        <f>_xlfn.XLOOKUP(наценка7[[#This Row],[№]],Д402[№],Д402[Ванная],"-",0)</f>
        <v>4.1399999999999997</v>
      </c>
      <c r="H136" s="51" t="s">
        <v>87</v>
      </c>
      <c r="I136" s="51"/>
      <c r="J136" s="51"/>
      <c r="K136" s="51" t="s">
        <v>101</v>
      </c>
      <c r="L136" s="51"/>
      <c r="M136" s="51" t="s">
        <v>83</v>
      </c>
      <c r="N136" s="51"/>
      <c r="O136" s="51" t="s">
        <v>119</v>
      </c>
      <c r="P136" s="51" t="s">
        <v>101</v>
      </c>
      <c r="Q136" s="129"/>
      <c r="R136" s="129"/>
      <c r="S136" s="51"/>
      <c r="T136" s="51">
        <f>_xlfn.XLOOKUP(наценка7[[#This Row],[№]],Д402[№],Д402[Расчетная проектная площадь],"-",0)</f>
        <v>36.630000000000003</v>
      </c>
      <c r="U136" s="17">
        <f t="shared" si="2"/>
        <v>89000</v>
      </c>
      <c r="V13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36" s="18">
        <f>наценка7[[#This Row],[Цена м2 базовая]]*наценка7[[#This Row],[Базовой K]]</f>
        <v>119260</v>
      </c>
      <c r="X13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3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6" s="55" t="str">
        <f>IF(наценка7[[#This Row],[Потолок ]]="ДА",коэффициенты!$C$13,"")</f>
        <v/>
      </c>
      <c r="AG13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6" s="52">
        <f>SUM(наценка7[[#This Row],[еврокухня]:[Лифт]])*наценка7[[#This Row],[Цена м2 с БK]]+наценка7[[#This Row],[Цена м2 с БK]]</f>
        <v>125223</v>
      </c>
      <c r="AQ136" s="51">
        <f>VLOOKUP(наценка7[[#This Row],[№]],Д402[],COLUMN(Д402[[#This Row],[утв цена м2]]),0)</f>
        <v>130932.21</v>
      </c>
      <c r="AR136" s="3">
        <f>наценка7[[#This Row],[утв цена м2]]*наценка7[[#This Row],[Расчетная проектная площадь]]</f>
        <v>4796046.8523000004</v>
      </c>
      <c r="AS136" s="27" t="str">
        <f>VLOOKUP(наценка7[[#This Row],[№]],Д402[],COLUMN('Реестр ОН'!$BA$1),0)</f>
        <v>Гарантированная бронь</v>
      </c>
      <c r="AT136" s="285">
        <f>ROUND(наценка7[[#This Row],[Цена м2 с учетом всех K]]*наценка7[[#This Row],[Расчетная проектная площадь]],0)</f>
        <v>4586918</v>
      </c>
      <c r="AU136" s="286">
        <v>4586918</v>
      </c>
      <c r="AV136" s="286" t="b">
        <f>наценка7[[#This Row],[Аллио]]=наценка7[[#This Row],[Первичка тест]]</f>
        <v>1</v>
      </c>
    </row>
    <row r="137" spans="1:48" hidden="1" x14ac:dyDescent="0.25">
      <c r="A137" s="65">
        <v>135</v>
      </c>
      <c r="B137" s="2">
        <f>_xlfn.XLOOKUP(наценка7[[#This Row],[№]],Д402[№],Д402[Секция],"-",0)</f>
        <v>2</v>
      </c>
      <c r="C137" s="2">
        <f>_xlfn.XLOOKUP(наценка7[[#This Row],[№]],Д402[№],Д402[Этаж],"-",0)</f>
        <v>6</v>
      </c>
      <c r="D137" s="2">
        <f>_xlfn.XLOOKUP(наценка7[[#This Row],[№]],Д402[№],Д402[№ на этаже],"-",0)</f>
        <v>3</v>
      </c>
      <c r="E137" s="2">
        <f>_xlfn.XLOOKUP(наценка7[[#This Row],[№]],Д402[№],Д402[Тип кв],"-",0)</f>
        <v>0</v>
      </c>
      <c r="F137" s="51">
        <f>_xlfn.XLOOKUP(наценка7[[#This Row],[№]],Д402[№],Д402[Кухня],"-",0)</f>
        <v>5.98</v>
      </c>
      <c r="G137" s="51">
        <f>_xlfn.XLOOKUP(наценка7[[#This Row],[№]],Д402[№],Д402[Ванная],"-",0)</f>
        <v>4.54</v>
      </c>
      <c r="H137" s="51" t="s">
        <v>87</v>
      </c>
      <c r="I137" s="51"/>
      <c r="J137" s="51"/>
      <c r="K137" s="51" t="s">
        <v>101</v>
      </c>
      <c r="L137" s="51" t="s">
        <v>119</v>
      </c>
      <c r="M137" s="51" t="s">
        <v>83</v>
      </c>
      <c r="N137" s="51"/>
      <c r="O137" s="51" t="s">
        <v>119</v>
      </c>
      <c r="P137" s="51"/>
      <c r="Q137" s="51" t="s">
        <v>101</v>
      </c>
      <c r="R137" s="51"/>
      <c r="S137" s="51"/>
      <c r="T137" s="51">
        <f>_xlfn.XLOOKUP(наценка7[[#This Row],[№]],Д402[№],Д402[Расчетная проектная площадь],"-",0)</f>
        <v>29.5</v>
      </c>
      <c r="U137" s="17">
        <f t="shared" ref="U137:U200" si="3">$U$1</f>
        <v>89000</v>
      </c>
      <c r="V13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37" s="18">
        <f>наценка7[[#This Row],[Цена м2 базовая]]*наценка7[[#This Row],[Базовой K]]</f>
        <v>139730</v>
      </c>
      <c r="X13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3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7" s="55" t="str">
        <f>IF(наценка7[[#This Row],[Потолок ]]="ДА",коэффициенты!$C$13,"")</f>
        <v/>
      </c>
      <c r="AG13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0.02</v>
      </c>
      <c r="AL137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3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7" s="52">
        <f>SUM(наценка7[[#This Row],[еврокухня]:[Лифт]])*наценка7[[#This Row],[Цена м2 с БK]]+наценка7[[#This Row],[Цена м2 с БK]]</f>
        <v>145319.20000000001</v>
      </c>
      <c r="AQ137" s="51">
        <f>VLOOKUP(наценка7[[#This Row],[№]],Д402[],COLUMN(Д402[[#This Row],[утв цена м2]]),0)</f>
        <v>146551.70000000001</v>
      </c>
      <c r="AR137" s="3">
        <f>наценка7[[#This Row],[утв цена м2]]*наценка7[[#This Row],[Расчетная проектная площадь]]</f>
        <v>4323275.1500000004</v>
      </c>
      <c r="AS137" s="27" t="str">
        <f>VLOOKUP(наценка7[[#This Row],[№]],Д402[],COLUMN('Реестр ОН'!$BA$1),0)</f>
        <v>Стр. Резерв</v>
      </c>
      <c r="AT137" s="281">
        <f>ROUND(наценка7[[#This Row],[Цена м2 с учетом всех K]]*наценка7[[#This Row],[Расчетная проектная площадь]],0)</f>
        <v>4286916</v>
      </c>
      <c r="AU137" s="286">
        <v>4286916</v>
      </c>
      <c r="AV137" s="286" t="b">
        <f>наценка7[[#This Row],[Аллио]]=наценка7[[#This Row],[Первичка тест]]</f>
        <v>1</v>
      </c>
    </row>
    <row r="138" spans="1:48" hidden="1" x14ac:dyDescent="0.25">
      <c r="A138" s="65">
        <v>136</v>
      </c>
      <c r="B138" s="2">
        <f>_xlfn.XLOOKUP(наценка7[[#This Row],[№]],Д402[№],Д402[Секция],"-",0)</f>
        <v>2</v>
      </c>
      <c r="C138" s="2">
        <f>_xlfn.XLOOKUP(наценка7[[#This Row],[№]],Д402[№],Д402[Этаж],"-",0)</f>
        <v>6</v>
      </c>
      <c r="D138" s="2">
        <f>_xlfn.XLOOKUP(наценка7[[#This Row],[№]],Д402[№],Д402[№ на этаже],"-",0)</f>
        <v>4</v>
      </c>
      <c r="E138" s="2">
        <f>_xlfn.XLOOKUP(наценка7[[#This Row],[№]],Д402[№],Д402[Тип кв],"-",0)</f>
        <v>0</v>
      </c>
      <c r="F138" s="51">
        <f>_xlfn.XLOOKUP(наценка7[[#This Row],[№]],Д402[№],Д402[Кухня],"-",0)</f>
        <v>5.98</v>
      </c>
      <c r="G138" s="51">
        <f>_xlfn.XLOOKUP(наценка7[[#This Row],[№]],Д402[№],Д402[Ванная],"-",0)</f>
        <v>4.54</v>
      </c>
      <c r="H138" s="51" t="s">
        <v>87</v>
      </c>
      <c r="I138" s="51"/>
      <c r="J138" s="51"/>
      <c r="K138" s="51" t="s">
        <v>101</v>
      </c>
      <c r="L138" s="51" t="s">
        <v>119</v>
      </c>
      <c r="M138" s="51" t="s">
        <v>83</v>
      </c>
      <c r="N138" s="51"/>
      <c r="O138" s="51" t="s">
        <v>119</v>
      </c>
      <c r="P138" s="51"/>
      <c r="Q138" s="129"/>
      <c r="R138" s="129"/>
      <c r="S138" s="51"/>
      <c r="T138" s="51">
        <f>_xlfn.XLOOKUP(наценка7[[#This Row],[№]],Д402[№],Д402[Расчетная проектная площадь],"-",0)</f>
        <v>27.99</v>
      </c>
      <c r="U138" s="17">
        <f t="shared" si="3"/>
        <v>89000</v>
      </c>
      <c r="V13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38" s="18">
        <f>наценка7[[#This Row],[Цена м2 базовая]]*наценка7[[#This Row],[Базовой K]]</f>
        <v>139730</v>
      </c>
      <c r="X13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3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3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3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3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8" s="55" t="str">
        <f>IF(наценка7[[#This Row],[Потолок ]]="ДА",коэффициенты!$C$13,"")</f>
        <v/>
      </c>
      <c r="AG13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3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8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3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8" s="52">
        <f>SUM(наценка7[[#This Row],[еврокухня]:[Лифт]])*наценка7[[#This Row],[Цена м2 с БK]]+наценка7[[#This Row],[Цена м2 с БK]]</f>
        <v>142524.6</v>
      </c>
      <c r="AQ138" s="51">
        <f>VLOOKUP(наценка7[[#This Row],[№]],Д402[],COLUMN(Д402[[#This Row],[утв цена м2]]),0)</f>
        <v>143757.1</v>
      </c>
      <c r="AR138" s="3">
        <f>наценка7[[#This Row],[утв цена м2]]*наценка7[[#This Row],[Расчетная проектная площадь]]</f>
        <v>4023761.2289999998</v>
      </c>
      <c r="AS138" s="27" t="str">
        <f>VLOOKUP(наценка7[[#This Row],[№]],Д402[],COLUMN('Реестр ОН'!$BA$1),0)</f>
        <v>Стр. Резерв</v>
      </c>
      <c r="AT138" s="281">
        <f>ROUND(наценка7[[#This Row],[Цена м2 с учетом всех K]]*наценка7[[#This Row],[Расчетная проектная площадь]],0)</f>
        <v>3989264</v>
      </c>
      <c r="AU138" s="286">
        <v>3989264</v>
      </c>
      <c r="AV138" s="286" t="b">
        <f>наценка7[[#This Row],[Аллио]]=наценка7[[#This Row],[Первичка тест]]</f>
        <v>1</v>
      </c>
    </row>
    <row r="139" spans="1:48" hidden="1" x14ac:dyDescent="0.25">
      <c r="A139" s="65">
        <v>137</v>
      </c>
      <c r="B139" s="2">
        <f>_xlfn.XLOOKUP(наценка7[[#This Row],[№]],Д402[№],Д402[Секция],"-",0)</f>
        <v>2</v>
      </c>
      <c r="C139" s="2">
        <f>_xlfn.XLOOKUP(наценка7[[#This Row],[№]],Д402[№],Д402[Этаж],"-",0)</f>
        <v>6</v>
      </c>
      <c r="D139" s="2">
        <f>_xlfn.XLOOKUP(наценка7[[#This Row],[№]],Д402[№],Д402[№ на этаже],"-",0)</f>
        <v>5</v>
      </c>
      <c r="E139" s="2">
        <f>_xlfn.XLOOKUP(наценка7[[#This Row],[№]],Д402[№],Д402[Тип кв],"-",0)</f>
        <v>2</v>
      </c>
      <c r="F139" s="51">
        <f>_xlfn.XLOOKUP(наценка7[[#This Row],[№]],Д402[№],Д402[Кухня],"-",0)</f>
        <v>12.38</v>
      </c>
      <c r="G139" s="51">
        <f>_xlfn.XLOOKUP(наценка7[[#This Row],[№]],Д402[№],Д402[Ванная],"-",0)</f>
        <v>4.1399999999999997</v>
      </c>
      <c r="H139" s="51" t="s">
        <v>87</v>
      </c>
      <c r="I139" s="51"/>
      <c r="J139" s="51"/>
      <c r="K139" s="51" t="s">
        <v>101</v>
      </c>
      <c r="L139" s="51"/>
      <c r="M139" s="51" t="s">
        <v>83</v>
      </c>
      <c r="N139" s="51"/>
      <c r="O139" s="51" t="s">
        <v>119</v>
      </c>
      <c r="P139" s="51" t="s">
        <v>101</v>
      </c>
      <c r="Q139" s="129"/>
      <c r="R139" s="129"/>
      <c r="S139" s="51"/>
      <c r="T139" s="51">
        <f>_xlfn.XLOOKUP(наценка7[[#This Row],[№]],Д402[№],Д402[Расчетная проектная площадь],"-",0)</f>
        <v>63.44</v>
      </c>
      <c r="U139" s="17">
        <f t="shared" si="3"/>
        <v>89000</v>
      </c>
      <c r="V13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39" s="18">
        <f>наценка7[[#This Row],[Цена м2 базовая]]*наценка7[[#This Row],[Базовой K]]</f>
        <v>113030</v>
      </c>
      <c r="X13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39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3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3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3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3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3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3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39" s="55" t="str">
        <f>IF(наценка7[[#This Row],[Потолок ]]="ДА",коэффициенты!$C$13,"")</f>
        <v/>
      </c>
      <c r="AG13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3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3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3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3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3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3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3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3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39" s="52">
        <f>SUM(наценка7[[#This Row],[еврокухня]:[Лифт]])*наценка7[[#This Row],[Цена м2 с БK]]+наценка7[[#This Row],[Цена м2 с БK]]</f>
        <v>122072.4</v>
      </c>
      <c r="AQ139" s="51">
        <f>VLOOKUP(наценка7[[#This Row],[№]],Д402[],COLUMN(Д402[[#This Row],[утв цена м2]]),0)</f>
        <v>120393.02</v>
      </c>
      <c r="AR139" s="3">
        <f>наценка7[[#This Row],[утв цена м2]]*наценка7[[#This Row],[Расчетная проектная площадь]]</f>
        <v>7637733.1887999997</v>
      </c>
      <c r="AS139" s="27" t="str">
        <f>VLOOKUP(наценка7[[#This Row],[№]],Д402[],COLUMN('Реестр ОН'!$BA$1),0)</f>
        <v>Стр. Резерв</v>
      </c>
      <c r="AT139" s="281">
        <f>ROUND(наценка7[[#This Row],[Цена м2 с учетом всех K]]*наценка7[[#This Row],[Расчетная проектная площадь]],0)</f>
        <v>7744273</v>
      </c>
      <c r="AU139" s="286">
        <v>7744273</v>
      </c>
      <c r="AV139" s="286" t="b">
        <f>наценка7[[#This Row],[Аллио]]=наценка7[[#This Row],[Первичка тест]]</f>
        <v>1</v>
      </c>
    </row>
    <row r="140" spans="1:48" hidden="1" x14ac:dyDescent="0.25">
      <c r="A140" s="65">
        <v>138</v>
      </c>
      <c r="B140" s="2">
        <f>_xlfn.XLOOKUP(наценка7[[#This Row],[№]],Д402[№],Д402[Секция],"-",0)</f>
        <v>2</v>
      </c>
      <c r="C140" s="2">
        <f>_xlfn.XLOOKUP(наценка7[[#This Row],[№]],Д402[№],Д402[Этаж],"-",0)</f>
        <v>6</v>
      </c>
      <c r="D140" s="2">
        <f>_xlfn.XLOOKUP(наценка7[[#This Row],[№]],Д402[№],Д402[№ на этаже],"-",0)</f>
        <v>6</v>
      </c>
      <c r="E140" s="2">
        <f>_xlfn.XLOOKUP(наценка7[[#This Row],[№]],Д402[№],Д402[Тип кв],"-",0)</f>
        <v>2</v>
      </c>
      <c r="F140" s="51">
        <f>_xlfn.XLOOKUP(наценка7[[#This Row],[№]],Д402[№],Д402[Кухня],"-",0)</f>
        <v>13.65</v>
      </c>
      <c r="G140" s="51">
        <f>_xlfn.XLOOKUP(наценка7[[#This Row],[№]],Д402[№],Д402[Ванная],"-",0)</f>
        <v>5.22</v>
      </c>
      <c r="H140" s="51" t="s">
        <v>84</v>
      </c>
      <c r="I140" s="51"/>
      <c r="J140" s="51"/>
      <c r="K140" s="51"/>
      <c r="L140" s="51"/>
      <c r="M140" s="51" t="s">
        <v>88</v>
      </c>
      <c r="N140" s="51"/>
      <c r="O140" s="51" t="s">
        <v>119</v>
      </c>
      <c r="P140" s="51"/>
      <c r="Q140" s="51" t="s">
        <v>101</v>
      </c>
      <c r="R140" s="129"/>
      <c r="S140" s="51"/>
      <c r="T140" s="51">
        <f>_xlfn.XLOOKUP(наценка7[[#This Row],[№]],Д402[№],Д402[Расчетная проектная площадь],"-",0)</f>
        <v>60.94</v>
      </c>
      <c r="U140" s="17">
        <f t="shared" si="3"/>
        <v>89000</v>
      </c>
      <c r="V14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40" s="18">
        <f>наценка7[[#This Row],[Цена м2 базовая]]*наценка7[[#This Row],[Базовой K]]</f>
        <v>113030</v>
      </c>
      <c r="X14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0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4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0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4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4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4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0" s="55" t="str">
        <f>IF(наценка7[[#This Row],[Потолок ]]="ДА",коэффициенты!$C$13,"")</f>
        <v/>
      </c>
      <c r="AG14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40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4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0" s="52">
        <f>SUM(наценка7[[#This Row],[еврокухня]:[Лифт]])*наценка7[[#This Row],[Цена м2 с БK]]+наценка7[[#This Row],[Цена м2 с БK]]</f>
        <v>124333</v>
      </c>
      <c r="AQ140" s="51">
        <f>VLOOKUP(наценка7[[#This Row],[№]],Д402[],COLUMN(Д402[[#This Row],[утв цена м2]]),0)</f>
        <v>115333</v>
      </c>
      <c r="AR140" s="3">
        <f>наценка7[[#This Row],[утв цена м2]]*наценка7[[#This Row],[Расчетная проектная площадь]]</f>
        <v>7028393.0199999996</v>
      </c>
      <c r="AS140" s="27" t="str">
        <f>VLOOKUP(наценка7[[#This Row],[№]],Д402[],COLUMN('Реестр ОН'!$BA$1),0)</f>
        <v>Продажа</v>
      </c>
      <c r="AT140" s="281">
        <f>ROUND(наценка7[[#This Row],[Цена м2 с учетом всех K]]*наценка7[[#This Row],[Расчетная проектная площадь]],0)</f>
        <v>7576853</v>
      </c>
      <c r="AU140" s="286">
        <v>7576853</v>
      </c>
      <c r="AV140" s="286" t="b">
        <f>наценка7[[#This Row],[Аллио]]=наценка7[[#This Row],[Первичка тест]]</f>
        <v>1</v>
      </c>
    </row>
    <row r="141" spans="1:48" hidden="1" x14ac:dyDescent="0.25">
      <c r="A141" s="65">
        <v>139</v>
      </c>
      <c r="B141" s="2">
        <f>_xlfn.XLOOKUP(наценка7[[#This Row],[№]],Д402[№],Д402[Секция],"-",0)</f>
        <v>2</v>
      </c>
      <c r="C141" s="2">
        <f>_xlfn.XLOOKUP(наценка7[[#This Row],[№]],Д402[№],Д402[Этаж],"-",0)</f>
        <v>7</v>
      </c>
      <c r="D141" s="2">
        <f>_xlfn.XLOOKUP(наценка7[[#This Row],[№]],Д402[№],Д402[№ на этаже],"-",0)</f>
        <v>1</v>
      </c>
      <c r="E141" s="2">
        <f>_xlfn.XLOOKUP(наценка7[[#This Row],[№]],Д402[№],Д402[Тип кв],"-",0)</f>
        <v>2</v>
      </c>
      <c r="F141" s="51">
        <f>_xlfn.XLOOKUP(наценка7[[#This Row],[№]],Д402[№],Д402[Кухня],"-",0)</f>
        <v>14.29</v>
      </c>
      <c r="G141" s="51">
        <f>_xlfn.XLOOKUP(наценка7[[#This Row],[№]],Д402[№],Д402[Ванная],"-",0)</f>
        <v>4.5199999999999996</v>
      </c>
      <c r="H141" s="51" t="s">
        <v>84</v>
      </c>
      <c r="I141" s="51"/>
      <c r="J141" s="51"/>
      <c r="K141" s="51" t="s">
        <v>101</v>
      </c>
      <c r="L141" s="51"/>
      <c r="M141" s="51" t="s">
        <v>83</v>
      </c>
      <c r="N141" s="51" t="s">
        <v>101</v>
      </c>
      <c r="O141" s="51" t="s">
        <v>119</v>
      </c>
      <c r="P141" s="51"/>
      <c r="Q141" s="51" t="s">
        <v>101</v>
      </c>
      <c r="R141" s="129"/>
      <c r="S141" s="51" t="s">
        <v>101</v>
      </c>
      <c r="T141" s="51">
        <f>_xlfn.XLOOKUP(наценка7[[#This Row],[№]],Д402[№],Д402[Расчетная проектная площадь],"-",0)</f>
        <v>65.72</v>
      </c>
      <c r="U141" s="17">
        <f t="shared" si="3"/>
        <v>89000</v>
      </c>
      <c r="V14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41" s="18">
        <f>наценка7[[#This Row],[Цена м2 базовая]]*наценка7[[#This Row],[Базовой K]]</f>
        <v>113030</v>
      </c>
      <c r="X14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4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4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4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1" s="55" t="str">
        <f>IF(наценка7[[#This Row],[Потолок ]]="ДА",коэффициенты!$C$13,"")</f>
        <v/>
      </c>
      <c r="AG14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41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4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1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41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41" s="52">
        <f>SUM(наценка7[[#This Row],[еврокухня]:[Лифт]])*наценка7[[#This Row],[Цена м2 с БK]]+наценка7[[#This Row],[Цена м2 с БK]]</f>
        <v>117551.2</v>
      </c>
      <c r="AQ141" s="51">
        <f>VLOOKUP(наценка7[[#This Row],[№]],Д402[],COLUMN(Д402[[#This Row],[утв цена м2]]),0)</f>
        <v>119377.62</v>
      </c>
      <c r="AR141" s="3">
        <f>наценка7[[#This Row],[утв цена м2]]*наценка7[[#This Row],[Расчетная проектная площадь]]</f>
        <v>7845497.1864</v>
      </c>
      <c r="AS141" s="27" t="str">
        <f>VLOOKUP(наценка7[[#This Row],[№]],Д402[],COLUMN('Реестр ОН'!$BA$1),0)</f>
        <v>Стр. Резерв</v>
      </c>
      <c r="AT141" s="281">
        <f>ROUND(наценка7[[#This Row],[Цена м2 с учетом всех K]]*наценка7[[#This Row],[Расчетная проектная площадь]],0)</f>
        <v>7725465</v>
      </c>
      <c r="AU141" s="286">
        <v>7725465</v>
      </c>
      <c r="AV141" s="286" t="b">
        <f>наценка7[[#This Row],[Аллио]]=наценка7[[#This Row],[Первичка тест]]</f>
        <v>1</v>
      </c>
    </row>
    <row r="142" spans="1:48" hidden="1" x14ac:dyDescent="0.25">
      <c r="A142" s="65">
        <v>140</v>
      </c>
      <c r="B142" s="2">
        <f>_xlfn.XLOOKUP(наценка7[[#This Row],[№]],Д402[№],Д402[Секция],"-",0)</f>
        <v>2</v>
      </c>
      <c r="C142" s="2">
        <f>_xlfn.XLOOKUP(наценка7[[#This Row],[№]],Д402[№],Д402[Этаж],"-",0)</f>
        <v>7</v>
      </c>
      <c r="D142" s="2">
        <f>_xlfn.XLOOKUP(наценка7[[#This Row],[№]],Д402[№],Д402[№ на этаже],"-",0)</f>
        <v>2</v>
      </c>
      <c r="E142" s="2">
        <f>_xlfn.XLOOKUP(наценка7[[#This Row],[№]],Д402[№],Д402[Тип кв],"-",0)</f>
        <v>1</v>
      </c>
      <c r="F142" s="51">
        <f>_xlfn.XLOOKUP(наценка7[[#This Row],[№]],Д402[№],Д402[Кухня],"-",0)</f>
        <v>11.88</v>
      </c>
      <c r="G142" s="51">
        <f>_xlfn.XLOOKUP(наценка7[[#This Row],[№]],Д402[№],Д402[Ванная],"-",0)</f>
        <v>4.1399999999999997</v>
      </c>
      <c r="H142" s="51" t="s">
        <v>87</v>
      </c>
      <c r="I142" s="51"/>
      <c r="J142" s="51"/>
      <c r="K142" s="51" t="s">
        <v>101</v>
      </c>
      <c r="L142" s="51"/>
      <c r="M142" s="51" t="s">
        <v>83</v>
      </c>
      <c r="N142" s="51"/>
      <c r="O142" s="51" t="s">
        <v>119</v>
      </c>
      <c r="P142" s="51" t="s">
        <v>101</v>
      </c>
      <c r="Q142" s="129"/>
      <c r="R142" s="129"/>
      <c r="S142" s="51"/>
      <c r="T142" s="51">
        <f>_xlfn.XLOOKUP(наценка7[[#This Row],[№]],Д402[№],Д402[Расчетная проектная площадь],"-",0)</f>
        <v>36.630000000000003</v>
      </c>
      <c r="U142" s="17">
        <f t="shared" si="3"/>
        <v>89000</v>
      </c>
      <c r="V14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42" s="18">
        <f>наценка7[[#This Row],[Цена м2 базовая]]*наценка7[[#This Row],[Базовой K]]</f>
        <v>119260</v>
      </c>
      <c r="X14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4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4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4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2" s="55" t="str">
        <f>IF(наценка7[[#This Row],[Потолок ]]="ДА",коэффициенты!$C$13,"")</f>
        <v/>
      </c>
      <c r="AG14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4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4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2" s="52">
        <f>SUM(наценка7[[#This Row],[еврокухня]:[Лифт]])*наценка7[[#This Row],[Цена м2 с БK]]+наценка7[[#This Row],[Цена м2 с БK]]</f>
        <v>125223</v>
      </c>
      <c r="AQ142" s="51">
        <f>VLOOKUP(наценка7[[#This Row],[№]],Д402[],COLUMN(Д402[[#This Row],[утв цена м2]]),0)</f>
        <v>130932.21</v>
      </c>
      <c r="AR142" s="3">
        <f>наценка7[[#This Row],[утв цена м2]]*наценка7[[#This Row],[Расчетная проектная площадь]]</f>
        <v>4796046.8523000004</v>
      </c>
      <c r="AS142" s="27" t="str">
        <f>VLOOKUP(наценка7[[#This Row],[№]],Д402[],COLUMN('Реестр ОН'!$BA$1),0)</f>
        <v>Стр. Резерв</v>
      </c>
      <c r="AT142" s="285">
        <f>ROUND(наценка7[[#This Row],[Цена м2 с учетом всех K]]*наценка7[[#This Row],[Расчетная проектная площадь]],0)</f>
        <v>4586918</v>
      </c>
      <c r="AU142" s="286">
        <v>4586918</v>
      </c>
      <c r="AV142" s="286" t="b">
        <f>наценка7[[#This Row],[Аллио]]=наценка7[[#This Row],[Первичка тест]]</f>
        <v>1</v>
      </c>
    </row>
    <row r="143" spans="1:48" hidden="1" x14ac:dyDescent="0.25">
      <c r="A143" s="65">
        <v>141</v>
      </c>
      <c r="B143" s="2">
        <f>_xlfn.XLOOKUP(наценка7[[#This Row],[№]],Д402[№],Д402[Секция],"-",0)</f>
        <v>2</v>
      </c>
      <c r="C143" s="2">
        <f>_xlfn.XLOOKUP(наценка7[[#This Row],[№]],Д402[№],Д402[Этаж],"-",0)</f>
        <v>7</v>
      </c>
      <c r="D143" s="2">
        <f>_xlfn.XLOOKUP(наценка7[[#This Row],[№]],Д402[№],Д402[№ на этаже],"-",0)</f>
        <v>3</v>
      </c>
      <c r="E143" s="2">
        <f>_xlfn.XLOOKUP(наценка7[[#This Row],[№]],Д402[№],Д402[Тип кв],"-",0)</f>
        <v>0</v>
      </c>
      <c r="F143" s="51">
        <f>_xlfn.XLOOKUP(наценка7[[#This Row],[№]],Д402[№],Д402[Кухня],"-",0)</f>
        <v>5.98</v>
      </c>
      <c r="G143" s="51">
        <f>_xlfn.XLOOKUP(наценка7[[#This Row],[№]],Д402[№],Д402[Ванная],"-",0)</f>
        <v>4.54</v>
      </c>
      <c r="H143" s="51" t="s">
        <v>87</v>
      </c>
      <c r="I143" s="51"/>
      <c r="J143" s="51"/>
      <c r="K143" s="51" t="s">
        <v>101</v>
      </c>
      <c r="L143" s="51" t="s">
        <v>119</v>
      </c>
      <c r="M143" s="51" t="s">
        <v>83</v>
      </c>
      <c r="N143" s="51"/>
      <c r="O143" s="51" t="s">
        <v>119</v>
      </c>
      <c r="P143" s="51"/>
      <c r="Q143" s="129"/>
      <c r="R143" s="129"/>
      <c r="S143" s="51"/>
      <c r="T143" s="51">
        <f>_xlfn.XLOOKUP(наценка7[[#This Row],[№]],Д402[№],Д402[Расчетная проектная площадь],"-",0)</f>
        <v>29.5</v>
      </c>
      <c r="U143" s="17">
        <f t="shared" si="3"/>
        <v>89000</v>
      </c>
      <c r="V14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43" s="18">
        <f>наценка7[[#This Row],[Цена м2 базовая]]*наценка7[[#This Row],[Базовой K]]</f>
        <v>139730</v>
      </c>
      <c r="X14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4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4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3" s="55" t="str">
        <f>IF(наценка7[[#This Row],[Потолок ]]="ДА",коэффициенты!$C$13,"")</f>
        <v/>
      </c>
      <c r="AG14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4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4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4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3" s="52">
        <f>SUM(наценка7[[#This Row],[еврокухня]:[Лифт]])*наценка7[[#This Row],[Цена м2 с БK]]+наценка7[[#This Row],[Цена м2 с БK]]</f>
        <v>142524.6</v>
      </c>
      <c r="AQ143" s="51">
        <f>VLOOKUP(наценка7[[#This Row],[№]],Д402[],COLUMN(Д402[[#This Row],[утв цена м2]]),0)</f>
        <v>143757.1</v>
      </c>
      <c r="AR143" s="3">
        <f>наценка7[[#This Row],[утв цена м2]]*наценка7[[#This Row],[Расчетная проектная площадь]]</f>
        <v>4240834.45</v>
      </c>
      <c r="AS143" s="27" t="str">
        <f>VLOOKUP(наценка7[[#This Row],[№]],Д402[],COLUMN('Реестр ОН'!$BA$1),0)</f>
        <v>Стр. Резерв</v>
      </c>
      <c r="AT143" s="281">
        <f>ROUND(наценка7[[#This Row],[Цена м2 с учетом всех K]]*наценка7[[#This Row],[Расчетная проектная площадь]],0)</f>
        <v>4204476</v>
      </c>
      <c r="AU143" s="286">
        <v>4204476</v>
      </c>
      <c r="AV143" s="286" t="b">
        <f>наценка7[[#This Row],[Аллио]]=наценка7[[#This Row],[Первичка тест]]</f>
        <v>1</v>
      </c>
    </row>
    <row r="144" spans="1:48" hidden="1" x14ac:dyDescent="0.25">
      <c r="A144" s="65">
        <v>142</v>
      </c>
      <c r="B144" s="2">
        <f>_xlfn.XLOOKUP(наценка7[[#This Row],[№]],Д402[№],Д402[Секция],"-",0)</f>
        <v>2</v>
      </c>
      <c r="C144" s="2">
        <f>_xlfn.XLOOKUP(наценка7[[#This Row],[№]],Д402[№],Д402[Этаж],"-",0)</f>
        <v>7</v>
      </c>
      <c r="D144" s="2">
        <f>_xlfn.XLOOKUP(наценка7[[#This Row],[№]],Д402[№],Д402[№ на этаже],"-",0)</f>
        <v>4</v>
      </c>
      <c r="E144" s="2">
        <f>_xlfn.XLOOKUP(наценка7[[#This Row],[№]],Д402[№],Д402[Тип кв],"-",0)</f>
        <v>0</v>
      </c>
      <c r="F144" s="51">
        <f>_xlfn.XLOOKUP(наценка7[[#This Row],[№]],Д402[№],Д402[Кухня],"-",0)</f>
        <v>5.98</v>
      </c>
      <c r="G144" s="51">
        <f>_xlfn.XLOOKUP(наценка7[[#This Row],[№]],Д402[№],Д402[Ванная],"-",0)</f>
        <v>4.54</v>
      </c>
      <c r="H144" s="51" t="s">
        <v>87</v>
      </c>
      <c r="I144" s="51"/>
      <c r="J144" s="51"/>
      <c r="K144" s="51" t="s">
        <v>101</v>
      </c>
      <c r="L144" s="51" t="s">
        <v>119</v>
      </c>
      <c r="M144" s="51" t="s">
        <v>83</v>
      </c>
      <c r="N144" s="51"/>
      <c r="O144" s="51" t="s">
        <v>119</v>
      </c>
      <c r="P144" s="51"/>
      <c r="Q144" s="129"/>
      <c r="R144" s="129"/>
      <c r="S144" s="51"/>
      <c r="T144" s="51">
        <f>_xlfn.XLOOKUP(наценка7[[#This Row],[№]],Д402[№],Д402[Расчетная проектная площадь],"-",0)</f>
        <v>27.99</v>
      </c>
      <c r="U144" s="17">
        <f t="shared" si="3"/>
        <v>89000</v>
      </c>
      <c r="V14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44" s="18">
        <f>наценка7[[#This Row],[Цена м2 базовая]]*наценка7[[#This Row],[Базовой K]]</f>
        <v>139730</v>
      </c>
      <c r="X14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4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4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4" s="55" t="str">
        <f>IF(наценка7[[#This Row],[Потолок ]]="ДА",коэффициенты!$C$13,"")</f>
        <v/>
      </c>
      <c r="AG14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4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4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4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4" s="52">
        <f>SUM(наценка7[[#This Row],[еврокухня]:[Лифт]])*наценка7[[#This Row],[Цена м2 с БK]]+наценка7[[#This Row],[Цена м2 с БK]]</f>
        <v>142524.6</v>
      </c>
      <c r="AQ144" s="51">
        <f>VLOOKUP(наценка7[[#This Row],[№]],Д402[],COLUMN(Д402[[#This Row],[утв цена м2]]),0)</f>
        <v>143757.1</v>
      </c>
      <c r="AR144" s="3">
        <f>наценка7[[#This Row],[утв цена м2]]*наценка7[[#This Row],[Расчетная проектная площадь]]</f>
        <v>4023761.2289999998</v>
      </c>
      <c r="AS144" s="27" t="str">
        <f>VLOOKUP(наценка7[[#This Row],[№]],Д402[],COLUMN('Реестр ОН'!$BA$1),0)</f>
        <v>Стр. Резерв</v>
      </c>
      <c r="AT144" s="281">
        <f>ROUND(наценка7[[#This Row],[Цена м2 с учетом всех K]]*наценка7[[#This Row],[Расчетная проектная площадь]],0)</f>
        <v>3989264</v>
      </c>
      <c r="AU144" s="286">
        <v>3989264</v>
      </c>
      <c r="AV144" s="286" t="b">
        <f>наценка7[[#This Row],[Аллио]]=наценка7[[#This Row],[Первичка тест]]</f>
        <v>1</v>
      </c>
    </row>
    <row r="145" spans="1:48" hidden="1" x14ac:dyDescent="0.25">
      <c r="A145" s="65">
        <v>143</v>
      </c>
      <c r="B145" s="2">
        <f>_xlfn.XLOOKUP(наценка7[[#This Row],[№]],Д402[№],Д402[Секция],"-",0)</f>
        <v>2</v>
      </c>
      <c r="C145" s="2">
        <f>_xlfn.XLOOKUP(наценка7[[#This Row],[№]],Д402[№],Д402[Этаж],"-",0)</f>
        <v>7</v>
      </c>
      <c r="D145" s="2">
        <f>_xlfn.XLOOKUP(наценка7[[#This Row],[№]],Д402[№],Д402[№ на этаже],"-",0)</f>
        <v>5</v>
      </c>
      <c r="E145" s="2">
        <f>_xlfn.XLOOKUP(наценка7[[#This Row],[№]],Д402[№],Д402[Тип кв],"-",0)</f>
        <v>2</v>
      </c>
      <c r="F145" s="51">
        <f>_xlfn.XLOOKUP(наценка7[[#This Row],[№]],Д402[№],Д402[Кухня],"-",0)</f>
        <v>12.38</v>
      </c>
      <c r="G145" s="51">
        <f>_xlfn.XLOOKUP(наценка7[[#This Row],[№]],Д402[№],Д402[Ванная],"-",0)</f>
        <v>4.1399999999999997</v>
      </c>
      <c r="H145" s="51" t="s">
        <v>87</v>
      </c>
      <c r="I145" s="51"/>
      <c r="J145" s="51"/>
      <c r="K145" s="51" t="s">
        <v>101</v>
      </c>
      <c r="L145" s="51"/>
      <c r="M145" s="51" t="s">
        <v>83</v>
      </c>
      <c r="N145" s="51"/>
      <c r="O145" s="51" t="s">
        <v>119</v>
      </c>
      <c r="P145" s="51"/>
      <c r="Q145" s="129"/>
      <c r="R145" s="129"/>
      <c r="S145" s="51"/>
      <c r="T145" s="51">
        <f>_xlfn.XLOOKUP(наценка7[[#This Row],[№]],Д402[№],Д402[Расчетная проектная площадь],"-",0)</f>
        <v>63.44</v>
      </c>
      <c r="U145" s="17">
        <f t="shared" si="3"/>
        <v>89000</v>
      </c>
      <c r="V14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45" s="18">
        <f>наценка7[[#This Row],[Цена м2 базовая]]*наценка7[[#This Row],[Базовой K]]</f>
        <v>113030</v>
      </c>
      <c r="X14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5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4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4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4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5" s="55" t="str">
        <f>IF(наценка7[[#This Row],[Потолок ]]="ДА",коэффициенты!$C$13,"")</f>
        <v/>
      </c>
      <c r="AG14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4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4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5" s="52">
        <f>SUM(наценка7[[#This Row],[еврокухня]:[Лифт]])*наценка7[[#This Row],[Цена м2 с БK]]+наценка7[[#This Row],[Цена м2 с БK]]</f>
        <v>119811.8</v>
      </c>
      <c r="AQ145" s="51">
        <f>VLOOKUP(наценка7[[#This Row],[№]],Д402[],COLUMN(Д402[[#This Row],[утв цена м2]]),0)</f>
        <v>118052.96</v>
      </c>
      <c r="AR145" s="3">
        <f>наценка7[[#This Row],[утв цена м2]]*наценка7[[#This Row],[Расчетная проектная площадь]]</f>
        <v>7489279.7823999999</v>
      </c>
      <c r="AS145" s="27" t="str">
        <f>VLOOKUP(наценка7[[#This Row],[№]],Д402[],COLUMN('Реестр ОН'!$BA$1),0)</f>
        <v>Свободно</v>
      </c>
      <c r="AT145" s="281">
        <f>ROUND(наценка7[[#This Row],[Цена м2 с учетом всех K]]*наценка7[[#This Row],[Расчетная проектная площадь]],0)</f>
        <v>7600861</v>
      </c>
      <c r="AU145" s="286">
        <v>7600861</v>
      </c>
      <c r="AV145" s="286" t="b">
        <f>наценка7[[#This Row],[Аллио]]=наценка7[[#This Row],[Первичка тест]]</f>
        <v>1</v>
      </c>
    </row>
    <row r="146" spans="1:48" hidden="1" x14ac:dyDescent="0.25">
      <c r="A146" s="65">
        <v>144</v>
      </c>
      <c r="B146" s="2">
        <f>_xlfn.XLOOKUP(наценка7[[#This Row],[№]],Д402[№],Д402[Секция],"-",0)</f>
        <v>2</v>
      </c>
      <c r="C146" s="2">
        <f>_xlfn.XLOOKUP(наценка7[[#This Row],[№]],Д402[№],Д402[Этаж],"-",0)</f>
        <v>7</v>
      </c>
      <c r="D146" s="2">
        <f>_xlfn.XLOOKUP(наценка7[[#This Row],[№]],Д402[№],Д402[№ на этаже],"-",0)</f>
        <v>6</v>
      </c>
      <c r="E146" s="2">
        <f>_xlfn.XLOOKUP(наценка7[[#This Row],[№]],Д402[№],Д402[Тип кв],"-",0)</f>
        <v>2</v>
      </c>
      <c r="F146" s="51">
        <f>_xlfn.XLOOKUP(наценка7[[#This Row],[№]],Д402[№],Д402[Кухня],"-",0)</f>
        <v>13.65</v>
      </c>
      <c r="G146" s="51">
        <f>_xlfn.XLOOKUP(наценка7[[#This Row],[№]],Д402[№],Д402[Ванная],"-",0)</f>
        <v>5.22</v>
      </c>
      <c r="H146" s="51" t="s">
        <v>84</v>
      </c>
      <c r="I146" s="51"/>
      <c r="J146" s="51"/>
      <c r="K146" s="51"/>
      <c r="L146" s="51"/>
      <c r="M146" s="51" t="s">
        <v>88</v>
      </c>
      <c r="N146" s="51"/>
      <c r="O146" s="51" t="s">
        <v>119</v>
      </c>
      <c r="P146" s="51" t="s">
        <v>101</v>
      </c>
      <c r="Q146" s="51" t="s">
        <v>101</v>
      </c>
      <c r="R146" s="129"/>
      <c r="S146" s="51"/>
      <c r="T146" s="51">
        <f>_xlfn.XLOOKUP(наценка7[[#This Row],[№]],Д402[№],Д402[Расчетная проектная площадь],"-",0)</f>
        <v>60.94</v>
      </c>
      <c r="U146" s="17">
        <f t="shared" si="3"/>
        <v>89000</v>
      </c>
      <c r="V14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46" s="18">
        <f>наценка7[[#This Row],[Цена м2 базовая]]*наценка7[[#This Row],[Базовой K]]</f>
        <v>113030</v>
      </c>
      <c r="X14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4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6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4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4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4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4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6" s="55" t="str">
        <f>IF(наценка7[[#This Row],[Потолок ]]="ДА",коэффициенты!$C$13,"")</f>
        <v/>
      </c>
      <c r="AG14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46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4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6" s="52">
        <f>SUM(наценка7[[#This Row],[еврокухня]:[Лифт]])*наценка7[[#This Row],[Цена м2 с БK]]+наценка7[[#This Row],[Цена м2 с БK]]</f>
        <v>126593.60000000001</v>
      </c>
      <c r="AQ146" s="51">
        <f>VLOOKUP(наценка7[[#This Row],[№]],Д402[],COLUMN(Д402[[#This Row],[утв цена м2]]),0)</f>
        <v>121967.69</v>
      </c>
      <c r="AR146" s="3">
        <f>наценка7[[#This Row],[утв цена м2]]*наценка7[[#This Row],[Расчетная проектная площадь]]</f>
        <v>7432711.0285999998</v>
      </c>
      <c r="AS146" s="27" t="str">
        <f>VLOOKUP(наценка7[[#This Row],[№]],Д402[],COLUMN('Реестр ОН'!$BA$1),0)</f>
        <v>Стр. Резерв</v>
      </c>
      <c r="AT146" s="281">
        <f>ROUND(наценка7[[#This Row],[Цена м2 с учетом всех K]]*наценка7[[#This Row],[Расчетная проектная площадь]],0)</f>
        <v>7714614</v>
      </c>
      <c r="AU146" s="286">
        <v>7714614</v>
      </c>
      <c r="AV146" s="286" t="b">
        <f>наценка7[[#This Row],[Аллио]]=наценка7[[#This Row],[Первичка тест]]</f>
        <v>1</v>
      </c>
    </row>
    <row r="147" spans="1:48" hidden="1" x14ac:dyDescent="0.25">
      <c r="A147" s="65">
        <v>145</v>
      </c>
      <c r="B147" s="2">
        <f>_xlfn.XLOOKUP(наценка7[[#This Row],[№]],Д402[№],Д402[Секция],"-",0)</f>
        <v>2</v>
      </c>
      <c r="C147" s="2">
        <f>_xlfn.XLOOKUP(наценка7[[#This Row],[№]],Д402[№],Д402[Этаж],"-",0)</f>
        <v>8</v>
      </c>
      <c r="D147" s="2">
        <f>_xlfn.XLOOKUP(наценка7[[#This Row],[№]],Д402[№],Д402[№ на этаже],"-",0)</f>
        <v>1</v>
      </c>
      <c r="E147" s="2">
        <f>_xlfn.XLOOKUP(наценка7[[#This Row],[№]],Д402[№],Д402[Тип кв],"-",0)</f>
        <v>2</v>
      </c>
      <c r="F147" s="51">
        <f>_xlfn.XLOOKUP(наценка7[[#This Row],[№]],Д402[№],Д402[Кухня],"-",0)</f>
        <v>14.29</v>
      </c>
      <c r="G147" s="51">
        <f>_xlfn.XLOOKUP(наценка7[[#This Row],[№]],Д402[№],Д402[Ванная],"-",0)</f>
        <v>4.5199999999999996</v>
      </c>
      <c r="H147" s="51" t="s">
        <v>84</v>
      </c>
      <c r="I147" s="51"/>
      <c r="J147" s="51"/>
      <c r="K147" s="51" t="s">
        <v>101</v>
      </c>
      <c r="L147" s="51"/>
      <c r="M147" s="51" t="s">
        <v>83</v>
      </c>
      <c r="N147" s="51" t="s">
        <v>101</v>
      </c>
      <c r="O147" s="51" t="s">
        <v>119</v>
      </c>
      <c r="P147" s="51" t="s">
        <v>101</v>
      </c>
      <c r="Q147" s="51" t="s">
        <v>101</v>
      </c>
      <c r="R147" s="129"/>
      <c r="S147" s="51" t="s">
        <v>101</v>
      </c>
      <c r="T147" s="51">
        <f>_xlfn.XLOOKUP(наценка7[[#This Row],[№]],Д402[№],Д402[Расчетная проектная площадь],"-",0)</f>
        <v>65.72</v>
      </c>
      <c r="U147" s="17">
        <f t="shared" si="3"/>
        <v>89000</v>
      </c>
      <c r="V14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47" s="18">
        <f>наценка7[[#This Row],[Цена м2 базовая]]*наценка7[[#This Row],[Базовой K]]</f>
        <v>113030</v>
      </c>
      <c r="X14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4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4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4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4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7" s="55" t="str">
        <f>IF(наценка7[[#This Row],[Потолок ]]="ДА",коэффициенты!$C$13,"")</f>
        <v/>
      </c>
      <c r="AG14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4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4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7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47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47" s="52">
        <f>SUM(наценка7[[#This Row],[еврокухня]:[Лифт]])*наценка7[[#This Row],[Цена м2 с БK]]+наценка7[[#This Row],[Цена м2 с БK]]</f>
        <v>119811.8</v>
      </c>
      <c r="AQ147" s="51">
        <f>VLOOKUP(наценка7[[#This Row],[№]],Д402[],COLUMN(Д402[[#This Row],[утв цена м2]]),0)</f>
        <v>121649.52</v>
      </c>
      <c r="AR147" s="3">
        <f>наценка7[[#This Row],[утв цена м2]]*наценка7[[#This Row],[Расчетная проектная площадь]]</f>
        <v>7994806.4544000002</v>
      </c>
      <c r="AS147" s="27" t="str">
        <f>VLOOKUP(наценка7[[#This Row],[№]],Д402[],COLUMN('Реестр ОН'!$BA$1),0)</f>
        <v>Стр. Резерв</v>
      </c>
      <c r="AT147" s="281">
        <f>ROUND(наценка7[[#This Row],[Цена м2 с учетом всех K]]*наценка7[[#This Row],[Расчетная проектная площадь]],0)</f>
        <v>7874031</v>
      </c>
      <c r="AU147" s="286">
        <v>7874031</v>
      </c>
      <c r="AV147" s="286" t="b">
        <f>наценка7[[#This Row],[Аллио]]=наценка7[[#This Row],[Первичка тест]]</f>
        <v>1</v>
      </c>
    </row>
    <row r="148" spans="1:48" hidden="1" x14ac:dyDescent="0.25">
      <c r="A148" s="65">
        <v>146</v>
      </c>
      <c r="B148" s="2">
        <f>_xlfn.XLOOKUP(наценка7[[#This Row],[№]],Д402[№],Д402[Секция],"-",0)</f>
        <v>2</v>
      </c>
      <c r="C148" s="2">
        <f>_xlfn.XLOOKUP(наценка7[[#This Row],[№]],Д402[№],Д402[Этаж],"-",0)</f>
        <v>8</v>
      </c>
      <c r="D148" s="2">
        <f>_xlfn.XLOOKUP(наценка7[[#This Row],[№]],Д402[№],Д402[№ на этаже],"-",0)</f>
        <v>2</v>
      </c>
      <c r="E148" s="2">
        <f>_xlfn.XLOOKUP(наценка7[[#This Row],[№]],Д402[№],Д402[Тип кв],"-",0)</f>
        <v>1</v>
      </c>
      <c r="F148" s="51">
        <f>_xlfn.XLOOKUP(наценка7[[#This Row],[№]],Д402[№],Д402[Кухня],"-",0)</f>
        <v>11.88</v>
      </c>
      <c r="G148" s="51">
        <f>_xlfn.XLOOKUP(наценка7[[#This Row],[№]],Д402[№],Д402[Ванная],"-",0)</f>
        <v>4.1399999999999997</v>
      </c>
      <c r="H148" s="51" t="s">
        <v>87</v>
      </c>
      <c r="I148" s="51"/>
      <c r="J148" s="51"/>
      <c r="K148" s="51" t="s">
        <v>101</v>
      </c>
      <c r="L148" s="51"/>
      <c r="M148" s="51" t="s">
        <v>83</v>
      </c>
      <c r="N148" s="51"/>
      <c r="O148" s="51" t="s">
        <v>119</v>
      </c>
      <c r="P148" s="51"/>
      <c r="Q148" s="129"/>
      <c r="R148" s="129"/>
      <c r="S148" s="51"/>
      <c r="T148" s="51">
        <f>_xlfn.XLOOKUP(наценка7[[#This Row],[№]],Д402[№],Д402[Расчетная проектная площадь],"-",0)</f>
        <v>36.630000000000003</v>
      </c>
      <c r="U148" s="17">
        <f t="shared" si="3"/>
        <v>89000</v>
      </c>
      <c r="V14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48" s="18">
        <f>наценка7[[#This Row],[Цена м2 базовая]]*наценка7[[#This Row],[Базовой K]]</f>
        <v>119260</v>
      </c>
      <c r="X14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4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4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8" s="55" t="str">
        <f>IF(наценка7[[#This Row],[Потолок ]]="ДА",коэффициенты!$C$13,"")</f>
        <v/>
      </c>
      <c r="AG14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4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4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4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8" s="52">
        <f>SUM(наценка7[[#This Row],[еврокухня]:[Лифт]])*наценка7[[#This Row],[Цена м2 с БK]]+наценка7[[#This Row],[Цена м2 с БK]]</f>
        <v>122837.8</v>
      </c>
      <c r="AQ148" s="51">
        <f>VLOOKUP(наценка7[[#This Row],[№]],Д402[],COLUMN(Д402[[#This Row],[утв цена м2]]),0)</f>
        <v>128462.57</v>
      </c>
      <c r="AR148" s="3">
        <f>наценка7[[#This Row],[утв цена м2]]*наценка7[[#This Row],[Расчетная проектная площадь]]</f>
        <v>4705583.939100001</v>
      </c>
      <c r="AS148" s="27" t="str">
        <f>VLOOKUP(наценка7[[#This Row],[№]],Д402[],COLUMN('Реестр ОН'!$BA$1),0)</f>
        <v>Продажа</v>
      </c>
      <c r="AT148" s="285">
        <f>ROUND(наценка7[[#This Row],[Цена м2 с учетом всех K]]*наценка7[[#This Row],[Расчетная проектная площадь]],0)</f>
        <v>4499549</v>
      </c>
      <c r="AU148" s="286">
        <v>4499549</v>
      </c>
      <c r="AV148" s="286" t="b">
        <f>наценка7[[#This Row],[Аллио]]=наценка7[[#This Row],[Первичка тест]]</f>
        <v>1</v>
      </c>
    </row>
    <row r="149" spans="1:48" hidden="1" x14ac:dyDescent="0.25">
      <c r="A149" s="65">
        <v>147</v>
      </c>
      <c r="B149" s="2">
        <f>_xlfn.XLOOKUP(наценка7[[#This Row],[№]],Д402[№],Д402[Секция],"-",0)</f>
        <v>2</v>
      </c>
      <c r="C149" s="2">
        <f>_xlfn.XLOOKUP(наценка7[[#This Row],[№]],Д402[№],Д402[Этаж],"-",0)</f>
        <v>8</v>
      </c>
      <c r="D149" s="2">
        <f>_xlfn.XLOOKUP(наценка7[[#This Row],[№]],Д402[№],Д402[№ на этаже],"-",0)</f>
        <v>3</v>
      </c>
      <c r="E149" s="2">
        <f>_xlfn.XLOOKUP(наценка7[[#This Row],[№]],Д402[№],Д402[Тип кв],"-",0)</f>
        <v>0</v>
      </c>
      <c r="F149" s="51">
        <f>_xlfn.XLOOKUP(наценка7[[#This Row],[№]],Д402[№],Д402[Кухня],"-",0)</f>
        <v>5.98</v>
      </c>
      <c r="G149" s="51">
        <f>_xlfn.XLOOKUP(наценка7[[#This Row],[№]],Д402[№],Д402[Ванная],"-",0)</f>
        <v>4.54</v>
      </c>
      <c r="H149" s="51" t="s">
        <v>87</v>
      </c>
      <c r="I149" s="51"/>
      <c r="J149" s="51"/>
      <c r="K149" s="51" t="s">
        <v>101</v>
      </c>
      <c r="L149" s="51" t="s">
        <v>119</v>
      </c>
      <c r="M149" s="51" t="s">
        <v>83</v>
      </c>
      <c r="N149" s="51"/>
      <c r="O149" s="51" t="s">
        <v>119</v>
      </c>
      <c r="P149" s="51"/>
      <c r="Q149" s="51" t="s">
        <v>101</v>
      </c>
      <c r="R149" s="51"/>
      <c r="S149" s="51"/>
      <c r="T149" s="51">
        <f>_xlfn.XLOOKUP(наценка7[[#This Row],[№]],Д402[№],Д402[Расчетная проектная площадь],"-",0)</f>
        <v>29.5</v>
      </c>
      <c r="U149" s="17">
        <f t="shared" si="3"/>
        <v>89000</v>
      </c>
      <c r="V14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49" s="18">
        <f>наценка7[[#This Row],[Цена м2 базовая]]*наценка7[[#This Row],[Базовой K]]</f>
        <v>139730</v>
      </c>
      <c r="X14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4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4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4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4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4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4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4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49" s="55" t="str">
        <f>IF(наценка7[[#This Row],[Потолок ]]="ДА",коэффициенты!$C$13,"")</f>
        <v/>
      </c>
      <c r="AG14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4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4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4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49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0.02</v>
      </c>
      <c r="AL14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4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4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4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49" s="52">
        <f>SUM(наценка7[[#This Row],[еврокухня]:[Лифт]])*наценка7[[#This Row],[Цена м2 с БK]]+наценка7[[#This Row],[Цена м2 с БK]]</f>
        <v>145319.20000000001</v>
      </c>
      <c r="AQ149" s="51">
        <f>VLOOKUP(наценка7[[#This Row],[№]],Д402[],COLUMN(Д402[[#This Row],[утв цена м2]]),0)</f>
        <v>146551.70000000001</v>
      </c>
      <c r="AR149" s="3">
        <f>наценка7[[#This Row],[утв цена м2]]*наценка7[[#This Row],[Расчетная проектная площадь]]</f>
        <v>4323275.1500000004</v>
      </c>
      <c r="AS149" s="27" t="str">
        <f>VLOOKUP(наценка7[[#This Row],[№]],Д402[],COLUMN('Реестр ОН'!$BA$1),0)</f>
        <v>Стр. Резерв</v>
      </c>
      <c r="AT149" s="281">
        <f>ROUND(наценка7[[#This Row],[Цена м2 с учетом всех K]]*наценка7[[#This Row],[Расчетная проектная площадь]],0)</f>
        <v>4286916</v>
      </c>
      <c r="AU149" s="286">
        <v>4286916</v>
      </c>
      <c r="AV149" s="286" t="b">
        <f>наценка7[[#This Row],[Аллио]]=наценка7[[#This Row],[Первичка тест]]</f>
        <v>1</v>
      </c>
    </row>
    <row r="150" spans="1:48" hidden="1" x14ac:dyDescent="0.25">
      <c r="A150" s="65">
        <v>148</v>
      </c>
      <c r="B150" s="2">
        <f>_xlfn.XLOOKUP(наценка7[[#This Row],[№]],Д402[№],Д402[Секция],"-",0)</f>
        <v>2</v>
      </c>
      <c r="C150" s="2">
        <f>_xlfn.XLOOKUP(наценка7[[#This Row],[№]],Д402[№],Д402[Этаж],"-",0)</f>
        <v>8</v>
      </c>
      <c r="D150" s="2">
        <f>_xlfn.XLOOKUP(наценка7[[#This Row],[№]],Д402[№],Д402[№ на этаже],"-",0)</f>
        <v>4</v>
      </c>
      <c r="E150" s="2">
        <f>_xlfn.XLOOKUP(наценка7[[#This Row],[№]],Д402[№],Д402[Тип кв],"-",0)</f>
        <v>0</v>
      </c>
      <c r="F150" s="51">
        <f>_xlfn.XLOOKUP(наценка7[[#This Row],[№]],Д402[№],Д402[Кухня],"-",0)</f>
        <v>5.98</v>
      </c>
      <c r="G150" s="51">
        <f>_xlfn.XLOOKUP(наценка7[[#This Row],[№]],Д402[№],Д402[Ванная],"-",0)</f>
        <v>4.54</v>
      </c>
      <c r="H150" s="51" t="s">
        <v>87</v>
      </c>
      <c r="I150" s="51"/>
      <c r="J150" s="51"/>
      <c r="K150" s="51" t="s">
        <v>101</v>
      </c>
      <c r="L150" s="51" t="s">
        <v>119</v>
      </c>
      <c r="M150" s="51" t="s">
        <v>83</v>
      </c>
      <c r="N150" s="51"/>
      <c r="O150" s="51" t="s">
        <v>119</v>
      </c>
      <c r="P150" s="51"/>
      <c r="Q150" s="129"/>
      <c r="R150" s="129"/>
      <c r="S150" s="51"/>
      <c r="T150" s="51">
        <f>_xlfn.XLOOKUP(наценка7[[#This Row],[№]],Д402[№],Д402[Расчетная проектная площадь],"-",0)</f>
        <v>27.99</v>
      </c>
      <c r="U150" s="17">
        <f t="shared" si="3"/>
        <v>89000</v>
      </c>
      <c r="V15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50" s="18">
        <f>наценка7[[#This Row],[Цена м2 базовая]]*наценка7[[#This Row],[Базовой K]]</f>
        <v>139730</v>
      </c>
      <c r="X15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5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5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0" s="55" t="str">
        <f>IF(наценка7[[#This Row],[Потолок ]]="ДА",коэффициенты!$C$13,"")</f>
        <v/>
      </c>
      <c r="AG15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5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5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5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0" s="52">
        <f>SUM(наценка7[[#This Row],[еврокухня]:[Лифт]])*наценка7[[#This Row],[Цена м2 с БK]]+наценка7[[#This Row],[Цена м2 с БK]]</f>
        <v>142524.6</v>
      </c>
      <c r="AQ150" s="51">
        <f>VLOOKUP(наценка7[[#This Row],[№]],Д402[],COLUMN(Д402[[#This Row],[утв цена м2]]),0)</f>
        <v>143757.1</v>
      </c>
      <c r="AR150" s="3">
        <f>наценка7[[#This Row],[утв цена м2]]*наценка7[[#This Row],[Расчетная проектная площадь]]</f>
        <v>4023761.2289999998</v>
      </c>
      <c r="AS150" s="27" t="str">
        <f>VLOOKUP(наценка7[[#This Row],[№]],Д402[],COLUMN('Реестр ОН'!$BA$1),0)</f>
        <v>Стр. Резерв</v>
      </c>
      <c r="AT150" s="281">
        <f>ROUND(наценка7[[#This Row],[Цена м2 с учетом всех K]]*наценка7[[#This Row],[Расчетная проектная площадь]],0)</f>
        <v>3989264</v>
      </c>
      <c r="AU150" s="286">
        <v>3989264</v>
      </c>
      <c r="AV150" s="286" t="b">
        <f>наценка7[[#This Row],[Аллио]]=наценка7[[#This Row],[Первичка тест]]</f>
        <v>1</v>
      </c>
    </row>
    <row r="151" spans="1:48" hidden="1" x14ac:dyDescent="0.25">
      <c r="A151" s="65">
        <v>149</v>
      </c>
      <c r="B151" s="2">
        <f>_xlfn.XLOOKUP(наценка7[[#This Row],[№]],Д402[№],Д402[Секция],"-",0)</f>
        <v>2</v>
      </c>
      <c r="C151" s="2">
        <f>_xlfn.XLOOKUP(наценка7[[#This Row],[№]],Д402[№],Д402[Этаж],"-",0)</f>
        <v>8</v>
      </c>
      <c r="D151" s="2">
        <f>_xlfn.XLOOKUP(наценка7[[#This Row],[№]],Д402[№],Д402[№ на этаже],"-",0)</f>
        <v>5</v>
      </c>
      <c r="E151" s="2">
        <f>_xlfn.XLOOKUP(наценка7[[#This Row],[№]],Д402[№],Д402[Тип кв],"-",0)</f>
        <v>2</v>
      </c>
      <c r="F151" s="51">
        <f>_xlfn.XLOOKUP(наценка7[[#This Row],[№]],Д402[№],Д402[Кухня],"-",0)</f>
        <v>12.38</v>
      </c>
      <c r="G151" s="51">
        <f>_xlfn.XLOOKUP(наценка7[[#This Row],[№]],Д402[№],Д402[Ванная],"-",0)</f>
        <v>4.1399999999999997</v>
      </c>
      <c r="H151" s="51" t="s">
        <v>87</v>
      </c>
      <c r="I151" s="51"/>
      <c r="J151" s="51"/>
      <c r="K151" s="51" t="s">
        <v>101</v>
      </c>
      <c r="L151" s="51"/>
      <c r="M151" s="51" t="s">
        <v>83</v>
      </c>
      <c r="N151" s="51"/>
      <c r="O151" s="51" t="s">
        <v>119</v>
      </c>
      <c r="P151" s="51"/>
      <c r="Q151" s="129"/>
      <c r="R151" s="129"/>
      <c r="S151" s="51"/>
      <c r="T151" s="51">
        <f>_xlfn.XLOOKUP(наценка7[[#This Row],[№]],Д402[№],Д402[Расчетная проектная площадь],"-",0)</f>
        <v>63.44</v>
      </c>
      <c r="U151" s="17">
        <f t="shared" si="3"/>
        <v>89000</v>
      </c>
      <c r="V15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51" s="18">
        <f>наценка7[[#This Row],[Цена м2 базовая]]*наценка7[[#This Row],[Базовой K]]</f>
        <v>113030</v>
      </c>
      <c r="X15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1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5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5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5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1" s="55" t="str">
        <f>IF(наценка7[[#This Row],[Потолок ]]="ДА",коэффициенты!$C$13,"")</f>
        <v/>
      </c>
      <c r="AG15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5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5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1" s="52">
        <f>SUM(наценка7[[#This Row],[еврокухня]:[Лифт]])*наценка7[[#This Row],[Цена м2 с БK]]+наценка7[[#This Row],[Цена м2 с БK]]</f>
        <v>119811.8</v>
      </c>
      <c r="AQ151" s="51">
        <f>VLOOKUP(наценка7[[#This Row],[№]],Д402[],COLUMN(Д402[[#This Row],[утв цена м2]]),0)</f>
        <v>118052.96</v>
      </c>
      <c r="AR151" s="3">
        <f>наценка7[[#This Row],[утв цена м2]]*наценка7[[#This Row],[Расчетная проектная площадь]]</f>
        <v>7489279.7823999999</v>
      </c>
      <c r="AS151" s="27" t="str">
        <f>VLOOKUP(наценка7[[#This Row],[№]],Д402[],COLUMN('Реестр ОН'!$BA$1),0)</f>
        <v>Стр. Резерв</v>
      </c>
      <c r="AT151" s="281">
        <f>ROUND(наценка7[[#This Row],[Цена м2 с учетом всех K]]*наценка7[[#This Row],[Расчетная проектная площадь]],0)</f>
        <v>7600861</v>
      </c>
      <c r="AU151" s="286">
        <v>7600861</v>
      </c>
      <c r="AV151" s="286" t="b">
        <f>наценка7[[#This Row],[Аллио]]=наценка7[[#This Row],[Первичка тест]]</f>
        <v>1</v>
      </c>
    </row>
    <row r="152" spans="1:48" hidden="1" x14ac:dyDescent="0.25">
      <c r="A152" s="65">
        <v>150</v>
      </c>
      <c r="B152" s="2">
        <f>_xlfn.XLOOKUP(наценка7[[#This Row],[№]],Д402[№],Д402[Секция],"-",0)</f>
        <v>2</v>
      </c>
      <c r="C152" s="2">
        <f>_xlfn.XLOOKUP(наценка7[[#This Row],[№]],Д402[№],Д402[Этаж],"-",0)</f>
        <v>8</v>
      </c>
      <c r="D152" s="2">
        <f>_xlfn.XLOOKUP(наценка7[[#This Row],[№]],Д402[№],Д402[№ на этаже],"-",0)</f>
        <v>6</v>
      </c>
      <c r="E152" s="2">
        <f>_xlfn.XLOOKUP(наценка7[[#This Row],[№]],Д402[№],Д402[Тип кв],"-",0)</f>
        <v>2</v>
      </c>
      <c r="F152" s="51">
        <f>_xlfn.XLOOKUP(наценка7[[#This Row],[№]],Д402[№],Д402[Кухня],"-",0)</f>
        <v>13.65</v>
      </c>
      <c r="G152" s="51">
        <f>_xlfn.XLOOKUP(наценка7[[#This Row],[№]],Д402[№],Д402[Ванная],"-",0)</f>
        <v>5.22</v>
      </c>
      <c r="H152" s="51" t="s">
        <v>84</v>
      </c>
      <c r="I152" s="51"/>
      <c r="J152" s="51"/>
      <c r="K152" s="51"/>
      <c r="L152" s="51"/>
      <c r="M152" s="51" t="s">
        <v>88</v>
      </c>
      <c r="N152" s="51"/>
      <c r="O152" s="51" t="s">
        <v>119</v>
      </c>
      <c r="P152" s="51" t="s">
        <v>101</v>
      </c>
      <c r="Q152" s="51" t="s">
        <v>101</v>
      </c>
      <c r="R152" s="129"/>
      <c r="S152" s="51"/>
      <c r="T152" s="51">
        <f>_xlfn.XLOOKUP(наценка7[[#This Row],[№]],Д402[№],Д402[Расчетная проектная площадь],"-",0)</f>
        <v>60.94</v>
      </c>
      <c r="U152" s="17">
        <f t="shared" si="3"/>
        <v>89000</v>
      </c>
      <c r="V15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52" s="18">
        <f>наценка7[[#This Row],[Цена м2 базовая]]*наценка7[[#This Row],[Базовой K]]</f>
        <v>113030</v>
      </c>
      <c r="X15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5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2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5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5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5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5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2" s="55" t="str">
        <f>IF(наценка7[[#This Row],[Потолок ]]="ДА",коэффициенты!$C$13,"")</f>
        <v/>
      </c>
      <c r="AG15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52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5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2" s="52">
        <f>SUM(наценка7[[#This Row],[еврокухня]:[Лифт]])*наценка7[[#This Row],[Цена м2 с БK]]+наценка7[[#This Row],[Цена м2 с БK]]</f>
        <v>126593.60000000001</v>
      </c>
      <c r="AQ152" s="51">
        <f>VLOOKUP(наценка7[[#This Row],[№]],Д402[],COLUMN(Д402[[#This Row],[утв цена м2]]),0)</f>
        <v>121967.69</v>
      </c>
      <c r="AR152" s="3">
        <f>наценка7[[#This Row],[утв цена м2]]*наценка7[[#This Row],[Расчетная проектная площадь]]</f>
        <v>7432711.0285999998</v>
      </c>
      <c r="AS152" s="27" t="str">
        <f>VLOOKUP(наценка7[[#This Row],[№]],Д402[],COLUMN('Реестр ОН'!$BA$1),0)</f>
        <v>Свободно</v>
      </c>
      <c r="AT152" s="281">
        <f>ROUND(наценка7[[#This Row],[Цена м2 с учетом всех K]]*наценка7[[#This Row],[Расчетная проектная площадь]],0)</f>
        <v>7714614</v>
      </c>
      <c r="AU152" s="286">
        <v>7714614</v>
      </c>
      <c r="AV152" s="286" t="b">
        <f>наценка7[[#This Row],[Аллио]]=наценка7[[#This Row],[Первичка тест]]</f>
        <v>1</v>
      </c>
    </row>
    <row r="153" spans="1:48" hidden="1" x14ac:dyDescent="0.25">
      <c r="A153" s="65">
        <v>151</v>
      </c>
      <c r="B153" s="2">
        <f>_xlfn.XLOOKUP(наценка7[[#This Row],[№]],Д402[№],Д402[Секция],"-",0)</f>
        <v>2</v>
      </c>
      <c r="C153" s="2">
        <f>_xlfn.XLOOKUP(наценка7[[#This Row],[№]],Д402[№],Д402[Этаж],"-",0)</f>
        <v>9</v>
      </c>
      <c r="D153" s="2">
        <f>_xlfn.XLOOKUP(наценка7[[#This Row],[№]],Д402[№],Д402[№ на этаже],"-",0)</f>
        <v>1</v>
      </c>
      <c r="E153" s="2">
        <f>_xlfn.XLOOKUP(наценка7[[#This Row],[№]],Д402[№],Д402[Тип кв],"-",0)</f>
        <v>2</v>
      </c>
      <c r="F153" s="51">
        <f>_xlfn.XLOOKUP(наценка7[[#This Row],[№]],Д402[№],Д402[Кухня],"-",0)</f>
        <v>14.29</v>
      </c>
      <c r="G153" s="51">
        <f>_xlfn.XLOOKUP(наценка7[[#This Row],[№]],Д402[№],Д402[Ванная],"-",0)</f>
        <v>4.5199999999999996</v>
      </c>
      <c r="H153" s="51" t="s">
        <v>84</v>
      </c>
      <c r="I153" s="51"/>
      <c r="J153" s="51"/>
      <c r="K153" s="51" t="s">
        <v>101</v>
      </c>
      <c r="L153" s="51"/>
      <c r="M153" s="51" t="s">
        <v>83</v>
      </c>
      <c r="N153" s="51" t="s">
        <v>101</v>
      </c>
      <c r="O153" s="51" t="s">
        <v>119</v>
      </c>
      <c r="P153" s="51" t="s">
        <v>101</v>
      </c>
      <c r="Q153" s="51" t="s">
        <v>101</v>
      </c>
      <c r="R153" s="129"/>
      <c r="S153" s="51" t="s">
        <v>101</v>
      </c>
      <c r="T153" s="51">
        <f>_xlfn.XLOOKUP(наценка7[[#This Row],[№]],Д402[№],Д402[Расчетная проектная площадь],"-",0)</f>
        <v>65.72</v>
      </c>
      <c r="U153" s="17">
        <f t="shared" si="3"/>
        <v>89000</v>
      </c>
      <c r="V15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53" s="18">
        <f>наценка7[[#This Row],[Цена м2 базовая]]*наценка7[[#This Row],[Базовой K]]</f>
        <v>113030</v>
      </c>
      <c r="X15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5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5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5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5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3" s="55" t="str">
        <f>IF(наценка7[[#This Row],[Потолок ]]="ДА",коэффициенты!$C$13,"")</f>
        <v/>
      </c>
      <c r="AG15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53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5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3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53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53" s="52">
        <f>SUM(наценка7[[#This Row],[еврокухня]:[Лифт]])*наценка7[[#This Row],[Цена м2 с БK]]+наценка7[[#This Row],[Цена м2 с БK]]</f>
        <v>119811.8</v>
      </c>
      <c r="AQ153" s="51">
        <f>VLOOKUP(наценка7[[#This Row],[№]],Д402[],COLUMN(Д402[[#This Row],[утв цена м2]]),0)</f>
        <v>121649.52</v>
      </c>
      <c r="AR153" s="3">
        <f>наценка7[[#This Row],[утв цена м2]]*наценка7[[#This Row],[Расчетная проектная площадь]]</f>
        <v>7994806.4544000002</v>
      </c>
      <c r="AS153" s="27" t="str">
        <f>VLOOKUP(наценка7[[#This Row],[№]],Д402[],COLUMN('Реестр ОН'!$BA$1),0)</f>
        <v>Стр. Резерв</v>
      </c>
      <c r="AT153" s="281">
        <f>ROUND(наценка7[[#This Row],[Цена м2 с учетом всех K]]*наценка7[[#This Row],[Расчетная проектная площадь]],0)</f>
        <v>7874031</v>
      </c>
      <c r="AU153" s="286">
        <v>7874031</v>
      </c>
      <c r="AV153" s="286" t="b">
        <f>наценка7[[#This Row],[Аллио]]=наценка7[[#This Row],[Первичка тест]]</f>
        <v>1</v>
      </c>
    </row>
    <row r="154" spans="1:48" hidden="1" x14ac:dyDescent="0.25">
      <c r="A154" s="65">
        <v>152</v>
      </c>
      <c r="B154" s="2">
        <f>_xlfn.XLOOKUP(наценка7[[#This Row],[№]],Д402[№],Д402[Секция],"-",0)</f>
        <v>2</v>
      </c>
      <c r="C154" s="2">
        <f>_xlfn.XLOOKUP(наценка7[[#This Row],[№]],Д402[№],Д402[Этаж],"-",0)</f>
        <v>9</v>
      </c>
      <c r="D154" s="2">
        <f>_xlfn.XLOOKUP(наценка7[[#This Row],[№]],Д402[№],Д402[№ на этаже],"-",0)</f>
        <v>2</v>
      </c>
      <c r="E154" s="2">
        <f>_xlfn.XLOOKUP(наценка7[[#This Row],[№]],Д402[№],Д402[Тип кв],"-",0)</f>
        <v>1</v>
      </c>
      <c r="F154" s="51">
        <f>_xlfn.XLOOKUP(наценка7[[#This Row],[№]],Д402[№],Д402[Кухня],"-",0)</f>
        <v>11.88</v>
      </c>
      <c r="G154" s="51">
        <f>_xlfn.XLOOKUP(наценка7[[#This Row],[№]],Д402[№],Д402[Ванная],"-",0)</f>
        <v>4.1399999999999997</v>
      </c>
      <c r="H154" s="51" t="s">
        <v>87</v>
      </c>
      <c r="I154" s="51"/>
      <c r="J154" s="51"/>
      <c r="K154" s="51" t="s">
        <v>101</v>
      </c>
      <c r="L154" s="51"/>
      <c r="M154" s="51" t="s">
        <v>83</v>
      </c>
      <c r="N154" s="51"/>
      <c r="O154" s="51" t="s">
        <v>119</v>
      </c>
      <c r="P154" s="51"/>
      <c r="Q154" s="129"/>
      <c r="R154" s="129"/>
      <c r="S154" s="51"/>
      <c r="T154" s="51">
        <f>_xlfn.XLOOKUP(наценка7[[#This Row],[№]],Д402[№],Д402[Расчетная проектная площадь],"-",0)</f>
        <v>36.630000000000003</v>
      </c>
      <c r="U154" s="17">
        <f t="shared" si="3"/>
        <v>89000</v>
      </c>
      <c r="V15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54" s="18">
        <f>наценка7[[#This Row],[Цена м2 базовая]]*наценка7[[#This Row],[Базовой K]]</f>
        <v>119260</v>
      </c>
      <c r="X15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5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5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4" s="55" t="str">
        <f>IF(наценка7[[#This Row],[Потолок ]]="ДА",коэффициенты!$C$13,"")</f>
        <v/>
      </c>
      <c r="AG15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5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5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4" s="52">
        <f>SUM(наценка7[[#This Row],[еврокухня]:[Лифт]])*наценка7[[#This Row],[Цена м2 с БK]]+наценка7[[#This Row],[Цена м2 с БK]]</f>
        <v>122837.8</v>
      </c>
      <c r="AQ154" s="51">
        <f>VLOOKUP(наценка7[[#This Row],[№]],Д402[],COLUMN(Д402[[#This Row],[утв цена м2]]),0)</f>
        <v>128462.57</v>
      </c>
      <c r="AR154" s="3">
        <f>наценка7[[#This Row],[утв цена м2]]*наценка7[[#This Row],[Расчетная проектная площадь]]</f>
        <v>4705583.939100001</v>
      </c>
      <c r="AS154" s="27" t="str">
        <f>VLOOKUP(наценка7[[#This Row],[№]],Д402[],COLUMN('Реестр ОН'!$BA$1),0)</f>
        <v>Продажа</v>
      </c>
      <c r="AT154" s="285">
        <f>ROUND(наценка7[[#This Row],[Цена м2 с учетом всех K]]*наценка7[[#This Row],[Расчетная проектная площадь]],0)</f>
        <v>4499549</v>
      </c>
      <c r="AU154" s="286">
        <v>4499549</v>
      </c>
      <c r="AV154" s="286" t="b">
        <f>наценка7[[#This Row],[Аллио]]=наценка7[[#This Row],[Первичка тест]]</f>
        <v>1</v>
      </c>
    </row>
    <row r="155" spans="1:48" hidden="1" x14ac:dyDescent="0.25">
      <c r="A155" s="65">
        <v>153</v>
      </c>
      <c r="B155" s="2">
        <f>_xlfn.XLOOKUP(наценка7[[#This Row],[№]],Д402[№],Д402[Секция],"-",0)</f>
        <v>2</v>
      </c>
      <c r="C155" s="2">
        <f>_xlfn.XLOOKUP(наценка7[[#This Row],[№]],Д402[№],Д402[Этаж],"-",0)</f>
        <v>9</v>
      </c>
      <c r="D155" s="2">
        <f>_xlfn.XLOOKUP(наценка7[[#This Row],[№]],Д402[№],Д402[№ на этаже],"-",0)</f>
        <v>3</v>
      </c>
      <c r="E155" s="2">
        <f>_xlfn.XLOOKUP(наценка7[[#This Row],[№]],Д402[№],Д402[Тип кв],"-",0)</f>
        <v>0</v>
      </c>
      <c r="F155" s="51">
        <f>_xlfn.XLOOKUP(наценка7[[#This Row],[№]],Д402[№],Д402[Кухня],"-",0)</f>
        <v>5.98</v>
      </c>
      <c r="G155" s="51">
        <f>_xlfn.XLOOKUP(наценка7[[#This Row],[№]],Д402[№],Д402[Ванная],"-",0)</f>
        <v>4.54</v>
      </c>
      <c r="H155" s="51" t="s">
        <v>87</v>
      </c>
      <c r="I155" s="51"/>
      <c r="J155" s="51"/>
      <c r="K155" s="51" t="s">
        <v>101</v>
      </c>
      <c r="L155" s="51" t="s">
        <v>119</v>
      </c>
      <c r="M155" s="51" t="s">
        <v>83</v>
      </c>
      <c r="N155" s="51"/>
      <c r="O155" s="51" t="s">
        <v>119</v>
      </c>
      <c r="P155" s="51"/>
      <c r="Q155" s="51" t="s">
        <v>101</v>
      </c>
      <c r="R155" s="51"/>
      <c r="S155" s="51"/>
      <c r="T155" s="51">
        <f>_xlfn.XLOOKUP(наценка7[[#This Row],[№]],Д402[№],Д402[Расчетная проектная площадь],"-",0)</f>
        <v>29.5</v>
      </c>
      <c r="U155" s="17">
        <f t="shared" si="3"/>
        <v>89000</v>
      </c>
      <c r="V15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55" s="18">
        <f>наценка7[[#This Row],[Цена м2 базовая]]*наценка7[[#This Row],[Базовой K]]</f>
        <v>139730</v>
      </c>
      <c r="X15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5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5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5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5" s="55" t="str">
        <f>IF(наценка7[[#This Row],[Потолок ]]="ДА",коэффициенты!$C$13,"")</f>
        <v/>
      </c>
      <c r="AG15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55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0.02</v>
      </c>
      <c r="AL15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5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5" s="52">
        <f>SUM(наценка7[[#This Row],[еврокухня]:[Лифт]])*наценка7[[#This Row],[Цена м2 с БK]]+наценка7[[#This Row],[Цена м2 с БK]]</f>
        <v>145319.20000000001</v>
      </c>
      <c r="AQ155" s="51">
        <f>VLOOKUP(наценка7[[#This Row],[№]],Д402[],COLUMN(Д402[[#This Row],[утв цена м2]]),0)</f>
        <v>146551.70000000001</v>
      </c>
      <c r="AR155" s="3">
        <f>наценка7[[#This Row],[утв цена м2]]*наценка7[[#This Row],[Расчетная проектная площадь]]</f>
        <v>4323275.1500000004</v>
      </c>
      <c r="AS155" s="27" t="str">
        <f>VLOOKUP(наценка7[[#This Row],[№]],Д402[],COLUMN('Реестр ОН'!$BA$1),0)</f>
        <v>Стр. Резерв</v>
      </c>
      <c r="AT155" s="281">
        <f>ROUND(наценка7[[#This Row],[Цена м2 с учетом всех K]]*наценка7[[#This Row],[Расчетная проектная площадь]],0)</f>
        <v>4286916</v>
      </c>
      <c r="AU155" s="286">
        <v>4286916</v>
      </c>
      <c r="AV155" s="286" t="b">
        <f>наценка7[[#This Row],[Аллио]]=наценка7[[#This Row],[Первичка тест]]</f>
        <v>1</v>
      </c>
    </row>
    <row r="156" spans="1:48" hidden="1" x14ac:dyDescent="0.25">
      <c r="A156" s="65">
        <v>154</v>
      </c>
      <c r="B156" s="2">
        <f>_xlfn.XLOOKUP(наценка7[[#This Row],[№]],Д402[№],Д402[Секция],"-",0)</f>
        <v>2</v>
      </c>
      <c r="C156" s="2">
        <f>_xlfn.XLOOKUP(наценка7[[#This Row],[№]],Д402[№],Д402[Этаж],"-",0)</f>
        <v>9</v>
      </c>
      <c r="D156" s="2">
        <f>_xlfn.XLOOKUP(наценка7[[#This Row],[№]],Д402[№],Д402[№ на этаже],"-",0)</f>
        <v>4</v>
      </c>
      <c r="E156" s="2">
        <f>_xlfn.XLOOKUP(наценка7[[#This Row],[№]],Д402[№],Д402[Тип кв],"-",0)</f>
        <v>0</v>
      </c>
      <c r="F156" s="51">
        <f>_xlfn.XLOOKUP(наценка7[[#This Row],[№]],Д402[№],Д402[Кухня],"-",0)</f>
        <v>5.98</v>
      </c>
      <c r="G156" s="51">
        <f>_xlfn.XLOOKUP(наценка7[[#This Row],[№]],Д402[№],Д402[Ванная],"-",0)</f>
        <v>4.54</v>
      </c>
      <c r="H156" s="51" t="s">
        <v>87</v>
      </c>
      <c r="I156" s="51"/>
      <c r="J156" s="51"/>
      <c r="K156" s="51" t="s">
        <v>101</v>
      </c>
      <c r="L156" s="51" t="s">
        <v>119</v>
      </c>
      <c r="M156" s="51" t="s">
        <v>83</v>
      </c>
      <c r="N156" s="51"/>
      <c r="O156" s="51" t="s">
        <v>119</v>
      </c>
      <c r="P156" s="51"/>
      <c r="Q156" s="129"/>
      <c r="R156" s="129"/>
      <c r="S156" s="51"/>
      <c r="T156" s="51">
        <f>_xlfn.XLOOKUP(наценка7[[#This Row],[№]],Д402[№],Д402[Расчетная проектная площадь],"-",0)</f>
        <v>27.99</v>
      </c>
      <c r="U156" s="17">
        <f t="shared" si="3"/>
        <v>89000</v>
      </c>
      <c r="V15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56" s="18">
        <f>наценка7[[#This Row],[Цена м2 базовая]]*наценка7[[#This Row],[Базовой K]]</f>
        <v>139730</v>
      </c>
      <c r="X15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5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5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6" s="55" t="str">
        <f>IF(наценка7[[#This Row],[Потолок ]]="ДА",коэффициенты!$C$13,"")</f>
        <v/>
      </c>
      <c r="AG15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5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56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5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6" s="52">
        <f>SUM(наценка7[[#This Row],[еврокухня]:[Лифт]])*наценка7[[#This Row],[Цена м2 с БK]]+наценка7[[#This Row],[Цена м2 с БK]]</f>
        <v>142524.6</v>
      </c>
      <c r="AQ156" s="51">
        <f>VLOOKUP(наценка7[[#This Row],[№]],Д402[],COLUMN(Д402[[#This Row],[утв цена м2]]),0)</f>
        <v>143757.1</v>
      </c>
      <c r="AR156" s="3">
        <f>наценка7[[#This Row],[утв цена м2]]*наценка7[[#This Row],[Расчетная проектная площадь]]</f>
        <v>4023761.2289999998</v>
      </c>
      <c r="AS156" s="27" t="str">
        <f>VLOOKUP(наценка7[[#This Row],[№]],Д402[],COLUMN('Реестр ОН'!$BA$1),0)</f>
        <v>Стр. Резерв</v>
      </c>
      <c r="AT156" s="281">
        <f>ROUND(наценка7[[#This Row],[Цена м2 с учетом всех K]]*наценка7[[#This Row],[Расчетная проектная площадь]],0)</f>
        <v>3989264</v>
      </c>
      <c r="AU156" s="286">
        <v>3989264</v>
      </c>
      <c r="AV156" s="286" t="b">
        <f>наценка7[[#This Row],[Аллио]]=наценка7[[#This Row],[Первичка тест]]</f>
        <v>1</v>
      </c>
    </row>
    <row r="157" spans="1:48" hidden="1" x14ac:dyDescent="0.25">
      <c r="A157" s="65">
        <v>155</v>
      </c>
      <c r="B157" s="2">
        <f>_xlfn.XLOOKUP(наценка7[[#This Row],[№]],Д402[№],Д402[Секция],"-",0)</f>
        <v>2</v>
      </c>
      <c r="C157" s="2">
        <f>_xlfn.XLOOKUP(наценка7[[#This Row],[№]],Д402[№],Д402[Этаж],"-",0)</f>
        <v>9</v>
      </c>
      <c r="D157" s="2">
        <f>_xlfn.XLOOKUP(наценка7[[#This Row],[№]],Д402[№],Д402[№ на этаже],"-",0)</f>
        <v>5</v>
      </c>
      <c r="E157" s="2">
        <f>_xlfn.XLOOKUP(наценка7[[#This Row],[№]],Д402[№],Д402[Тип кв],"-",0)</f>
        <v>2</v>
      </c>
      <c r="F157" s="51">
        <f>_xlfn.XLOOKUP(наценка7[[#This Row],[№]],Д402[№],Д402[Кухня],"-",0)</f>
        <v>12.38</v>
      </c>
      <c r="G157" s="51">
        <f>_xlfn.XLOOKUP(наценка7[[#This Row],[№]],Д402[№],Д402[Ванная],"-",0)</f>
        <v>4.1399999999999997</v>
      </c>
      <c r="H157" s="51" t="s">
        <v>87</v>
      </c>
      <c r="I157" s="51"/>
      <c r="J157" s="51"/>
      <c r="K157" s="51" t="s">
        <v>101</v>
      </c>
      <c r="L157" s="51"/>
      <c r="M157" s="51" t="s">
        <v>83</v>
      </c>
      <c r="N157" s="51"/>
      <c r="O157" s="51" t="s">
        <v>119</v>
      </c>
      <c r="P157" s="51"/>
      <c r="Q157" s="129"/>
      <c r="R157" s="129"/>
      <c r="S157" s="51"/>
      <c r="T157" s="51">
        <f>_xlfn.XLOOKUP(наценка7[[#This Row],[№]],Д402[№],Д402[Расчетная проектная площадь],"-",0)</f>
        <v>63.44</v>
      </c>
      <c r="U157" s="17">
        <f t="shared" si="3"/>
        <v>89000</v>
      </c>
      <c r="V15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57" s="18">
        <f>наценка7[[#This Row],[Цена м2 базовая]]*наценка7[[#This Row],[Базовой K]]</f>
        <v>113030</v>
      </c>
      <c r="X15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7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5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5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5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7" s="55" t="str">
        <f>IF(наценка7[[#This Row],[Потолок ]]="ДА",коэффициенты!$C$13,"")</f>
        <v/>
      </c>
      <c r="AG15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5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5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7" s="52">
        <f>SUM(наценка7[[#This Row],[еврокухня]:[Лифт]])*наценка7[[#This Row],[Цена м2 с БK]]+наценка7[[#This Row],[Цена м2 с БK]]</f>
        <v>119811.8</v>
      </c>
      <c r="AQ157" s="51">
        <f>VLOOKUP(наценка7[[#This Row],[№]],Д402[],COLUMN(Д402[[#This Row],[утв цена м2]]),0)</f>
        <v>114614.52</v>
      </c>
      <c r="AR157" s="3">
        <f>наценка7[[#This Row],[утв цена м2]]*наценка7[[#This Row],[Расчетная проектная площадь]]</f>
        <v>7271145.1487999996</v>
      </c>
      <c r="AS157" s="27" t="str">
        <f>VLOOKUP(наценка7[[#This Row],[№]],Д402[],COLUMN('Реестр ОН'!$BA$1),0)</f>
        <v>Продажа</v>
      </c>
      <c r="AT157" s="281">
        <f>ROUND(наценка7[[#This Row],[Цена м2 с учетом всех K]]*наценка7[[#This Row],[Расчетная проектная площадь]],0)</f>
        <v>7600861</v>
      </c>
      <c r="AU157" s="286">
        <v>7600861</v>
      </c>
      <c r="AV157" s="286" t="b">
        <f>наценка7[[#This Row],[Аллио]]=наценка7[[#This Row],[Первичка тест]]</f>
        <v>1</v>
      </c>
    </row>
    <row r="158" spans="1:48" hidden="1" x14ac:dyDescent="0.25">
      <c r="A158" s="65">
        <v>156</v>
      </c>
      <c r="B158" s="2">
        <f>_xlfn.XLOOKUP(наценка7[[#This Row],[№]],Д402[№],Д402[Секция],"-",0)</f>
        <v>2</v>
      </c>
      <c r="C158" s="2">
        <f>_xlfn.XLOOKUP(наценка7[[#This Row],[№]],Д402[№],Д402[Этаж],"-",0)</f>
        <v>9</v>
      </c>
      <c r="D158" s="2">
        <f>_xlfn.XLOOKUP(наценка7[[#This Row],[№]],Д402[№],Д402[№ на этаже],"-",0)</f>
        <v>6</v>
      </c>
      <c r="E158" s="2">
        <f>_xlfn.XLOOKUP(наценка7[[#This Row],[№]],Д402[№],Д402[Тип кв],"-",0)</f>
        <v>2</v>
      </c>
      <c r="F158" s="51">
        <f>_xlfn.XLOOKUP(наценка7[[#This Row],[№]],Д402[№],Д402[Кухня],"-",0)</f>
        <v>13.65</v>
      </c>
      <c r="G158" s="51">
        <f>_xlfn.XLOOKUP(наценка7[[#This Row],[№]],Д402[№],Д402[Ванная],"-",0)</f>
        <v>5.22</v>
      </c>
      <c r="H158" s="51" t="s">
        <v>84</v>
      </c>
      <c r="I158" s="51"/>
      <c r="J158" s="51"/>
      <c r="K158" s="51"/>
      <c r="L158" s="51"/>
      <c r="M158" s="51" t="s">
        <v>88</v>
      </c>
      <c r="N158" s="51"/>
      <c r="O158" s="51" t="s">
        <v>119</v>
      </c>
      <c r="P158" s="51"/>
      <c r="Q158" s="51" t="s">
        <v>101</v>
      </c>
      <c r="R158" s="129"/>
      <c r="S158" s="51"/>
      <c r="T158" s="51">
        <f>_xlfn.XLOOKUP(наценка7[[#This Row],[№]],Д402[№],Д402[Расчетная проектная площадь],"-",0)</f>
        <v>60.94</v>
      </c>
      <c r="U158" s="17">
        <f t="shared" si="3"/>
        <v>89000</v>
      </c>
      <c r="V15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58" s="18">
        <f>наценка7[[#This Row],[Цена м2 базовая]]*наценка7[[#This Row],[Базовой K]]</f>
        <v>113030</v>
      </c>
      <c r="X15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58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5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8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5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5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5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8" s="55" t="str">
        <f>IF(наценка7[[#This Row],[Потолок ]]="ДА",коэффициенты!$C$13,"")</f>
        <v/>
      </c>
      <c r="AG15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58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5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5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58" s="52">
        <f>SUM(наценка7[[#This Row],[еврокухня]:[Лифт]])*наценка7[[#This Row],[Цена м2 с БK]]+наценка7[[#This Row],[Цена м2 с БK]]</f>
        <v>124333</v>
      </c>
      <c r="AQ158" s="51">
        <f>VLOOKUP(наценка7[[#This Row],[№]],Д402[],COLUMN(Д402[[#This Row],[утв цена м2]]),0)</f>
        <v>119627.63</v>
      </c>
      <c r="AR158" s="3">
        <f>наценка7[[#This Row],[утв цена м2]]*наценка7[[#This Row],[Расчетная проектная площадь]]</f>
        <v>7290107.7722000005</v>
      </c>
      <c r="AS158" s="27" t="str">
        <f>VLOOKUP(наценка7[[#This Row],[№]],Д402[],COLUMN('Реестр ОН'!$BA$1),0)</f>
        <v>Стр. Резерв</v>
      </c>
      <c r="AT158" s="281">
        <f>ROUND(наценка7[[#This Row],[Цена м2 с учетом всех K]]*наценка7[[#This Row],[Расчетная проектная площадь]],0)</f>
        <v>7576853</v>
      </c>
      <c r="AU158" s="286">
        <v>7576853</v>
      </c>
      <c r="AV158" s="286" t="b">
        <f>наценка7[[#This Row],[Аллио]]=наценка7[[#This Row],[Первичка тест]]</f>
        <v>1</v>
      </c>
    </row>
    <row r="159" spans="1:48" hidden="1" x14ac:dyDescent="0.25">
      <c r="A159" s="65">
        <v>157</v>
      </c>
      <c r="B159" s="2">
        <f>_xlfn.XLOOKUP(наценка7[[#This Row],[№]],Д402[№],Д402[Секция],"-",0)</f>
        <v>2</v>
      </c>
      <c r="C159" s="2">
        <f>_xlfn.XLOOKUP(наценка7[[#This Row],[№]],Д402[№],Д402[Этаж],"-",0)</f>
        <v>10</v>
      </c>
      <c r="D159" s="2">
        <f>_xlfn.XLOOKUP(наценка7[[#This Row],[№]],Д402[№],Д402[№ на этаже],"-",0)</f>
        <v>1</v>
      </c>
      <c r="E159" s="2">
        <f>_xlfn.XLOOKUP(наценка7[[#This Row],[№]],Д402[№],Д402[Тип кв],"-",0)</f>
        <v>2</v>
      </c>
      <c r="F159" s="51">
        <f>_xlfn.XLOOKUP(наценка7[[#This Row],[№]],Д402[№],Д402[Кухня],"-",0)</f>
        <v>14.29</v>
      </c>
      <c r="G159" s="51">
        <f>_xlfn.XLOOKUP(наценка7[[#This Row],[№]],Д402[№],Д402[Ванная],"-",0)</f>
        <v>4.45</v>
      </c>
      <c r="H159" s="51" t="s">
        <v>84</v>
      </c>
      <c r="I159" s="51"/>
      <c r="J159" s="51"/>
      <c r="K159" s="51" t="s">
        <v>101</v>
      </c>
      <c r="L159" s="51"/>
      <c r="M159" s="51" t="s">
        <v>83</v>
      </c>
      <c r="N159" s="51" t="s">
        <v>101</v>
      </c>
      <c r="O159" s="51" t="s">
        <v>119</v>
      </c>
      <c r="P159" s="51"/>
      <c r="Q159" s="51" t="s">
        <v>101</v>
      </c>
      <c r="R159" s="129"/>
      <c r="S159" s="51" t="s">
        <v>101</v>
      </c>
      <c r="T159" s="51">
        <f>_xlfn.XLOOKUP(наценка7[[#This Row],[№]],Д402[№],Д402[Расчетная проектная площадь],"-",0)</f>
        <v>65.650000000000006</v>
      </c>
      <c r="U159" s="17">
        <f t="shared" si="3"/>
        <v>89000</v>
      </c>
      <c r="V15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59" s="18">
        <f>наценка7[[#This Row],[Цена м2 базовая]]*наценка7[[#This Row],[Базовой K]]</f>
        <v>113030</v>
      </c>
      <c r="X15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5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5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5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5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5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5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5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59" s="55" t="str">
        <f>IF(наценка7[[#This Row],[Потолок ]]="ДА",коэффициенты!$C$13,"")</f>
        <v/>
      </c>
      <c r="AG15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5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5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5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59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5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5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59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59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59" s="52">
        <f>SUM(наценка7[[#This Row],[еврокухня]:[Лифт]])*наценка7[[#This Row],[Цена м2 с БK]]+наценка7[[#This Row],[Цена м2 с БK]]</f>
        <v>117551.2</v>
      </c>
      <c r="AQ159" s="51">
        <f>VLOOKUP(наценка7[[#This Row],[№]],Д402[],COLUMN(Д402[[#This Row],[утв цена м2]]),0)</f>
        <v>118551.2</v>
      </c>
      <c r="AR159" s="3">
        <f>наценка7[[#This Row],[утв цена м2]]*наценка7[[#This Row],[Расчетная проектная площадь]]</f>
        <v>7782886.2800000003</v>
      </c>
      <c r="AS159" s="27" t="str">
        <f>VLOOKUP(наценка7[[#This Row],[№]],Д402[],COLUMN('Реестр ОН'!$BA$1),0)</f>
        <v>Продажа</v>
      </c>
      <c r="AT159" s="281">
        <f>ROUND(наценка7[[#This Row],[Цена м2 с учетом всех K]]*наценка7[[#This Row],[Расчетная проектная площадь]],0)</f>
        <v>7717236</v>
      </c>
      <c r="AU159" s="286">
        <v>7717236</v>
      </c>
      <c r="AV159" s="286" t="b">
        <f>наценка7[[#This Row],[Аллио]]=наценка7[[#This Row],[Первичка тест]]</f>
        <v>1</v>
      </c>
    </row>
    <row r="160" spans="1:48" hidden="1" x14ac:dyDescent="0.25">
      <c r="A160" s="65">
        <v>158</v>
      </c>
      <c r="B160" s="2">
        <f>_xlfn.XLOOKUP(наценка7[[#This Row],[№]],Д402[№],Д402[Секция],"-",0)</f>
        <v>2</v>
      </c>
      <c r="C160" s="2">
        <f>_xlfn.XLOOKUP(наценка7[[#This Row],[№]],Д402[№],Д402[Этаж],"-",0)</f>
        <v>10</v>
      </c>
      <c r="D160" s="2">
        <f>_xlfn.XLOOKUP(наценка7[[#This Row],[№]],Д402[№],Д402[№ на этаже],"-",0)</f>
        <v>2</v>
      </c>
      <c r="E160" s="2">
        <f>_xlfn.XLOOKUP(наценка7[[#This Row],[№]],Д402[№],Д402[Тип кв],"-",0)</f>
        <v>1</v>
      </c>
      <c r="F160" s="51">
        <f>_xlfn.XLOOKUP(наценка7[[#This Row],[№]],Д402[№],Д402[Кухня],"-",0)</f>
        <v>11.88</v>
      </c>
      <c r="G160" s="51">
        <f>_xlfn.XLOOKUP(наценка7[[#This Row],[№]],Д402[№],Д402[Ванная],"-",0)</f>
        <v>4.07</v>
      </c>
      <c r="H160" s="51" t="s">
        <v>87</v>
      </c>
      <c r="I160" s="51"/>
      <c r="J160" s="51"/>
      <c r="K160" s="51" t="s">
        <v>101</v>
      </c>
      <c r="L160" s="51"/>
      <c r="M160" s="51" t="s">
        <v>83</v>
      </c>
      <c r="N160" s="51"/>
      <c r="O160" s="51" t="s">
        <v>119</v>
      </c>
      <c r="P160" s="51"/>
      <c r="Q160" s="129"/>
      <c r="R160" s="129"/>
      <c r="S160" s="51"/>
      <c r="T160" s="51">
        <f>_xlfn.XLOOKUP(наценка7[[#This Row],[№]],Д402[№],Д402[Расчетная проектная площадь],"-",0)</f>
        <v>36.56</v>
      </c>
      <c r="U160" s="17">
        <f t="shared" si="3"/>
        <v>89000</v>
      </c>
      <c r="V16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60" s="18">
        <f>наценка7[[#This Row],[Цена м2 базовая]]*наценка7[[#This Row],[Базовой K]]</f>
        <v>119260</v>
      </c>
      <c r="X16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6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6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6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0" s="55" t="str">
        <f>IF(наценка7[[#This Row],[Потолок ]]="ДА",коэффициенты!$C$13,"")</f>
        <v/>
      </c>
      <c r="AG16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6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0" s="52">
        <f>SUM(наценка7[[#This Row],[еврокухня]:[Лифт]])*наценка7[[#This Row],[Цена м2 с БK]]+наценка7[[#This Row],[Цена м2 с БK]]</f>
        <v>122837.8</v>
      </c>
      <c r="AQ160" s="51">
        <f>VLOOKUP(наценка7[[#This Row],[№]],Д402[],COLUMN(Д402[[#This Row],[утв цена м2]]),0)</f>
        <v>123837.8</v>
      </c>
      <c r="AR160" s="3">
        <f>наценка7[[#This Row],[утв цена м2]]*наценка7[[#This Row],[Расчетная проектная площадь]]</f>
        <v>4527509.9680000003</v>
      </c>
      <c r="AS160" s="27" t="str">
        <f>VLOOKUP(наценка7[[#This Row],[№]],Д402[],COLUMN('Реестр ОН'!$BA$1),0)</f>
        <v>Продажа</v>
      </c>
      <c r="AT160" s="285">
        <f>ROUND(наценка7[[#This Row],[Цена м2 с учетом всех K]]*наценка7[[#This Row],[Расчетная проектная площадь]],0)</f>
        <v>4490950</v>
      </c>
      <c r="AU160" s="286">
        <v>4490950</v>
      </c>
      <c r="AV160" s="286" t="b">
        <f>наценка7[[#This Row],[Аллио]]=наценка7[[#This Row],[Первичка тест]]</f>
        <v>1</v>
      </c>
    </row>
    <row r="161" spans="1:48" hidden="1" x14ac:dyDescent="0.25">
      <c r="A161" s="65">
        <v>159</v>
      </c>
      <c r="B161" s="2">
        <f>_xlfn.XLOOKUP(наценка7[[#This Row],[№]],Д402[№],Д402[Секция],"-",0)</f>
        <v>2</v>
      </c>
      <c r="C161" s="2">
        <f>_xlfn.XLOOKUP(наценка7[[#This Row],[№]],Д402[№],Д402[Этаж],"-",0)</f>
        <v>10</v>
      </c>
      <c r="D161" s="2">
        <f>_xlfn.XLOOKUP(наценка7[[#This Row],[№]],Д402[№],Д402[№ на этаже],"-",0)</f>
        <v>3</v>
      </c>
      <c r="E161" s="2">
        <f>_xlfn.XLOOKUP(наценка7[[#This Row],[№]],Д402[№],Д402[Тип кв],"-",0)</f>
        <v>0</v>
      </c>
      <c r="F161" s="51">
        <f>_xlfn.XLOOKUP(наценка7[[#This Row],[№]],Д402[№],Д402[Кухня],"-",0)</f>
        <v>5.98</v>
      </c>
      <c r="G161" s="51">
        <f>_xlfn.XLOOKUP(наценка7[[#This Row],[№]],Д402[№],Д402[Ванная],"-",0)</f>
        <v>4.47</v>
      </c>
      <c r="H161" s="51" t="s">
        <v>87</v>
      </c>
      <c r="I161" s="51"/>
      <c r="J161" s="51"/>
      <c r="K161" s="51" t="s">
        <v>101</v>
      </c>
      <c r="L161" s="51" t="s">
        <v>119</v>
      </c>
      <c r="M161" s="51" t="s">
        <v>83</v>
      </c>
      <c r="N161" s="51"/>
      <c r="O161" s="51" t="s">
        <v>119</v>
      </c>
      <c r="P161" s="51"/>
      <c r="Q161" s="129"/>
      <c r="R161" s="129"/>
      <c r="S161" s="51"/>
      <c r="T161" s="51">
        <f>_xlfn.XLOOKUP(наценка7[[#This Row],[№]],Д402[№],Д402[Расчетная проектная площадь],"-",0)</f>
        <v>29.43</v>
      </c>
      <c r="U161" s="17">
        <f t="shared" si="3"/>
        <v>89000</v>
      </c>
      <c r="V16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61" s="18">
        <f>наценка7[[#This Row],[Цена м2 базовая]]*наценка7[[#This Row],[Базовой K]]</f>
        <v>139730</v>
      </c>
      <c r="X16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6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6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6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1" s="55" t="str">
        <f>IF(наценка7[[#This Row],[Потолок ]]="ДА",коэффициенты!$C$13,"")</f>
        <v/>
      </c>
      <c r="AG16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6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1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6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1" s="52">
        <f>SUM(наценка7[[#This Row],[еврокухня]:[Лифт]])*наценка7[[#This Row],[Цена м2 с БK]]+наценка7[[#This Row],[Цена м2 с БK]]</f>
        <v>142524.6</v>
      </c>
      <c r="AQ161" s="51">
        <f>VLOOKUP(наценка7[[#This Row],[№]],Д402[],COLUMN(Д402[[#This Row],[утв цена м2]]),0)</f>
        <v>143757.1</v>
      </c>
      <c r="AR161" s="3">
        <f>наценка7[[#This Row],[утв цена м2]]*наценка7[[#This Row],[Расчетная проектная площадь]]</f>
        <v>4230771.4529999997</v>
      </c>
      <c r="AS161" s="27" t="str">
        <f>VLOOKUP(наценка7[[#This Row],[№]],Д402[],COLUMN('Реестр ОН'!$BA$1),0)</f>
        <v>Стр. Резерв</v>
      </c>
      <c r="AT161" s="281">
        <f>ROUND(наценка7[[#This Row],[Цена м2 с учетом всех K]]*наценка7[[#This Row],[Расчетная проектная площадь]],0)</f>
        <v>4194499</v>
      </c>
      <c r="AU161" s="286">
        <v>4194499</v>
      </c>
      <c r="AV161" s="286" t="b">
        <f>наценка7[[#This Row],[Аллио]]=наценка7[[#This Row],[Первичка тест]]</f>
        <v>1</v>
      </c>
    </row>
    <row r="162" spans="1:48" hidden="1" x14ac:dyDescent="0.25">
      <c r="A162" s="65">
        <v>160</v>
      </c>
      <c r="B162" s="2">
        <f>_xlfn.XLOOKUP(наценка7[[#This Row],[№]],Д402[№],Д402[Секция],"-",0)</f>
        <v>2</v>
      </c>
      <c r="C162" s="2">
        <f>_xlfn.XLOOKUP(наценка7[[#This Row],[№]],Д402[№],Д402[Этаж],"-",0)</f>
        <v>10</v>
      </c>
      <c r="D162" s="2">
        <f>_xlfn.XLOOKUP(наценка7[[#This Row],[№]],Д402[№],Д402[№ на этаже],"-",0)</f>
        <v>4</v>
      </c>
      <c r="E162" s="2">
        <f>_xlfn.XLOOKUP(наценка7[[#This Row],[№]],Д402[№],Д402[Тип кв],"-",0)</f>
        <v>0</v>
      </c>
      <c r="F162" s="51">
        <f>_xlfn.XLOOKUP(наценка7[[#This Row],[№]],Д402[№],Д402[Кухня],"-",0)</f>
        <v>5.98</v>
      </c>
      <c r="G162" s="51">
        <f>_xlfn.XLOOKUP(наценка7[[#This Row],[№]],Д402[№],Д402[Ванная],"-",0)</f>
        <v>4.47</v>
      </c>
      <c r="H162" s="51" t="s">
        <v>87</v>
      </c>
      <c r="I162" s="51"/>
      <c r="J162" s="51"/>
      <c r="K162" s="51" t="s">
        <v>101</v>
      </c>
      <c r="L162" s="51" t="s">
        <v>119</v>
      </c>
      <c r="M162" s="51" t="s">
        <v>83</v>
      </c>
      <c r="N162" s="51"/>
      <c r="O162" s="51" t="s">
        <v>119</v>
      </c>
      <c r="P162" s="51"/>
      <c r="Q162" s="129"/>
      <c r="R162" s="129"/>
      <c r="S162" s="51"/>
      <c r="T162" s="51">
        <f>_xlfn.XLOOKUP(наценка7[[#This Row],[№]],Д402[№],Д402[Расчетная проектная площадь],"-",0)</f>
        <v>27.92</v>
      </c>
      <c r="U162" s="17">
        <f t="shared" si="3"/>
        <v>89000</v>
      </c>
      <c r="V16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62" s="18">
        <f>наценка7[[#This Row],[Цена м2 базовая]]*наценка7[[#This Row],[Базовой K]]</f>
        <v>139730</v>
      </c>
      <c r="X16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6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6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6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2" s="55" t="str">
        <f>IF(наценка7[[#This Row],[Потолок ]]="ДА",коэффициенты!$C$13,"")</f>
        <v/>
      </c>
      <c r="AG16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6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2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6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2" s="52">
        <f>SUM(наценка7[[#This Row],[еврокухня]:[Лифт]])*наценка7[[#This Row],[Цена м2 с БK]]+наценка7[[#This Row],[Цена м2 с БK]]</f>
        <v>142524.6</v>
      </c>
      <c r="AQ162" s="51">
        <f>VLOOKUP(наценка7[[#This Row],[№]],Д402[],COLUMN(Д402[[#This Row],[утв цена м2]]),0)</f>
        <v>143757.1</v>
      </c>
      <c r="AR162" s="3">
        <f>наценка7[[#This Row],[утв цена м2]]*наценка7[[#This Row],[Расчетная проектная площадь]]</f>
        <v>4013698.2320000003</v>
      </c>
      <c r="AS162" s="27" t="str">
        <f>VLOOKUP(наценка7[[#This Row],[№]],Д402[],COLUMN('Реестр ОН'!$BA$1),0)</f>
        <v>Стр. Резерв</v>
      </c>
      <c r="AT162" s="281">
        <f>ROUND(наценка7[[#This Row],[Цена м2 с учетом всех K]]*наценка7[[#This Row],[Расчетная проектная площадь]],0)</f>
        <v>3979287</v>
      </c>
      <c r="AU162" s="286">
        <v>3979287</v>
      </c>
      <c r="AV162" s="286" t="b">
        <f>наценка7[[#This Row],[Аллио]]=наценка7[[#This Row],[Первичка тест]]</f>
        <v>1</v>
      </c>
    </row>
    <row r="163" spans="1:48" hidden="1" x14ac:dyDescent="0.25">
      <c r="A163" s="65">
        <v>161</v>
      </c>
      <c r="B163" s="2">
        <f>_xlfn.XLOOKUP(наценка7[[#This Row],[№]],Д402[№],Д402[Секция],"-",0)</f>
        <v>2</v>
      </c>
      <c r="C163" s="2">
        <f>_xlfn.XLOOKUP(наценка7[[#This Row],[№]],Д402[№],Д402[Этаж],"-",0)</f>
        <v>10</v>
      </c>
      <c r="D163" s="2">
        <f>_xlfn.XLOOKUP(наценка7[[#This Row],[№]],Д402[№],Д402[№ на этаже],"-",0)</f>
        <v>5</v>
      </c>
      <c r="E163" s="2">
        <f>_xlfn.XLOOKUP(наценка7[[#This Row],[№]],Д402[№],Д402[Тип кв],"-",0)</f>
        <v>2</v>
      </c>
      <c r="F163" s="51">
        <f>_xlfn.XLOOKUP(наценка7[[#This Row],[№]],Д402[№],Д402[Кухня],"-",0)</f>
        <v>12.38</v>
      </c>
      <c r="G163" s="51">
        <f>_xlfn.XLOOKUP(наценка7[[#This Row],[№]],Д402[№],Д402[Ванная],"-",0)</f>
        <v>4.07</v>
      </c>
      <c r="H163" s="51" t="s">
        <v>87</v>
      </c>
      <c r="I163" s="51"/>
      <c r="J163" s="51"/>
      <c r="K163" s="51" t="s">
        <v>101</v>
      </c>
      <c r="L163" s="51"/>
      <c r="M163" s="51" t="s">
        <v>83</v>
      </c>
      <c r="N163" s="51"/>
      <c r="O163" s="51" t="s">
        <v>119</v>
      </c>
      <c r="P163" s="51" t="s">
        <v>101</v>
      </c>
      <c r="Q163" s="129"/>
      <c r="R163" s="129"/>
      <c r="S163" s="51"/>
      <c r="T163" s="51">
        <f>_xlfn.XLOOKUP(наценка7[[#This Row],[№]],Д402[№],Д402[Расчетная проектная площадь],"-",0)</f>
        <v>63.37</v>
      </c>
      <c r="U163" s="17">
        <f t="shared" si="3"/>
        <v>89000</v>
      </c>
      <c r="V16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63" s="18">
        <f>наценка7[[#This Row],[Цена м2 базовая]]*наценка7[[#This Row],[Базовой K]]</f>
        <v>113030</v>
      </c>
      <c r="X16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3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6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6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6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6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3" s="55" t="str">
        <f>IF(наценка7[[#This Row],[Потолок ]]="ДА",коэффициенты!$C$13,"")</f>
        <v/>
      </c>
      <c r="AG16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6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3" s="52">
        <f>SUM(наценка7[[#This Row],[еврокухня]:[Лифт]])*наценка7[[#This Row],[Цена м2 с БK]]+наценка7[[#This Row],[Цена м2 с БK]]</f>
        <v>122072.4</v>
      </c>
      <c r="AQ163" s="51">
        <f>VLOOKUP(наценка7[[#This Row],[№]],Д402[],COLUMN(Д402[[#This Row],[утв цена м2]]),0)</f>
        <v>120393.02</v>
      </c>
      <c r="AR163" s="3">
        <f>наценка7[[#This Row],[утв цена м2]]*наценка7[[#This Row],[Расчетная проектная площадь]]</f>
        <v>7629305.6774000004</v>
      </c>
      <c r="AS163" s="27" t="str">
        <f>VLOOKUP(наценка7[[#This Row],[№]],Д402[],COLUMN('Реестр ОН'!$BA$1),0)</f>
        <v>Стр. Резерв</v>
      </c>
      <c r="AT163" s="281">
        <f>ROUND(наценка7[[#This Row],[Цена м2 с учетом всех K]]*наценка7[[#This Row],[Расчетная проектная площадь]],0)</f>
        <v>7735728</v>
      </c>
      <c r="AU163" s="286">
        <v>7735728</v>
      </c>
      <c r="AV163" s="286" t="b">
        <f>наценка7[[#This Row],[Аллио]]=наценка7[[#This Row],[Первичка тест]]</f>
        <v>1</v>
      </c>
    </row>
    <row r="164" spans="1:48" hidden="1" x14ac:dyDescent="0.25">
      <c r="A164" s="65">
        <v>162</v>
      </c>
      <c r="B164" s="2">
        <f>_xlfn.XLOOKUP(наценка7[[#This Row],[№]],Д402[№],Д402[Секция],"-",0)</f>
        <v>2</v>
      </c>
      <c r="C164" s="2">
        <f>_xlfn.XLOOKUP(наценка7[[#This Row],[№]],Д402[№],Д402[Этаж],"-",0)</f>
        <v>10</v>
      </c>
      <c r="D164" s="2">
        <f>_xlfn.XLOOKUP(наценка7[[#This Row],[№]],Д402[№],Д402[№ на этаже],"-",0)</f>
        <v>6</v>
      </c>
      <c r="E164" s="2">
        <f>_xlfn.XLOOKUP(наценка7[[#This Row],[№]],Д402[№],Д402[Тип кв],"-",0)</f>
        <v>2</v>
      </c>
      <c r="F164" s="51">
        <f>_xlfn.XLOOKUP(наценка7[[#This Row],[№]],Д402[№],Д402[Кухня],"-",0)</f>
        <v>13.65</v>
      </c>
      <c r="G164" s="51">
        <f>_xlfn.XLOOKUP(наценка7[[#This Row],[№]],Д402[№],Д402[Ванная],"-",0)</f>
        <v>5.15</v>
      </c>
      <c r="H164" s="51" t="s">
        <v>84</v>
      </c>
      <c r="I164" s="51"/>
      <c r="J164" s="51"/>
      <c r="K164" s="51"/>
      <c r="L164" s="51"/>
      <c r="M164" s="51" t="s">
        <v>88</v>
      </c>
      <c r="N164" s="51"/>
      <c r="O164" s="51" t="s">
        <v>119</v>
      </c>
      <c r="P164" s="51" t="s">
        <v>101</v>
      </c>
      <c r="Q164" s="51" t="s">
        <v>101</v>
      </c>
      <c r="R164" s="129"/>
      <c r="S164" s="51"/>
      <c r="T164" s="51">
        <f>_xlfn.XLOOKUP(наценка7[[#This Row],[№]],Д402[№],Д402[Расчетная проектная площадь],"-",0)</f>
        <v>60.87</v>
      </c>
      <c r="U164" s="17">
        <f t="shared" si="3"/>
        <v>89000</v>
      </c>
      <c r="V16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64" s="18">
        <f>наценка7[[#This Row],[Цена м2 базовая]]*наценка7[[#This Row],[Базовой K]]</f>
        <v>113030</v>
      </c>
      <c r="X16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4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6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4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6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6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6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6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4" s="55" t="str">
        <f>IF(наценка7[[#This Row],[Потолок ]]="ДА",коэффициенты!$C$13,"")</f>
        <v/>
      </c>
      <c r="AG16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64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6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4" s="52">
        <f>SUM(наценка7[[#This Row],[еврокухня]:[Лифт]])*наценка7[[#This Row],[Цена м2 с БK]]+наценка7[[#This Row],[Цена м2 с БK]]</f>
        <v>126593.60000000001</v>
      </c>
      <c r="AQ164" s="51">
        <f>VLOOKUP(наценка7[[#This Row],[№]],Д402[],COLUMN(Д402[[#This Row],[утв цена м2]]),0)</f>
        <v>118415.23</v>
      </c>
      <c r="AR164" s="3">
        <f>наценка7[[#This Row],[утв цена м2]]*наценка7[[#This Row],[Расчетная проектная площадь]]</f>
        <v>7207935.0500999996</v>
      </c>
      <c r="AS164" s="27" t="str">
        <f>VLOOKUP(наценка7[[#This Row],[№]],Д402[],COLUMN('Реестр ОН'!$BA$1),0)</f>
        <v>Продажа</v>
      </c>
      <c r="AT164" s="281">
        <f>ROUND(наценка7[[#This Row],[Цена м2 с учетом всех K]]*наценка7[[#This Row],[Расчетная проектная площадь]],0)</f>
        <v>7705752</v>
      </c>
      <c r="AU164" s="286">
        <v>7705752</v>
      </c>
      <c r="AV164" s="286" t="b">
        <f>наценка7[[#This Row],[Аллио]]=наценка7[[#This Row],[Первичка тест]]</f>
        <v>1</v>
      </c>
    </row>
    <row r="165" spans="1:48" hidden="1" x14ac:dyDescent="0.25">
      <c r="A165" s="65">
        <v>163</v>
      </c>
      <c r="B165" s="2">
        <f>_xlfn.XLOOKUP(наценка7[[#This Row],[№]],Д402[№],Д402[Секция],"-",0)</f>
        <v>2</v>
      </c>
      <c r="C165" s="2">
        <f>_xlfn.XLOOKUP(наценка7[[#This Row],[№]],Д402[№],Д402[Этаж],"-",0)</f>
        <v>11</v>
      </c>
      <c r="D165" s="2">
        <f>_xlfn.XLOOKUP(наценка7[[#This Row],[№]],Д402[№],Д402[№ на этаже],"-",0)</f>
        <v>1</v>
      </c>
      <c r="E165" s="2">
        <f>_xlfn.XLOOKUP(наценка7[[#This Row],[№]],Д402[№],Д402[Тип кв],"-",0)</f>
        <v>2</v>
      </c>
      <c r="F165" s="51">
        <f>_xlfn.XLOOKUP(наценка7[[#This Row],[№]],Д402[№],Д402[Кухня],"-",0)</f>
        <v>14.29</v>
      </c>
      <c r="G165" s="51">
        <f>_xlfn.XLOOKUP(наценка7[[#This Row],[№]],Д402[№],Д402[Ванная],"-",0)</f>
        <v>4.45</v>
      </c>
      <c r="H165" s="51" t="s">
        <v>84</v>
      </c>
      <c r="I165" s="51"/>
      <c r="J165" s="51"/>
      <c r="K165" s="51" t="s">
        <v>101</v>
      </c>
      <c r="L165" s="51"/>
      <c r="M165" s="51" t="s">
        <v>83</v>
      </c>
      <c r="N165" s="51" t="s">
        <v>101</v>
      </c>
      <c r="O165" s="51" t="s">
        <v>119</v>
      </c>
      <c r="P165" s="51" t="s">
        <v>101</v>
      </c>
      <c r="Q165" s="51" t="s">
        <v>101</v>
      </c>
      <c r="R165" s="129"/>
      <c r="S165" s="51" t="s">
        <v>101</v>
      </c>
      <c r="T165" s="51">
        <f>_xlfn.XLOOKUP(наценка7[[#This Row],[№]],Д402[№],Д402[Расчетная проектная площадь],"-",0)</f>
        <v>65.650000000000006</v>
      </c>
      <c r="U165" s="17">
        <f t="shared" si="3"/>
        <v>89000</v>
      </c>
      <c r="V16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65" s="18">
        <f>наценка7[[#This Row],[Цена м2 базовая]]*наценка7[[#This Row],[Базовой K]]</f>
        <v>113030</v>
      </c>
      <c r="X16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6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6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65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6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5" s="55" t="str">
        <f>IF(наценка7[[#This Row],[Потолок ]]="ДА",коэффициенты!$C$13,"")</f>
        <v/>
      </c>
      <c r="AG16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65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6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65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65" s="52">
        <f>SUM(наценка7[[#This Row],[еврокухня]:[Лифт]])*наценка7[[#This Row],[Цена м2 с БK]]+наценка7[[#This Row],[Цена м2 с БK]]</f>
        <v>119811.8</v>
      </c>
      <c r="AQ165" s="51">
        <f>VLOOKUP(наценка7[[#This Row],[№]],Д402[],COLUMN(Д402[[#This Row],[утв цена м2]]),0)</f>
        <v>121649.52</v>
      </c>
      <c r="AR165" s="3">
        <f>наценка7[[#This Row],[утв цена м2]]*наценка7[[#This Row],[Расчетная проектная площадь]]</f>
        <v>7986290.9880000008</v>
      </c>
      <c r="AS165" s="27" t="str">
        <f>VLOOKUP(наценка7[[#This Row],[№]],Д402[],COLUMN('Реестр ОН'!$BA$1),0)</f>
        <v>Стр. Резерв</v>
      </c>
      <c r="AT165" s="281">
        <f>ROUND(наценка7[[#This Row],[Цена м2 с учетом всех K]]*наценка7[[#This Row],[Расчетная проектная площадь]],0)</f>
        <v>7865645</v>
      </c>
      <c r="AU165" s="286">
        <v>7865645</v>
      </c>
      <c r="AV165" s="286" t="b">
        <f>наценка7[[#This Row],[Аллио]]=наценка7[[#This Row],[Первичка тест]]</f>
        <v>1</v>
      </c>
    </row>
    <row r="166" spans="1:48" hidden="1" x14ac:dyDescent="0.25">
      <c r="A166" s="65">
        <v>164</v>
      </c>
      <c r="B166" s="2">
        <f>_xlfn.XLOOKUP(наценка7[[#This Row],[№]],Д402[№],Д402[Секция],"-",0)</f>
        <v>2</v>
      </c>
      <c r="C166" s="2">
        <f>_xlfn.XLOOKUP(наценка7[[#This Row],[№]],Д402[№],Д402[Этаж],"-",0)</f>
        <v>11</v>
      </c>
      <c r="D166" s="2">
        <f>_xlfn.XLOOKUP(наценка7[[#This Row],[№]],Д402[№],Д402[№ на этаже],"-",0)</f>
        <v>2</v>
      </c>
      <c r="E166" s="2">
        <f>_xlfn.XLOOKUP(наценка7[[#This Row],[№]],Д402[№],Д402[Тип кв],"-",0)</f>
        <v>1</v>
      </c>
      <c r="F166" s="51">
        <f>_xlfn.XLOOKUP(наценка7[[#This Row],[№]],Д402[№],Д402[Кухня],"-",0)</f>
        <v>11.88</v>
      </c>
      <c r="G166" s="51">
        <f>_xlfn.XLOOKUP(наценка7[[#This Row],[№]],Д402[№],Д402[Ванная],"-",0)</f>
        <v>4.07</v>
      </c>
      <c r="H166" s="51" t="s">
        <v>87</v>
      </c>
      <c r="I166" s="51"/>
      <c r="J166" s="51"/>
      <c r="K166" s="51" t="s">
        <v>101</v>
      </c>
      <c r="L166" s="51"/>
      <c r="M166" s="51" t="s">
        <v>83</v>
      </c>
      <c r="N166" s="51"/>
      <c r="O166" s="51" t="s">
        <v>119</v>
      </c>
      <c r="P166" s="51" t="s">
        <v>101</v>
      </c>
      <c r="Q166" s="129"/>
      <c r="R166" s="129"/>
      <c r="S166" s="51"/>
      <c r="T166" s="51">
        <f>_xlfn.XLOOKUP(наценка7[[#This Row],[№]],Д402[№],Д402[Расчетная проектная площадь],"-",0)</f>
        <v>36.56</v>
      </c>
      <c r="U166" s="17">
        <f t="shared" si="3"/>
        <v>89000</v>
      </c>
      <c r="V16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66" s="18">
        <f>наценка7[[#This Row],[Цена м2 базовая]]*наценка7[[#This Row],[Базовой K]]</f>
        <v>119260</v>
      </c>
      <c r="X16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6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6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6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6" s="55" t="str">
        <f>IF(наценка7[[#This Row],[Потолок ]]="ДА",коэффициенты!$C$13,"")</f>
        <v/>
      </c>
      <c r="AG16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6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6" s="52">
        <f>SUM(наценка7[[#This Row],[еврокухня]:[Лифт]])*наценка7[[#This Row],[Цена м2 с БK]]+наценка7[[#This Row],[Цена м2 с БK]]</f>
        <v>125223</v>
      </c>
      <c r="AQ166" s="51">
        <f>VLOOKUP(наценка7[[#This Row],[№]],Д402[],COLUMN(Д402[[#This Row],[утв цена м2]]),0)</f>
        <v>130932.21</v>
      </c>
      <c r="AR166" s="3">
        <f>наценка7[[#This Row],[утв цена м2]]*наценка7[[#This Row],[Расчетная проектная площадь]]</f>
        <v>4786881.5976000009</v>
      </c>
      <c r="AS166" s="27" t="str">
        <f>VLOOKUP(наценка7[[#This Row],[№]],Д402[],COLUMN('Реестр ОН'!$BA$1),0)</f>
        <v>Стр. Резерв</v>
      </c>
      <c r="AT166" s="285">
        <f>ROUND(наценка7[[#This Row],[Цена м2 с учетом всех K]]*наценка7[[#This Row],[Расчетная проектная площадь]],0)</f>
        <v>4578153</v>
      </c>
      <c r="AU166" s="286">
        <v>4578153</v>
      </c>
      <c r="AV166" s="286" t="b">
        <f>наценка7[[#This Row],[Аллио]]=наценка7[[#This Row],[Первичка тест]]</f>
        <v>1</v>
      </c>
    </row>
    <row r="167" spans="1:48" hidden="1" x14ac:dyDescent="0.25">
      <c r="A167" s="65">
        <v>165</v>
      </c>
      <c r="B167" s="2">
        <f>_xlfn.XLOOKUP(наценка7[[#This Row],[№]],Д402[№],Д402[Секция],"-",0)</f>
        <v>2</v>
      </c>
      <c r="C167" s="2">
        <f>_xlfn.XLOOKUP(наценка7[[#This Row],[№]],Д402[№],Д402[Этаж],"-",0)</f>
        <v>11</v>
      </c>
      <c r="D167" s="2">
        <f>_xlfn.XLOOKUP(наценка7[[#This Row],[№]],Д402[№],Д402[№ на этаже],"-",0)</f>
        <v>3</v>
      </c>
      <c r="E167" s="2">
        <f>_xlfn.XLOOKUP(наценка7[[#This Row],[№]],Д402[№],Д402[Тип кв],"-",0)</f>
        <v>0</v>
      </c>
      <c r="F167" s="51">
        <f>_xlfn.XLOOKUP(наценка7[[#This Row],[№]],Д402[№],Д402[Кухня],"-",0)</f>
        <v>5.98</v>
      </c>
      <c r="G167" s="51">
        <f>_xlfn.XLOOKUP(наценка7[[#This Row],[№]],Д402[№],Д402[Ванная],"-",0)</f>
        <v>4.47</v>
      </c>
      <c r="H167" s="51" t="s">
        <v>87</v>
      </c>
      <c r="I167" s="51"/>
      <c r="J167" s="51"/>
      <c r="K167" s="51" t="s">
        <v>101</v>
      </c>
      <c r="L167" s="51" t="s">
        <v>119</v>
      </c>
      <c r="M167" s="51" t="s">
        <v>83</v>
      </c>
      <c r="N167" s="51"/>
      <c r="O167" s="51" t="s">
        <v>119</v>
      </c>
      <c r="P167" s="51"/>
      <c r="Q167" s="129"/>
      <c r="R167" s="129"/>
      <c r="S167" s="51"/>
      <c r="T167" s="51">
        <f>_xlfn.XLOOKUP(наценка7[[#This Row],[№]],Д402[№],Д402[Расчетная проектная площадь],"-",0)</f>
        <v>29.43</v>
      </c>
      <c r="U167" s="17">
        <f t="shared" si="3"/>
        <v>89000</v>
      </c>
      <c r="V16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67" s="18">
        <f>наценка7[[#This Row],[Цена м2 базовая]]*наценка7[[#This Row],[Базовой K]]</f>
        <v>139730</v>
      </c>
      <c r="X16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6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6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6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7" s="55" t="str">
        <f>IF(наценка7[[#This Row],[Потолок ]]="ДА",коэффициенты!$C$13,"")</f>
        <v/>
      </c>
      <c r="AG16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6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7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6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7" s="52">
        <f>SUM(наценка7[[#This Row],[еврокухня]:[Лифт]])*наценка7[[#This Row],[Цена м2 с БK]]+наценка7[[#This Row],[Цена м2 с БK]]</f>
        <v>142524.6</v>
      </c>
      <c r="AQ167" s="51">
        <f>VLOOKUP(наценка7[[#This Row],[№]],Д402[],COLUMN(Д402[[#This Row],[утв цена м2]]),0)</f>
        <v>143757.1</v>
      </c>
      <c r="AR167" s="3">
        <f>наценка7[[#This Row],[утв цена м2]]*наценка7[[#This Row],[Расчетная проектная площадь]]</f>
        <v>4230771.4529999997</v>
      </c>
      <c r="AS167" s="27" t="str">
        <f>VLOOKUP(наценка7[[#This Row],[№]],Д402[],COLUMN('Реестр ОН'!$BA$1),0)</f>
        <v>Стр. Резерв</v>
      </c>
      <c r="AT167" s="281">
        <f>ROUND(наценка7[[#This Row],[Цена м2 с учетом всех K]]*наценка7[[#This Row],[Расчетная проектная площадь]],0)</f>
        <v>4194499</v>
      </c>
      <c r="AU167" s="286">
        <v>4194499</v>
      </c>
      <c r="AV167" s="286" t="b">
        <f>наценка7[[#This Row],[Аллио]]=наценка7[[#This Row],[Первичка тест]]</f>
        <v>1</v>
      </c>
    </row>
    <row r="168" spans="1:48" hidden="1" x14ac:dyDescent="0.25">
      <c r="A168" s="65">
        <v>166</v>
      </c>
      <c r="B168" s="2">
        <f>_xlfn.XLOOKUP(наценка7[[#This Row],[№]],Д402[№],Д402[Секция],"-",0)</f>
        <v>2</v>
      </c>
      <c r="C168" s="2">
        <f>_xlfn.XLOOKUP(наценка7[[#This Row],[№]],Д402[№],Д402[Этаж],"-",0)</f>
        <v>11</v>
      </c>
      <c r="D168" s="2">
        <f>_xlfn.XLOOKUP(наценка7[[#This Row],[№]],Д402[№],Д402[№ на этаже],"-",0)</f>
        <v>4</v>
      </c>
      <c r="E168" s="2">
        <f>_xlfn.XLOOKUP(наценка7[[#This Row],[№]],Д402[№],Д402[Тип кв],"-",0)</f>
        <v>0</v>
      </c>
      <c r="F168" s="51">
        <f>_xlfn.XLOOKUP(наценка7[[#This Row],[№]],Д402[№],Д402[Кухня],"-",0)</f>
        <v>5.98</v>
      </c>
      <c r="G168" s="51">
        <f>_xlfn.XLOOKUP(наценка7[[#This Row],[№]],Д402[№],Д402[Ванная],"-",0)</f>
        <v>4.47</v>
      </c>
      <c r="H168" s="51" t="s">
        <v>87</v>
      </c>
      <c r="I168" s="51"/>
      <c r="J168" s="51"/>
      <c r="K168" s="51" t="s">
        <v>101</v>
      </c>
      <c r="L168" s="51" t="s">
        <v>119</v>
      </c>
      <c r="M168" s="51" t="s">
        <v>83</v>
      </c>
      <c r="N168" s="51"/>
      <c r="O168" s="51" t="s">
        <v>119</v>
      </c>
      <c r="P168" s="51"/>
      <c r="Q168" s="129"/>
      <c r="R168" s="129"/>
      <c r="S168" s="51"/>
      <c r="T168" s="51">
        <f>_xlfn.XLOOKUP(наценка7[[#This Row],[№]],Д402[№],Д402[Расчетная проектная площадь],"-",0)</f>
        <v>27.92</v>
      </c>
      <c r="U168" s="17">
        <f t="shared" si="3"/>
        <v>89000</v>
      </c>
      <c r="V16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68" s="18">
        <f>наценка7[[#This Row],[Цена м2 базовая]]*наценка7[[#This Row],[Базовой K]]</f>
        <v>139730</v>
      </c>
      <c r="X16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6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6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6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6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8" s="55" t="str">
        <f>IF(наценка7[[#This Row],[Потолок ]]="ДА",коэффициенты!$C$13,"")</f>
        <v/>
      </c>
      <c r="AG16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6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8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6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8" s="52">
        <f>SUM(наценка7[[#This Row],[еврокухня]:[Лифт]])*наценка7[[#This Row],[Цена м2 с БK]]+наценка7[[#This Row],[Цена м2 с БK]]</f>
        <v>142524.6</v>
      </c>
      <c r="AQ168" s="51">
        <f>VLOOKUP(наценка7[[#This Row],[№]],Д402[],COLUMN(Д402[[#This Row],[утв цена м2]]),0)</f>
        <v>143757.1</v>
      </c>
      <c r="AR168" s="3">
        <f>наценка7[[#This Row],[утв цена м2]]*наценка7[[#This Row],[Расчетная проектная площадь]]</f>
        <v>4013698.2320000003</v>
      </c>
      <c r="AS168" s="27" t="str">
        <f>VLOOKUP(наценка7[[#This Row],[№]],Д402[],COLUMN('Реестр ОН'!$BA$1),0)</f>
        <v>Стр. Резерв</v>
      </c>
      <c r="AT168" s="281">
        <f>ROUND(наценка7[[#This Row],[Цена м2 с учетом всех K]]*наценка7[[#This Row],[Расчетная проектная площадь]],0)</f>
        <v>3979287</v>
      </c>
      <c r="AU168" s="286">
        <v>3979287</v>
      </c>
      <c r="AV168" s="286" t="b">
        <f>наценка7[[#This Row],[Аллио]]=наценка7[[#This Row],[Первичка тест]]</f>
        <v>1</v>
      </c>
    </row>
    <row r="169" spans="1:48" hidden="1" x14ac:dyDescent="0.25">
      <c r="A169" s="65">
        <v>167</v>
      </c>
      <c r="B169" s="2">
        <f>_xlfn.XLOOKUP(наценка7[[#This Row],[№]],Д402[№],Д402[Секция],"-",0)</f>
        <v>2</v>
      </c>
      <c r="C169" s="2">
        <f>_xlfn.XLOOKUP(наценка7[[#This Row],[№]],Д402[№],Д402[Этаж],"-",0)</f>
        <v>11</v>
      </c>
      <c r="D169" s="2">
        <f>_xlfn.XLOOKUP(наценка7[[#This Row],[№]],Д402[№],Д402[№ на этаже],"-",0)</f>
        <v>5</v>
      </c>
      <c r="E169" s="2">
        <f>_xlfn.XLOOKUP(наценка7[[#This Row],[№]],Д402[№],Д402[Тип кв],"-",0)</f>
        <v>2</v>
      </c>
      <c r="F169" s="51">
        <f>_xlfn.XLOOKUP(наценка7[[#This Row],[№]],Д402[№],Д402[Кухня],"-",0)</f>
        <v>12.38</v>
      </c>
      <c r="G169" s="51">
        <f>_xlfn.XLOOKUP(наценка7[[#This Row],[№]],Д402[№],Д402[Ванная],"-",0)</f>
        <v>4.07</v>
      </c>
      <c r="H169" s="51" t="s">
        <v>87</v>
      </c>
      <c r="I169" s="51"/>
      <c r="J169" s="51"/>
      <c r="K169" s="51" t="s">
        <v>101</v>
      </c>
      <c r="L169" s="51"/>
      <c r="M169" s="51" t="s">
        <v>83</v>
      </c>
      <c r="N169" s="51"/>
      <c r="O169" s="51" t="s">
        <v>119</v>
      </c>
      <c r="P169" s="51" t="s">
        <v>101</v>
      </c>
      <c r="Q169" s="129"/>
      <c r="R169" s="129"/>
      <c r="S169" s="51"/>
      <c r="T169" s="51">
        <f>_xlfn.XLOOKUP(наценка7[[#This Row],[№]],Д402[№],Д402[Расчетная проектная площадь],"-",0)</f>
        <v>63.37</v>
      </c>
      <c r="U169" s="17">
        <f t="shared" si="3"/>
        <v>89000</v>
      </c>
      <c r="V16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69" s="18">
        <f>наценка7[[#This Row],[Цена м2 базовая]]*наценка7[[#This Row],[Базовой K]]</f>
        <v>113030</v>
      </c>
      <c r="X16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69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6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6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6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6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6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6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69" s="55" t="str">
        <f>IF(наценка7[[#This Row],[Потолок ]]="ДА",коэффициенты!$C$13,"")</f>
        <v/>
      </c>
      <c r="AG16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6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6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6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6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6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6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6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6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69" s="52">
        <f>SUM(наценка7[[#This Row],[еврокухня]:[Лифт]])*наценка7[[#This Row],[Цена м2 с БK]]+наценка7[[#This Row],[Цена м2 с БK]]</f>
        <v>122072.4</v>
      </c>
      <c r="AQ169" s="51">
        <f>VLOOKUP(наценка7[[#This Row],[№]],Д402[],COLUMN(Д402[[#This Row],[утв цена м2]]),0)</f>
        <v>120393.02</v>
      </c>
      <c r="AR169" s="3">
        <f>наценка7[[#This Row],[утв цена м2]]*наценка7[[#This Row],[Расчетная проектная площадь]]</f>
        <v>7629305.6774000004</v>
      </c>
      <c r="AS169" s="27" t="str">
        <f>VLOOKUP(наценка7[[#This Row],[№]],Д402[],COLUMN('Реестр ОН'!$BA$1),0)</f>
        <v>Свободно</v>
      </c>
      <c r="AT169" s="281">
        <f>ROUND(наценка7[[#This Row],[Цена м2 с учетом всех K]]*наценка7[[#This Row],[Расчетная проектная площадь]],0)</f>
        <v>7735728</v>
      </c>
      <c r="AU169" s="286">
        <v>7735728</v>
      </c>
      <c r="AV169" s="286" t="b">
        <f>наценка7[[#This Row],[Аллио]]=наценка7[[#This Row],[Первичка тест]]</f>
        <v>1</v>
      </c>
    </row>
    <row r="170" spans="1:48" hidden="1" x14ac:dyDescent="0.25">
      <c r="A170" s="65">
        <v>168</v>
      </c>
      <c r="B170" s="2">
        <f>_xlfn.XLOOKUP(наценка7[[#This Row],[№]],Д402[№],Д402[Секция],"-",0)</f>
        <v>2</v>
      </c>
      <c r="C170" s="2">
        <f>_xlfn.XLOOKUP(наценка7[[#This Row],[№]],Д402[№],Д402[Этаж],"-",0)</f>
        <v>11</v>
      </c>
      <c r="D170" s="2">
        <f>_xlfn.XLOOKUP(наценка7[[#This Row],[№]],Д402[№],Д402[№ на этаже],"-",0)</f>
        <v>6</v>
      </c>
      <c r="E170" s="2">
        <f>_xlfn.XLOOKUP(наценка7[[#This Row],[№]],Д402[№],Д402[Тип кв],"-",0)</f>
        <v>2</v>
      </c>
      <c r="F170" s="51">
        <f>_xlfn.XLOOKUP(наценка7[[#This Row],[№]],Д402[№],Д402[Кухня],"-",0)</f>
        <v>13.65</v>
      </c>
      <c r="G170" s="51">
        <f>_xlfn.XLOOKUP(наценка7[[#This Row],[№]],Д402[№],Д402[Ванная],"-",0)</f>
        <v>5.15</v>
      </c>
      <c r="H170" s="51" t="s">
        <v>84</v>
      </c>
      <c r="I170" s="51"/>
      <c r="J170" s="51"/>
      <c r="K170" s="51"/>
      <c r="L170" s="51"/>
      <c r="M170" s="51" t="s">
        <v>88</v>
      </c>
      <c r="N170" s="51"/>
      <c r="O170" s="51" t="s">
        <v>119</v>
      </c>
      <c r="P170" s="51" t="s">
        <v>101</v>
      </c>
      <c r="Q170" s="51" t="s">
        <v>101</v>
      </c>
      <c r="R170" s="129"/>
      <c r="S170" s="51"/>
      <c r="T170" s="51">
        <f>_xlfn.XLOOKUP(наценка7[[#This Row],[№]],Д402[№],Д402[Расчетная проектная площадь],"-",0)</f>
        <v>60.87</v>
      </c>
      <c r="U170" s="17">
        <f t="shared" si="3"/>
        <v>89000</v>
      </c>
      <c r="V17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70" s="18">
        <f>наценка7[[#This Row],[Цена м2 базовая]]*наценка7[[#This Row],[Базовой K]]</f>
        <v>113030</v>
      </c>
      <c r="X17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0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7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0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7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7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7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7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0" s="55" t="str">
        <f>IF(наценка7[[#This Row],[Потолок ]]="ДА",коэффициенты!$C$13,"")</f>
        <v/>
      </c>
      <c r="AG17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70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7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0" s="52">
        <f>SUM(наценка7[[#This Row],[еврокухня]:[Лифт]])*наценка7[[#This Row],[Цена м2 с БK]]+наценка7[[#This Row],[Цена м2 с БK]]</f>
        <v>126593.60000000001</v>
      </c>
      <c r="AQ170" s="51">
        <f>VLOOKUP(наценка7[[#This Row],[№]],Д402[],COLUMN(Д402[[#This Row],[утв цена м2]]),0)</f>
        <v>121967.69</v>
      </c>
      <c r="AR170" s="3">
        <f>наценка7[[#This Row],[утв цена м2]]*наценка7[[#This Row],[Расчетная проектная площадь]]</f>
        <v>7424173.2902999995</v>
      </c>
      <c r="AS170" s="27" t="str">
        <f>VLOOKUP(наценка7[[#This Row],[№]],Д402[],COLUMN('Реестр ОН'!$BA$1),0)</f>
        <v>Стр. Резерв</v>
      </c>
      <c r="AT170" s="281">
        <f>ROUND(наценка7[[#This Row],[Цена м2 с учетом всех K]]*наценка7[[#This Row],[Расчетная проектная площадь]],0)</f>
        <v>7705752</v>
      </c>
      <c r="AU170" s="286">
        <v>7705752</v>
      </c>
      <c r="AV170" s="286" t="b">
        <f>наценка7[[#This Row],[Аллио]]=наценка7[[#This Row],[Первичка тест]]</f>
        <v>1</v>
      </c>
    </row>
    <row r="171" spans="1:48" hidden="1" x14ac:dyDescent="0.25">
      <c r="A171" s="65">
        <v>169</v>
      </c>
      <c r="B171" s="2">
        <f>_xlfn.XLOOKUP(наценка7[[#This Row],[№]],Д402[№],Д402[Секция],"-",0)</f>
        <v>2</v>
      </c>
      <c r="C171" s="2">
        <f>_xlfn.XLOOKUP(наценка7[[#This Row],[№]],Д402[№],Д402[Этаж],"-",0)</f>
        <v>12</v>
      </c>
      <c r="D171" s="2">
        <f>_xlfn.XLOOKUP(наценка7[[#This Row],[№]],Д402[№],Д402[№ на этаже],"-",0)</f>
        <v>1</v>
      </c>
      <c r="E171" s="2">
        <f>_xlfn.XLOOKUP(наценка7[[#This Row],[№]],Д402[№],Д402[Тип кв],"-",0)</f>
        <v>2</v>
      </c>
      <c r="F171" s="51">
        <f>_xlfn.XLOOKUP(наценка7[[#This Row],[№]],Д402[№],Д402[Кухня],"-",0)</f>
        <v>14.29</v>
      </c>
      <c r="G171" s="51">
        <f>_xlfn.XLOOKUP(наценка7[[#This Row],[№]],Д402[№],Д402[Ванная],"-",0)</f>
        <v>4.45</v>
      </c>
      <c r="H171" s="51" t="s">
        <v>84</v>
      </c>
      <c r="I171" s="51"/>
      <c r="J171" s="51"/>
      <c r="K171" s="51" t="s">
        <v>101</v>
      </c>
      <c r="L171" s="51"/>
      <c r="M171" s="51" t="s">
        <v>83</v>
      </c>
      <c r="N171" s="51" t="s">
        <v>101</v>
      </c>
      <c r="O171" s="51" t="s">
        <v>119</v>
      </c>
      <c r="P171" s="51" t="s">
        <v>101</v>
      </c>
      <c r="Q171" s="51" t="s">
        <v>101</v>
      </c>
      <c r="R171" s="129"/>
      <c r="S171" s="51" t="s">
        <v>101</v>
      </c>
      <c r="T171" s="51">
        <f>_xlfn.XLOOKUP(наценка7[[#This Row],[№]],Д402[№],Д402[Расчетная проектная площадь],"-",0)</f>
        <v>65.650000000000006</v>
      </c>
      <c r="U171" s="17">
        <f t="shared" si="3"/>
        <v>89000</v>
      </c>
      <c r="V17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71" s="18">
        <f>наценка7[[#This Row],[Цена м2 базовая]]*наценка7[[#This Row],[Базовой K]]</f>
        <v>113030</v>
      </c>
      <c r="X17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7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7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71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7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1" s="55" t="str">
        <f>IF(наценка7[[#This Row],[Потолок ]]="ДА",коэффициенты!$C$13,"")</f>
        <v/>
      </c>
      <c r="AG17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71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7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1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71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71" s="52">
        <f>SUM(наценка7[[#This Row],[еврокухня]:[Лифт]])*наценка7[[#This Row],[Цена м2 с БK]]+наценка7[[#This Row],[Цена м2 с БK]]</f>
        <v>119811.8</v>
      </c>
      <c r="AQ171" s="51">
        <f>VLOOKUP(наценка7[[#This Row],[№]],Д402[],COLUMN(Д402[[#This Row],[утв цена м2]]),0)</f>
        <v>121649.52</v>
      </c>
      <c r="AR171" s="3">
        <f>наценка7[[#This Row],[утв цена м2]]*наценка7[[#This Row],[Расчетная проектная площадь]]</f>
        <v>7986290.9880000008</v>
      </c>
      <c r="AS171" s="27" t="str">
        <f>VLOOKUP(наценка7[[#This Row],[№]],Д402[],COLUMN('Реестр ОН'!$BA$1),0)</f>
        <v>Стр. Резерв</v>
      </c>
      <c r="AT171" s="281">
        <f>ROUND(наценка7[[#This Row],[Цена м2 с учетом всех K]]*наценка7[[#This Row],[Расчетная проектная площадь]],0)</f>
        <v>7865645</v>
      </c>
      <c r="AU171" s="286">
        <v>7865645</v>
      </c>
      <c r="AV171" s="286" t="b">
        <f>наценка7[[#This Row],[Аллио]]=наценка7[[#This Row],[Первичка тест]]</f>
        <v>1</v>
      </c>
    </row>
    <row r="172" spans="1:48" hidden="1" x14ac:dyDescent="0.25">
      <c r="A172" s="65">
        <v>170</v>
      </c>
      <c r="B172" s="2">
        <f>_xlfn.XLOOKUP(наценка7[[#This Row],[№]],Д402[№],Д402[Секция],"-",0)</f>
        <v>2</v>
      </c>
      <c r="C172" s="2">
        <f>_xlfn.XLOOKUP(наценка7[[#This Row],[№]],Д402[№],Д402[Этаж],"-",0)</f>
        <v>12</v>
      </c>
      <c r="D172" s="2">
        <f>_xlfn.XLOOKUP(наценка7[[#This Row],[№]],Д402[№],Д402[№ на этаже],"-",0)</f>
        <v>2</v>
      </c>
      <c r="E172" s="2">
        <f>_xlfn.XLOOKUP(наценка7[[#This Row],[№]],Д402[№],Д402[Тип кв],"-",0)</f>
        <v>1</v>
      </c>
      <c r="F172" s="51">
        <f>_xlfn.XLOOKUP(наценка7[[#This Row],[№]],Д402[№],Д402[Кухня],"-",0)</f>
        <v>11.88</v>
      </c>
      <c r="G172" s="51">
        <f>_xlfn.XLOOKUP(наценка7[[#This Row],[№]],Д402[№],Д402[Ванная],"-",0)</f>
        <v>4.07</v>
      </c>
      <c r="H172" s="51" t="s">
        <v>87</v>
      </c>
      <c r="I172" s="51"/>
      <c r="J172" s="51"/>
      <c r="K172" s="51" t="s">
        <v>101</v>
      </c>
      <c r="L172" s="51"/>
      <c r="M172" s="51" t="s">
        <v>83</v>
      </c>
      <c r="N172" s="51"/>
      <c r="O172" s="51" t="s">
        <v>119</v>
      </c>
      <c r="P172" s="51" t="s">
        <v>101</v>
      </c>
      <c r="Q172" s="129"/>
      <c r="R172" s="129"/>
      <c r="S172" s="51"/>
      <c r="T172" s="51">
        <f>_xlfn.XLOOKUP(наценка7[[#This Row],[№]],Д402[№],Д402[Расчетная проектная площадь],"-",0)</f>
        <v>36.56</v>
      </c>
      <c r="U172" s="17">
        <f t="shared" si="3"/>
        <v>89000</v>
      </c>
      <c r="V17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72" s="18">
        <f>наценка7[[#This Row],[Цена м2 базовая]]*наценка7[[#This Row],[Базовой K]]</f>
        <v>119260</v>
      </c>
      <c r="X17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7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7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7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2" s="55" t="str">
        <f>IF(наценка7[[#This Row],[Потолок ]]="ДА",коэффициенты!$C$13,"")</f>
        <v/>
      </c>
      <c r="AG17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7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7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2" s="52">
        <f>SUM(наценка7[[#This Row],[еврокухня]:[Лифт]])*наценка7[[#This Row],[Цена м2 с БK]]+наценка7[[#This Row],[Цена м2 с БK]]</f>
        <v>125223</v>
      </c>
      <c r="AQ172" s="51">
        <f>VLOOKUP(наценка7[[#This Row],[№]],Д402[],COLUMN(Д402[[#This Row],[утв цена м2]]),0)</f>
        <v>130932.21</v>
      </c>
      <c r="AR172" s="3">
        <f>наценка7[[#This Row],[утв цена м2]]*наценка7[[#This Row],[Расчетная проектная площадь]]</f>
        <v>4786881.5976000009</v>
      </c>
      <c r="AS172" s="27" t="str">
        <f>VLOOKUP(наценка7[[#This Row],[№]],Д402[],COLUMN('Реестр ОН'!$BA$1),0)</f>
        <v>Стр. Резерв</v>
      </c>
      <c r="AT172" s="285">
        <f>ROUND(наценка7[[#This Row],[Цена м2 с учетом всех K]]*наценка7[[#This Row],[Расчетная проектная площадь]],0)</f>
        <v>4578153</v>
      </c>
      <c r="AU172" s="286">
        <v>4578153</v>
      </c>
      <c r="AV172" s="286" t="b">
        <f>наценка7[[#This Row],[Аллио]]=наценка7[[#This Row],[Первичка тест]]</f>
        <v>1</v>
      </c>
    </row>
    <row r="173" spans="1:48" hidden="1" x14ac:dyDescent="0.25">
      <c r="A173" s="65">
        <v>171</v>
      </c>
      <c r="B173" s="2">
        <f>_xlfn.XLOOKUP(наценка7[[#This Row],[№]],Д402[№],Д402[Секция],"-",0)</f>
        <v>2</v>
      </c>
      <c r="C173" s="2">
        <f>_xlfn.XLOOKUP(наценка7[[#This Row],[№]],Д402[№],Д402[Этаж],"-",0)</f>
        <v>12</v>
      </c>
      <c r="D173" s="2">
        <f>_xlfn.XLOOKUP(наценка7[[#This Row],[№]],Д402[№],Д402[№ на этаже],"-",0)</f>
        <v>3</v>
      </c>
      <c r="E173" s="2">
        <f>_xlfn.XLOOKUP(наценка7[[#This Row],[№]],Д402[№],Д402[Тип кв],"-",0)</f>
        <v>0</v>
      </c>
      <c r="F173" s="51">
        <f>_xlfn.XLOOKUP(наценка7[[#This Row],[№]],Д402[№],Д402[Кухня],"-",0)</f>
        <v>5.98</v>
      </c>
      <c r="G173" s="51">
        <f>_xlfn.XLOOKUP(наценка7[[#This Row],[№]],Д402[№],Д402[Ванная],"-",0)</f>
        <v>4.47</v>
      </c>
      <c r="H173" s="51" t="s">
        <v>87</v>
      </c>
      <c r="I173" s="51"/>
      <c r="J173" s="51"/>
      <c r="K173" s="51" t="s">
        <v>101</v>
      </c>
      <c r="L173" s="51" t="s">
        <v>119</v>
      </c>
      <c r="M173" s="51" t="s">
        <v>83</v>
      </c>
      <c r="N173" s="51"/>
      <c r="O173" s="51" t="s">
        <v>119</v>
      </c>
      <c r="P173" s="51"/>
      <c r="Q173" s="51" t="s">
        <v>101</v>
      </c>
      <c r="R173" s="51"/>
      <c r="S173" s="51"/>
      <c r="T173" s="51">
        <f>_xlfn.XLOOKUP(наценка7[[#This Row],[№]],Д402[№],Д402[Расчетная проектная площадь],"-",0)</f>
        <v>29.43</v>
      </c>
      <c r="U173" s="17">
        <f t="shared" si="3"/>
        <v>89000</v>
      </c>
      <c r="V17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73" s="18">
        <f>наценка7[[#This Row],[Цена м2 базовая]]*наценка7[[#This Row],[Базовой K]]</f>
        <v>139730</v>
      </c>
      <c r="X17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7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73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7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3" s="55" t="str">
        <f>IF(наценка7[[#This Row],[Потолок ]]="ДА",коэффициенты!$C$13,"")</f>
        <v/>
      </c>
      <c r="AG173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73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0.02</v>
      </c>
      <c r="AL173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7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3" s="52">
        <f>SUM(наценка7[[#This Row],[еврокухня]:[Лифт]])*наценка7[[#This Row],[Цена м2 с БK]]+наценка7[[#This Row],[Цена м2 с БK]]</f>
        <v>145319.20000000001</v>
      </c>
      <c r="AQ173" s="51">
        <f>VLOOKUP(наценка7[[#This Row],[№]],Д402[],COLUMN(Д402[[#This Row],[утв цена м2]]),0)</f>
        <v>146551.70000000001</v>
      </c>
      <c r="AR173" s="3">
        <f>наценка7[[#This Row],[утв цена м2]]*наценка7[[#This Row],[Расчетная проектная площадь]]</f>
        <v>4313016.5310000004</v>
      </c>
      <c r="AS173" s="27" t="str">
        <f>VLOOKUP(наценка7[[#This Row],[№]],Д402[],COLUMN('Реестр ОН'!$BA$1),0)</f>
        <v>Стр. Резерв</v>
      </c>
      <c r="AT173" s="281">
        <f>ROUND(наценка7[[#This Row],[Цена м2 с учетом всех K]]*наценка7[[#This Row],[Расчетная проектная площадь]],0)</f>
        <v>4276744</v>
      </c>
      <c r="AU173" s="286">
        <v>4276744</v>
      </c>
      <c r="AV173" s="286" t="b">
        <f>наценка7[[#This Row],[Аллио]]=наценка7[[#This Row],[Первичка тест]]</f>
        <v>1</v>
      </c>
    </row>
    <row r="174" spans="1:48" hidden="1" x14ac:dyDescent="0.25">
      <c r="A174" s="65">
        <v>172</v>
      </c>
      <c r="B174" s="2">
        <f>_xlfn.XLOOKUP(наценка7[[#This Row],[№]],Д402[№],Д402[Секция],"-",0)</f>
        <v>2</v>
      </c>
      <c r="C174" s="2">
        <f>_xlfn.XLOOKUP(наценка7[[#This Row],[№]],Д402[№],Д402[Этаж],"-",0)</f>
        <v>12</v>
      </c>
      <c r="D174" s="2">
        <f>_xlfn.XLOOKUP(наценка7[[#This Row],[№]],Д402[№],Д402[№ на этаже],"-",0)</f>
        <v>4</v>
      </c>
      <c r="E174" s="2">
        <f>_xlfn.XLOOKUP(наценка7[[#This Row],[№]],Д402[№],Д402[Тип кв],"-",0)</f>
        <v>0</v>
      </c>
      <c r="F174" s="51">
        <f>_xlfn.XLOOKUP(наценка7[[#This Row],[№]],Д402[№],Д402[Кухня],"-",0)</f>
        <v>5.98</v>
      </c>
      <c r="G174" s="51">
        <f>_xlfn.XLOOKUP(наценка7[[#This Row],[№]],Д402[№],Д402[Ванная],"-",0)</f>
        <v>4.47</v>
      </c>
      <c r="H174" s="51" t="s">
        <v>87</v>
      </c>
      <c r="I174" s="51"/>
      <c r="J174" s="51"/>
      <c r="K174" s="51" t="s">
        <v>101</v>
      </c>
      <c r="L174" s="51" t="s">
        <v>119</v>
      </c>
      <c r="M174" s="51" t="s">
        <v>83</v>
      </c>
      <c r="N174" s="51"/>
      <c r="O174" s="51" t="s">
        <v>119</v>
      </c>
      <c r="P174" s="51"/>
      <c r="Q174" s="129"/>
      <c r="R174" s="129"/>
      <c r="S174" s="51"/>
      <c r="T174" s="51">
        <f>_xlfn.XLOOKUP(наценка7[[#This Row],[№]],Д402[№],Д402[Расчетная проектная площадь],"-",0)</f>
        <v>27.92</v>
      </c>
      <c r="U174" s="17">
        <f t="shared" si="3"/>
        <v>89000</v>
      </c>
      <c r="V17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74" s="18">
        <f>наценка7[[#This Row],[Цена м2 базовая]]*наценка7[[#This Row],[Базовой K]]</f>
        <v>139730</v>
      </c>
      <c r="X17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7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7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7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4" s="55" t="str">
        <f>IF(наценка7[[#This Row],[Потолок ]]="ДА",коэффициенты!$C$13,"")</f>
        <v/>
      </c>
      <c r="AG17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7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7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7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4" s="52">
        <f>SUM(наценка7[[#This Row],[еврокухня]:[Лифт]])*наценка7[[#This Row],[Цена м2 с БK]]+наценка7[[#This Row],[Цена м2 с БK]]</f>
        <v>142524.6</v>
      </c>
      <c r="AQ174" s="51">
        <f>VLOOKUP(наценка7[[#This Row],[№]],Д402[],COLUMN(Д402[[#This Row],[утв цена м2]]),0)</f>
        <v>143757.1</v>
      </c>
      <c r="AR174" s="3">
        <f>наценка7[[#This Row],[утв цена м2]]*наценка7[[#This Row],[Расчетная проектная площадь]]</f>
        <v>4013698.2320000003</v>
      </c>
      <c r="AS174" s="27" t="str">
        <f>VLOOKUP(наценка7[[#This Row],[№]],Д402[],COLUMN('Реестр ОН'!$BA$1),0)</f>
        <v>Стр. Резерв</v>
      </c>
      <c r="AT174" s="281">
        <f>ROUND(наценка7[[#This Row],[Цена м2 с учетом всех K]]*наценка7[[#This Row],[Расчетная проектная площадь]],0)</f>
        <v>3979287</v>
      </c>
      <c r="AU174" s="286">
        <v>3979287</v>
      </c>
      <c r="AV174" s="286" t="b">
        <f>наценка7[[#This Row],[Аллио]]=наценка7[[#This Row],[Первичка тест]]</f>
        <v>1</v>
      </c>
    </row>
    <row r="175" spans="1:48" hidden="1" x14ac:dyDescent="0.25">
      <c r="A175" s="65">
        <v>173</v>
      </c>
      <c r="B175" s="2">
        <f>_xlfn.XLOOKUP(наценка7[[#This Row],[№]],Д402[№],Д402[Секция],"-",0)</f>
        <v>2</v>
      </c>
      <c r="C175" s="2">
        <f>_xlfn.XLOOKUP(наценка7[[#This Row],[№]],Д402[№],Д402[Этаж],"-",0)</f>
        <v>12</v>
      </c>
      <c r="D175" s="2">
        <f>_xlfn.XLOOKUP(наценка7[[#This Row],[№]],Д402[№],Д402[№ на этаже],"-",0)</f>
        <v>5</v>
      </c>
      <c r="E175" s="2">
        <f>_xlfn.XLOOKUP(наценка7[[#This Row],[№]],Д402[№],Д402[Тип кв],"-",0)</f>
        <v>2</v>
      </c>
      <c r="F175" s="51">
        <f>_xlfn.XLOOKUP(наценка7[[#This Row],[№]],Д402[№],Д402[Кухня],"-",0)</f>
        <v>12.38</v>
      </c>
      <c r="G175" s="51">
        <f>_xlfn.XLOOKUP(наценка7[[#This Row],[№]],Д402[№],Д402[Ванная],"-",0)</f>
        <v>4.07</v>
      </c>
      <c r="H175" s="51" t="s">
        <v>87</v>
      </c>
      <c r="I175" s="51"/>
      <c r="J175" s="51"/>
      <c r="K175" s="51" t="s">
        <v>101</v>
      </c>
      <c r="L175" s="51"/>
      <c r="M175" s="51" t="s">
        <v>83</v>
      </c>
      <c r="N175" s="51"/>
      <c r="O175" s="51" t="s">
        <v>119</v>
      </c>
      <c r="P175" s="51" t="s">
        <v>101</v>
      </c>
      <c r="Q175" s="129"/>
      <c r="R175" s="129"/>
      <c r="S175" s="51"/>
      <c r="T175" s="51">
        <f>_xlfn.XLOOKUP(наценка7[[#This Row],[№]],Д402[№],Д402[Расчетная проектная площадь],"-",0)</f>
        <v>63.37</v>
      </c>
      <c r="U175" s="17">
        <f t="shared" si="3"/>
        <v>89000</v>
      </c>
      <c r="V17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75" s="18">
        <f>наценка7[[#This Row],[Цена м2 базовая]]*наценка7[[#This Row],[Базовой K]]</f>
        <v>113030</v>
      </c>
      <c r="X17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5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7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7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7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7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5" s="55" t="str">
        <f>IF(наценка7[[#This Row],[Потолок ]]="ДА",коэффициенты!$C$13,"")</f>
        <v/>
      </c>
      <c r="AG17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7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7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5" s="52">
        <f>SUM(наценка7[[#This Row],[еврокухня]:[Лифт]])*наценка7[[#This Row],[Цена м2 с БK]]+наценка7[[#This Row],[Цена м2 с БK]]</f>
        <v>122072.4</v>
      </c>
      <c r="AQ175" s="51">
        <f>VLOOKUP(наценка7[[#This Row],[№]],Д402[],COLUMN(Д402[[#This Row],[утв цена м2]]),0)</f>
        <v>120393.02</v>
      </c>
      <c r="AR175" s="3">
        <f>наценка7[[#This Row],[утв цена м2]]*наценка7[[#This Row],[Расчетная проектная площадь]]</f>
        <v>7629305.6774000004</v>
      </c>
      <c r="AS175" s="27" t="str">
        <f>VLOOKUP(наценка7[[#This Row],[№]],Д402[],COLUMN('Реестр ОН'!$BA$1),0)</f>
        <v>Стр. Резерв</v>
      </c>
      <c r="AT175" s="281">
        <f>ROUND(наценка7[[#This Row],[Цена м2 с учетом всех K]]*наценка7[[#This Row],[Расчетная проектная площадь]],0)</f>
        <v>7735728</v>
      </c>
      <c r="AU175" s="286">
        <v>7735728</v>
      </c>
      <c r="AV175" s="286" t="b">
        <f>наценка7[[#This Row],[Аллио]]=наценка7[[#This Row],[Первичка тест]]</f>
        <v>1</v>
      </c>
    </row>
    <row r="176" spans="1:48" hidden="1" x14ac:dyDescent="0.25">
      <c r="A176" s="65">
        <v>174</v>
      </c>
      <c r="B176" s="2">
        <f>_xlfn.XLOOKUP(наценка7[[#This Row],[№]],Д402[№],Д402[Секция],"-",0)</f>
        <v>2</v>
      </c>
      <c r="C176" s="2">
        <f>_xlfn.XLOOKUP(наценка7[[#This Row],[№]],Д402[№],Д402[Этаж],"-",0)</f>
        <v>12</v>
      </c>
      <c r="D176" s="2">
        <f>_xlfn.XLOOKUP(наценка7[[#This Row],[№]],Д402[№],Д402[№ на этаже],"-",0)</f>
        <v>6</v>
      </c>
      <c r="E176" s="2">
        <f>_xlfn.XLOOKUP(наценка7[[#This Row],[№]],Д402[№],Д402[Тип кв],"-",0)</f>
        <v>2</v>
      </c>
      <c r="F176" s="51">
        <f>_xlfn.XLOOKUP(наценка7[[#This Row],[№]],Д402[№],Д402[Кухня],"-",0)</f>
        <v>13.65</v>
      </c>
      <c r="G176" s="51">
        <f>_xlfn.XLOOKUP(наценка7[[#This Row],[№]],Д402[№],Д402[Ванная],"-",0)</f>
        <v>5.15</v>
      </c>
      <c r="H176" s="51" t="s">
        <v>84</v>
      </c>
      <c r="I176" s="51"/>
      <c r="J176" s="51"/>
      <c r="K176" s="51"/>
      <c r="L176" s="51"/>
      <c r="M176" s="51" t="s">
        <v>88</v>
      </c>
      <c r="N176" s="51"/>
      <c r="O176" s="51" t="s">
        <v>119</v>
      </c>
      <c r="P176" s="51" t="s">
        <v>101</v>
      </c>
      <c r="Q176" s="51" t="s">
        <v>101</v>
      </c>
      <c r="R176" s="129"/>
      <c r="S176" s="51"/>
      <c r="T176" s="51">
        <f>_xlfn.XLOOKUP(наценка7[[#This Row],[№]],Д402[№],Д402[Расчетная проектная площадь],"-",0)</f>
        <v>60.87</v>
      </c>
      <c r="U176" s="17">
        <f t="shared" si="3"/>
        <v>89000</v>
      </c>
      <c r="V17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76" s="18">
        <f>наценка7[[#This Row],[Цена м2 базовая]]*наценка7[[#This Row],[Базовой K]]</f>
        <v>113030</v>
      </c>
      <c r="X17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7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6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7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7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17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7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6" s="55" t="str">
        <f>IF(наценка7[[#This Row],[Потолок ]]="ДА",коэффициенты!$C$13,"")</f>
        <v/>
      </c>
      <c r="AG17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76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7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6" s="52">
        <f>SUM(наценка7[[#This Row],[еврокухня]:[Лифт]])*наценка7[[#This Row],[Цена м2 с БK]]+наценка7[[#This Row],[Цена м2 с БK]]</f>
        <v>126593.60000000001</v>
      </c>
      <c r="AQ176" s="51">
        <f>VLOOKUP(наценка7[[#This Row],[№]],Д402[],COLUMN(Д402[[#This Row],[утв цена м2]]),0)</f>
        <v>118415.23</v>
      </c>
      <c r="AR176" s="3">
        <f>наценка7[[#This Row],[утв цена м2]]*наценка7[[#This Row],[Расчетная проектная площадь]]</f>
        <v>7207935.0500999996</v>
      </c>
      <c r="AS176" s="27" t="str">
        <f>VLOOKUP(наценка7[[#This Row],[№]],Д402[],COLUMN('Реестр ОН'!$BA$1),0)</f>
        <v>Продажа</v>
      </c>
      <c r="AT176" s="281">
        <f>ROUND(наценка7[[#This Row],[Цена м2 с учетом всех K]]*наценка7[[#This Row],[Расчетная проектная площадь]],0)</f>
        <v>7705752</v>
      </c>
      <c r="AU176" s="286">
        <v>7705752</v>
      </c>
      <c r="AV176" s="286" t="b">
        <f>наценка7[[#This Row],[Аллио]]=наценка7[[#This Row],[Первичка тест]]</f>
        <v>1</v>
      </c>
    </row>
    <row r="177" spans="1:48" hidden="1" x14ac:dyDescent="0.25">
      <c r="A177" s="65">
        <v>175</v>
      </c>
      <c r="B177" s="2">
        <f>_xlfn.XLOOKUP(наценка7[[#This Row],[№]],Д402[№],Д402[Секция],"-",0)</f>
        <v>2</v>
      </c>
      <c r="C177" s="2">
        <f>_xlfn.XLOOKUP(наценка7[[#This Row],[№]],Д402[№],Д402[Этаж],"-",0)</f>
        <v>13</v>
      </c>
      <c r="D177" s="2">
        <f>_xlfn.XLOOKUP(наценка7[[#This Row],[№]],Д402[№],Д402[№ на этаже],"-",0)</f>
        <v>1</v>
      </c>
      <c r="E177" s="2">
        <f>_xlfn.XLOOKUP(наценка7[[#This Row],[№]],Д402[№],Д402[Тип кв],"-",0)</f>
        <v>2</v>
      </c>
      <c r="F177" s="51">
        <f>_xlfn.XLOOKUP(наценка7[[#This Row],[№]],Д402[№],Д402[Кухня],"-",0)</f>
        <v>14.29</v>
      </c>
      <c r="G177" s="51">
        <f>_xlfn.XLOOKUP(наценка7[[#This Row],[№]],Д402[№],Д402[Ванная],"-",0)</f>
        <v>4.45</v>
      </c>
      <c r="H177" s="51" t="s">
        <v>84</v>
      </c>
      <c r="I177" s="51" t="s">
        <v>101</v>
      </c>
      <c r="J177" s="51"/>
      <c r="K177" s="51" t="s">
        <v>101</v>
      </c>
      <c r="L177" s="51"/>
      <c r="M177" s="51" t="s">
        <v>83</v>
      </c>
      <c r="N177" s="51" t="s">
        <v>101</v>
      </c>
      <c r="O177" s="51" t="s">
        <v>119</v>
      </c>
      <c r="P177" s="51"/>
      <c r="Q177" s="51" t="s">
        <v>101</v>
      </c>
      <c r="R177" s="129"/>
      <c r="S177" s="51" t="s">
        <v>101</v>
      </c>
      <c r="T177" s="51">
        <f>_xlfn.XLOOKUP(наценка7[[#This Row],[№]],Д402[№],Д402[Расчетная проектная площадь],"-",0)</f>
        <v>65.650000000000006</v>
      </c>
      <c r="U177" s="17">
        <f t="shared" si="3"/>
        <v>89000</v>
      </c>
      <c r="V17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77" s="18">
        <f>наценка7[[#This Row],[Цена м2 базовая]]*наценка7[[#This Row],[Базовой K]]</f>
        <v>113030</v>
      </c>
      <c r="X17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7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7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77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7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7" s="55">
        <f>IF(наценка7[[#This Row],[Потолок ]]="ДА",коэффициенты!$C$13,"")</f>
        <v>0.02</v>
      </c>
      <c r="AG177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77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7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7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-0.03</v>
      </c>
      <c r="AO177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77" s="52">
        <f>SUM(наценка7[[#This Row],[еврокухня]:[Лифт]])*наценка7[[#This Row],[Цена м2 с БK]]+наценка7[[#This Row],[Цена м2 с БK]]</f>
        <v>119811.8</v>
      </c>
      <c r="AQ177" s="51">
        <f>VLOOKUP(наценка7[[#This Row],[№]],Д402[],COLUMN(Д402[[#This Row],[утв цена м2]]),0)</f>
        <v>121649.52</v>
      </c>
      <c r="AR177" s="3">
        <f>наценка7[[#This Row],[утв цена м2]]*наценка7[[#This Row],[Расчетная проектная площадь]]</f>
        <v>7986290.9880000008</v>
      </c>
      <c r="AS177" s="27" t="str">
        <f>VLOOKUP(наценка7[[#This Row],[№]],Д402[],COLUMN('Реестр ОН'!$BA$1),0)</f>
        <v>Стр. Резерв</v>
      </c>
      <c r="AT177" s="281">
        <f>ROUND(наценка7[[#This Row],[Цена м2 с учетом всех K]]*наценка7[[#This Row],[Расчетная проектная площадь]],0)</f>
        <v>7865645</v>
      </c>
      <c r="AU177" s="286">
        <v>7865645</v>
      </c>
      <c r="AV177" s="286" t="b">
        <f>наценка7[[#This Row],[Аллио]]=наценка7[[#This Row],[Первичка тест]]</f>
        <v>1</v>
      </c>
    </row>
    <row r="178" spans="1:48" hidden="1" x14ac:dyDescent="0.25">
      <c r="A178" s="65">
        <v>176</v>
      </c>
      <c r="B178" s="2">
        <f>_xlfn.XLOOKUP(наценка7[[#This Row],[№]],Д402[№],Д402[Секция],"-",0)</f>
        <v>2</v>
      </c>
      <c r="C178" s="2">
        <f>_xlfn.XLOOKUP(наценка7[[#This Row],[№]],Д402[№],Д402[Этаж],"-",0)</f>
        <v>13</v>
      </c>
      <c r="D178" s="2">
        <f>_xlfn.XLOOKUP(наценка7[[#This Row],[№]],Д402[№],Д402[№ на этаже],"-",0)</f>
        <v>2</v>
      </c>
      <c r="E178" s="2">
        <f>_xlfn.XLOOKUP(наценка7[[#This Row],[№]],Д402[№],Д402[Тип кв],"-",0)</f>
        <v>1</v>
      </c>
      <c r="F178" s="51">
        <f>_xlfn.XLOOKUP(наценка7[[#This Row],[№]],Д402[№],Д402[Кухня],"-",0)</f>
        <v>11.88</v>
      </c>
      <c r="G178" s="51">
        <f>_xlfn.XLOOKUP(наценка7[[#This Row],[№]],Д402[№],Д402[Ванная],"-",0)</f>
        <v>4.07</v>
      </c>
      <c r="H178" s="51" t="s">
        <v>87</v>
      </c>
      <c r="I178" s="51" t="s">
        <v>101</v>
      </c>
      <c r="J178" s="51"/>
      <c r="K178" s="51" t="s">
        <v>101</v>
      </c>
      <c r="L178" s="51"/>
      <c r="M178" s="51" t="s">
        <v>83</v>
      </c>
      <c r="N178" s="51"/>
      <c r="O178" s="51" t="s">
        <v>119</v>
      </c>
      <c r="P178" s="51"/>
      <c r="Q178" s="129"/>
      <c r="R178" s="129"/>
      <c r="S178" s="51"/>
      <c r="T178" s="51">
        <f>_xlfn.XLOOKUP(наценка7[[#This Row],[№]],Д402[№],Д402[Расчетная проектная площадь],"-",0)</f>
        <v>36.56</v>
      </c>
      <c r="U178" s="17">
        <f t="shared" si="3"/>
        <v>89000</v>
      </c>
      <c r="V17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78" s="18">
        <f>наценка7[[#This Row],[Цена м2 базовая]]*наценка7[[#This Row],[Базовой K]]</f>
        <v>119260</v>
      </c>
      <c r="X17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7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7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7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8" s="55">
        <f>IF(наценка7[[#This Row],[Потолок ]]="ДА",коэффициенты!$C$13,"")</f>
        <v>0.02</v>
      </c>
      <c r="AG17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7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7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7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8" s="52">
        <f>SUM(наценка7[[#This Row],[еврокухня]:[Лифт]])*наценка7[[#This Row],[Цена м2 с БK]]+наценка7[[#This Row],[Цена м2 с БK]]</f>
        <v>125223</v>
      </c>
      <c r="AQ178" s="51">
        <f>VLOOKUP(наценка7[[#This Row],[№]],Д402[],COLUMN(Д402[[#This Row],[утв цена м2]]),0)</f>
        <v>130932.21</v>
      </c>
      <c r="AR178" s="3">
        <f>наценка7[[#This Row],[утв цена м2]]*наценка7[[#This Row],[Расчетная проектная площадь]]</f>
        <v>4786881.5976000009</v>
      </c>
      <c r="AS178" s="27" t="str">
        <f>VLOOKUP(наценка7[[#This Row],[№]],Д402[],COLUMN('Реестр ОН'!$BA$1),0)</f>
        <v>Свободно</v>
      </c>
      <c r="AT178" s="285">
        <f>ROUND(наценка7[[#This Row],[Цена м2 с учетом всех K]]*наценка7[[#This Row],[Расчетная проектная площадь]],0)</f>
        <v>4578153</v>
      </c>
      <c r="AU178" s="286">
        <v>4578153</v>
      </c>
      <c r="AV178" s="286" t="b">
        <f>наценка7[[#This Row],[Аллио]]=наценка7[[#This Row],[Первичка тест]]</f>
        <v>1</v>
      </c>
    </row>
    <row r="179" spans="1:48" hidden="1" x14ac:dyDescent="0.25">
      <c r="A179" s="65">
        <v>177</v>
      </c>
      <c r="B179" s="2">
        <f>_xlfn.XLOOKUP(наценка7[[#This Row],[№]],Д402[№],Д402[Секция],"-",0)</f>
        <v>2</v>
      </c>
      <c r="C179" s="2">
        <f>_xlfn.XLOOKUP(наценка7[[#This Row],[№]],Д402[№],Д402[Этаж],"-",0)</f>
        <v>13</v>
      </c>
      <c r="D179" s="2">
        <f>_xlfn.XLOOKUP(наценка7[[#This Row],[№]],Д402[№],Д402[№ на этаже],"-",0)</f>
        <v>3</v>
      </c>
      <c r="E179" s="2">
        <f>_xlfn.XLOOKUP(наценка7[[#This Row],[№]],Д402[№],Д402[Тип кв],"-",0)</f>
        <v>0</v>
      </c>
      <c r="F179" s="51">
        <f>_xlfn.XLOOKUP(наценка7[[#This Row],[№]],Д402[№],Д402[Кухня],"-",0)</f>
        <v>5.98</v>
      </c>
      <c r="G179" s="51">
        <f>_xlfn.XLOOKUP(наценка7[[#This Row],[№]],Д402[№],Д402[Ванная],"-",0)</f>
        <v>4.47</v>
      </c>
      <c r="H179" s="51" t="s">
        <v>87</v>
      </c>
      <c r="I179" s="51" t="s">
        <v>101</v>
      </c>
      <c r="J179" s="51"/>
      <c r="K179" s="51" t="s">
        <v>101</v>
      </c>
      <c r="L179" s="51" t="s">
        <v>119</v>
      </c>
      <c r="M179" s="51" t="s">
        <v>83</v>
      </c>
      <c r="N179" s="51"/>
      <c r="O179" s="51" t="s">
        <v>119</v>
      </c>
      <c r="P179" s="51"/>
      <c r="Q179" s="129"/>
      <c r="R179" s="129"/>
      <c r="S179" s="51"/>
      <c r="T179" s="51">
        <f>_xlfn.XLOOKUP(наценка7[[#This Row],[№]],Д402[№],Д402[Расчетная проектная площадь],"-",0)</f>
        <v>29.43</v>
      </c>
      <c r="U179" s="17">
        <f t="shared" si="3"/>
        <v>89000</v>
      </c>
      <c r="V17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79" s="18">
        <f>наценка7[[#This Row],[Цена м2 базовая]]*наценка7[[#This Row],[Базовой K]]</f>
        <v>139730</v>
      </c>
      <c r="X17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7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7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7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7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7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79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7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79" s="55">
        <f>IF(наценка7[[#This Row],[Потолок ]]="ДА",коэффициенты!$C$13,"")</f>
        <v>0.02</v>
      </c>
      <c r="AG179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7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7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7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7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79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7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7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7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79" s="52">
        <f>SUM(наценка7[[#This Row],[еврокухня]:[Лифт]])*наценка7[[#This Row],[Цена м2 с БK]]+наценка7[[#This Row],[Цена м2 с БK]]</f>
        <v>145319.20000000001</v>
      </c>
      <c r="AQ179" s="51">
        <f>VLOOKUP(наценка7[[#This Row],[№]],Д402[],COLUMN(Д402[[#This Row],[утв цена м2]]),0)</f>
        <v>146551.70000000001</v>
      </c>
      <c r="AR179" s="3">
        <f>наценка7[[#This Row],[утв цена м2]]*наценка7[[#This Row],[Расчетная проектная площадь]]</f>
        <v>4313016.5310000004</v>
      </c>
      <c r="AS179" s="27" t="str">
        <f>VLOOKUP(наценка7[[#This Row],[№]],Д402[],COLUMN('Реестр ОН'!$BA$1),0)</f>
        <v>Стр. Резерв</v>
      </c>
      <c r="AT179" s="281">
        <f>ROUND(наценка7[[#This Row],[Цена м2 с учетом всех K]]*наценка7[[#This Row],[Расчетная проектная площадь]],0)</f>
        <v>4276744</v>
      </c>
      <c r="AU179" s="286">
        <v>4276744</v>
      </c>
      <c r="AV179" s="286" t="b">
        <f>наценка7[[#This Row],[Аллио]]=наценка7[[#This Row],[Первичка тест]]</f>
        <v>1</v>
      </c>
    </row>
    <row r="180" spans="1:48" hidden="1" x14ac:dyDescent="0.25">
      <c r="A180" s="65">
        <v>178</v>
      </c>
      <c r="B180" s="2">
        <f>_xlfn.XLOOKUP(наценка7[[#This Row],[№]],Д402[№],Д402[Секция],"-",0)</f>
        <v>2</v>
      </c>
      <c r="C180" s="2">
        <f>_xlfn.XLOOKUP(наценка7[[#This Row],[№]],Д402[№],Д402[Этаж],"-",0)</f>
        <v>13</v>
      </c>
      <c r="D180" s="2">
        <f>_xlfn.XLOOKUP(наценка7[[#This Row],[№]],Д402[№],Д402[№ на этаже],"-",0)</f>
        <v>4</v>
      </c>
      <c r="E180" s="2">
        <f>_xlfn.XLOOKUP(наценка7[[#This Row],[№]],Д402[№],Д402[Тип кв],"-",0)</f>
        <v>0</v>
      </c>
      <c r="F180" s="51">
        <f>_xlfn.XLOOKUP(наценка7[[#This Row],[№]],Д402[№],Д402[Кухня],"-",0)</f>
        <v>5.98</v>
      </c>
      <c r="G180" s="51">
        <f>_xlfn.XLOOKUP(наценка7[[#This Row],[№]],Д402[№],Д402[Ванная],"-",0)</f>
        <v>4.47</v>
      </c>
      <c r="H180" s="51" t="s">
        <v>87</v>
      </c>
      <c r="I180" s="51" t="s">
        <v>101</v>
      </c>
      <c r="J180" s="51"/>
      <c r="K180" s="51" t="s">
        <v>101</v>
      </c>
      <c r="L180" s="51" t="s">
        <v>119</v>
      </c>
      <c r="M180" s="51" t="s">
        <v>83</v>
      </c>
      <c r="N180" s="51"/>
      <c r="O180" s="51" t="s">
        <v>119</v>
      </c>
      <c r="P180" s="51"/>
      <c r="Q180" s="129"/>
      <c r="R180" s="129"/>
      <c r="S180" s="51"/>
      <c r="T180" s="51">
        <f>_xlfn.XLOOKUP(наценка7[[#This Row],[№]],Д402[№],Д402[Расчетная проектная площадь],"-",0)</f>
        <v>27.92</v>
      </c>
      <c r="U180" s="17">
        <f t="shared" si="3"/>
        <v>89000</v>
      </c>
      <c r="V18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80" s="18">
        <f>наценка7[[#This Row],[Цена м2 базовая]]*наценка7[[#This Row],[Базовой K]]</f>
        <v>139730</v>
      </c>
      <c r="X18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8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8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8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80" s="55">
        <f>IF(наценка7[[#This Row],[Потолок ]]="ДА",коэффициенты!$C$13,"")</f>
        <v>0.02</v>
      </c>
      <c r="AG18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8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8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8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0" s="52">
        <f>SUM(наценка7[[#This Row],[еврокухня]:[Лифт]])*наценка7[[#This Row],[Цена м2 с БK]]+наценка7[[#This Row],[Цена м2 с БK]]</f>
        <v>145319.20000000001</v>
      </c>
      <c r="AQ180" s="51">
        <f>VLOOKUP(наценка7[[#This Row],[№]],Д402[],COLUMN(Д402[[#This Row],[утв цена м2]]),0)</f>
        <v>146551.70000000001</v>
      </c>
      <c r="AR180" s="3">
        <f>наценка7[[#This Row],[утв цена м2]]*наценка7[[#This Row],[Расчетная проектная площадь]]</f>
        <v>4091723.4640000006</v>
      </c>
      <c r="AS180" s="27" t="str">
        <f>VLOOKUP(наценка7[[#This Row],[№]],Д402[],COLUMN('Реестр ОН'!$BA$1),0)</f>
        <v>Стр. Резерв</v>
      </c>
      <c r="AT180" s="281">
        <f>ROUND(наценка7[[#This Row],[Цена м2 с учетом всех K]]*наценка7[[#This Row],[Расчетная проектная площадь]],0)</f>
        <v>4057312</v>
      </c>
      <c r="AU180" s="286">
        <v>4057312</v>
      </c>
      <c r="AV180" s="286" t="b">
        <f>наценка7[[#This Row],[Аллио]]=наценка7[[#This Row],[Первичка тест]]</f>
        <v>1</v>
      </c>
    </row>
    <row r="181" spans="1:48" hidden="1" x14ac:dyDescent="0.25">
      <c r="A181" s="65">
        <v>179</v>
      </c>
      <c r="B181" s="2">
        <f>_xlfn.XLOOKUP(наценка7[[#This Row],[№]],Д402[№],Д402[Секция],"-",0)</f>
        <v>2</v>
      </c>
      <c r="C181" s="2">
        <f>_xlfn.XLOOKUP(наценка7[[#This Row],[№]],Д402[№],Д402[Этаж],"-",0)</f>
        <v>13</v>
      </c>
      <c r="D181" s="2">
        <f>_xlfn.XLOOKUP(наценка7[[#This Row],[№]],Д402[№],Д402[№ на этаже],"-",0)</f>
        <v>5</v>
      </c>
      <c r="E181" s="2">
        <f>_xlfn.XLOOKUP(наценка7[[#This Row],[№]],Д402[№],Д402[Тип кв],"-",0)</f>
        <v>2</v>
      </c>
      <c r="F181" s="51">
        <f>_xlfn.XLOOKUP(наценка7[[#This Row],[№]],Д402[№],Д402[Кухня],"-",0)</f>
        <v>12.38</v>
      </c>
      <c r="G181" s="51">
        <f>_xlfn.XLOOKUP(наценка7[[#This Row],[№]],Д402[№],Д402[Ванная],"-",0)</f>
        <v>4.07</v>
      </c>
      <c r="H181" s="51" t="s">
        <v>87</v>
      </c>
      <c r="I181" s="51" t="s">
        <v>101</v>
      </c>
      <c r="J181" s="51"/>
      <c r="K181" s="51" t="s">
        <v>101</v>
      </c>
      <c r="L181" s="51"/>
      <c r="M181" s="51" t="s">
        <v>83</v>
      </c>
      <c r="N181" s="51"/>
      <c r="O181" s="51" t="s">
        <v>119</v>
      </c>
      <c r="P181" s="51"/>
      <c r="Q181" s="129"/>
      <c r="R181" s="129"/>
      <c r="S181" s="51"/>
      <c r="T181" s="51">
        <f>_xlfn.XLOOKUP(наценка7[[#This Row],[№]],Д402[№],Д402[Расчетная проектная площадь],"-",0)</f>
        <v>63.37</v>
      </c>
      <c r="U181" s="17">
        <f t="shared" si="3"/>
        <v>89000</v>
      </c>
      <c r="V18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81" s="18">
        <f>наценка7[[#This Row],[Цена м2 базовая]]*наценка7[[#This Row],[Базовой K]]</f>
        <v>113030</v>
      </c>
      <c r="X18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81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8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0.02</v>
      </c>
      <c r="AC18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81" s="55">
        <f>IF(наценка7[[#This Row],[Потолок ]]="ДА",коэффициенты!$C$13,"")</f>
        <v>0.02</v>
      </c>
      <c r="AG181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8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8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1" s="52">
        <f>SUM(наценка7[[#This Row],[еврокухня]:[Лифт]])*наценка7[[#This Row],[Цена м2 с БK]]+наценка7[[#This Row],[Цена м2 с БK]]</f>
        <v>122072.4</v>
      </c>
      <c r="AQ181" s="51">
        <f>VLOOKUP(наценка7[[#This Row],[№]],Д402[],COLUMN(Д402[[#This Row],[утв цена м2]]),0)</f>
        <v>120393.02</v>
      </c>
      <c r="AR181" s="3">
        <f>наценка7[[#This Row],[утв цена м2]]*наценка7[[#This Row],[Расчетная проектная площадь]]</f>
        <v>7629305.6774000004</v>
      </c>
      <c r="AS181" s="27" t="str">
        <f>VLOOKUP(наценка7[[#This Row],[№]],Д402[],COLUMN('Реестр ОН'!$BA$1),0)</f>
        <v>Свободно</v>
      </c>
      <c r="AT181" s="281">
        <f>ROUND(наценка7[[#This Row],[Цена м2 с учетом всех K]]*наценка7[[#This Row],[Расчетная проектная площадь]],0)</f>
        <v>7735728</v>
      </c>
      <c r="AU181" s="286">
        <v>7735728</v>
      </c>
      <c r="AV181" s="286" t="b">
        <f>наценка7[[#This Row],[Аллио]]=наценка7[[#This Row],[Первичка тест]]</f>
        <v>1</v>
      </c>
    </row>
    <row r="182" spans="1:48" hidden="1" x14ac:dyDescent="0.25">
      <c r="A182" s="65">
        <v>180</v>
      </c>
      <c r="B182" s="2">
        <f>_xlfn.XLOOKUP(наценка7[[#This Row],[№]],Д402[№],Д402[Секция],"-",0)</f>
        <v>2</v>
      </c>
      <c r="C182" s="2">
        <f>_xlfn.XLOOKUP(наценка7[[#This Row],[№]],Д402[№],Д402[Этаж],"-",0)</f>
        <v>13</v>
      </c>
      <c r="D182" s="2">
        <f>_xlfn.XLOOKUP(наценка7[[#This Row],[№]],Д402[№],Д402[№ на этаже],"-",0)</f>
        <v>6</v>
      </c>
      <c r="E182" s="2">
        <f>_xlfn.XLOOKUP(наценка7[[#This Row],[№]],Д402[№],Д402[Тип кв],"-",0)</f>
        <v>2</v>
      </c>
      <c r="F182" s="51">
        <f>_xlfn.XLOOKUP(наценка7[[#This Row],[№]],Д402[№],Д402[Кухня],"-",0)</f>
        <v>13.65</v>
      </c>
      <c r="G182" s="51">
        <f>_xlfn.XLOOKUP(наценка7[[#This Row],[№]],Д402[№],Д402[Ванная],"-",0)</f>
        <v>5.15</v>
      </c>
      <c r="H182" s="51" t="s">
        <v>84</v>
      </c>
      <c r="I182" s="51" t="s">
        <v>101</v>
      </c>
      <c r="J182" s="51"/>
      <c r="K182" s="51"/>
      <c r="L182" s="51"/>
      <c r="M182" s="51" t="s">
        <v>88</v>
      </c>
      <c r="N182" s="51"/>
      <c r="O182" s="51" t="s">
        <v>119</v>
      </c>
      <c r="P182" s="51"/>
      <c r="Q182" s="51" t="s">
        <v>101</v>
      </c>
      <c r="R182" s="129"/>
      <c r="S182" s="51"/>
      <c r="T182" s="51">
        <f>_xlfn.XLOOKUP(наценка7[[#This Row],[№]],Д402[№],Д402[Расчетная проектная площадь],"-",0)</f>
        <v>60.87</v>
      </c>
      <c r="U182" s="17">
        <f t="shared" si="3"/>
        <v>89000</v>
      </c>
      <c r="V18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82" s="18">
        <f>наценка7[[#This Row],[Цена м2 базовая]]*наценка7[[#This Row],[Базовой K]]</f>
        <v>113030</v>
      </c>
      <c r="X18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8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8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2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0.03</v>
      </c>
      <c r="AB18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8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0.02</v>
      </c>
      <c r="AE18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182" s="55">
        <f>IF(наценка7[[#This Row],[Потолок ]]="ДА",коэффициенты!$C$13,"")</f>
        <v>0.02</v>
      </c>
      <c r="AG18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8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82" s="55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>0.01</v>
      </c>
      <c r="AL18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2" s="52">
        <f>SUM(наценка7[[#This Row],[еврокухня]:[Лифт]])*наценка7[[#This Row],[Цена м2 с БK]]+наценка7[[#This Row],[Цена м2 с БK]]</f>
        <v>126593.60000000001</v>
      </c>
      <c r="AQ182" s="51">
        <f>VLOOKUP(наценка7[[#This Row],[№]],Д402[],COLUMN(Д402[[#This Row],[утв цена м2]]),0)</f>
        <v>121967.69</v>
      </c>
      <c r="AR182" s="3">
        <f>наценка7[[#This Row],[утв цена м2]]*наценка7[[#This Row],[Расчетная проектная площадь]]</f>
        <v>7424173.2902999995</v>
      </c>
      <c r="AS182" s="27" t="str">
        <f>VLOOKUP(наценка7[[#This Row],[№]],Д402[],COLUMN('Реестр ОН'!$BA$1),0)</f>
        <v>Стр. Резерв</v>
      </c>
      <c r="AT182" s="281">
        <f>ROUND(наценка7[[#This Row],[Цена м2 с учетом всех K]]*наценка7[[#This Row],[Расчетная проектная площадь]],0)</f>
        <v>7705752</v>
      </c>
      <c r="AU182" s="286">
        <v>7705752</v>
      </c>
      <c r="AV182" s="286" t="b">
        <f>наценка7[[#This Row],[Аллио]]=наценка7[[#This Row],[Первичка тест]]</f>
        <v>1</v>
      </c>
    </row>
    <row r="183" spans="1:48" hidden="1" x14ac:dyDescent="0.25">
      <c r="A183" s="65">
        <v>181</v>
      </c>
      <c r="B183" s="2">
        <f>_xlfn.XLOOKUP(наценка7[[#This Row],[№]],Д402[№],Д402[Секция],"-",0)</f>
        <v>3</v>
      </c>
      <c r="C183" s="2">
        <f>_xlfn.XLOOKUP(наценка7[[#This Row],[№]],Д402[№],Д402[Этаж],"-",0)</f>
        <v>2</v>
      </c>
      <c r="D183" s="2">
        <f>_xlfn.XLOOKUP(наценка7[[#This Row],[№]],Д402[№],Д402[№ на этаже],"-",0)</f>
        <v>1</v>
      </c>
      <c r="E183" s="2">
        <f>_xlfn.XLOOKUP(наценка7[[#This Row],[№]],Д402[№],Д402[Тип кв],"-",0)</f>
        <v>1</v>
      </c>
      <c r="F183" s="51">
        <f>_xlfn.XLOOKUP(наценка7[[#This Row],[№]],Д402[№],Д402[Кухня],"-",0)</f>
        <v>16.2</v>
      </c>
      <c r="G183" s="51">
        <f>_xlfn.XLOOKUP(наценка7[[#This Row],[№]],Д402[№],Д402[Ванная],"-",0)</f>
        <v>4.09</v>
      </c>
      <c r="H183" s="51" t="s">
        <v>84</v>
      </c>
      <c r="I183" s="51"/>
      <c r="J183" s="51" t="s">
        <v>101</v>
      </c>
      <c r="K183" s="51" t="s">
        <v>101</v>
      </c>
      <c r="L183" s="51"/>
      <c r="M183" s="51" t="s">
        <v>83</v>
      </c>
      <c r="N183" s="51" t="s">
        <v>101</v>
      </c>
      <c r="O183" s="51" t="s">
        <v>119</v>
      </c>
      <c r="P183" s="51"/>
      <c r="Q183" s="129"/>
      <c r="R183" s="129"/>
      <c r="S183" s="51"/>
      <c r="T183" s="51">
        <f>_xlfn.XLOOKUP(наценка7[[#This Row],[№]],Д402[№],Д402[Расчетная проектная площадь],"-",0)</f>
        <v>44.25</v>
      </c>
      <c r="U183" s="17">
        <f t="shared" si="3"/>
        <v>89000</v>
      </c>
      <c r="V18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83" s="18">
        <f>наценка7[[#This Row],[Цена м2 базовая]]*наценка7[[#This Row],[Базовой K]]</f>
        <v>119260</v>
      </c>
      <c r="X18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8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8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3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83" s="55" t="str">
        <f>IF(наценка7[[#This Row],[Потолок ]]="ДА",коэффициенты!$C$13,"")</f>
        <v/>
      </c>
      <c r="AG18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8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8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3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18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3" s="52">
        <f>SUM(наценка7[[#This Row],[еврокухня]:[Лифт]])*наценка7[[#This Row],[Цена м2 с БK]]+наценка7[[#This Row],[Цена м2 с БK]]</f>
        <v>121645.2</v>
      </c>
      <c r="AQ183" s="51">
        <f>VLOOKUP(наценка7[[#This Row],[№]],Д402[],COLUMN(Д402[[#This Row],[утв цена м2]]),0)</f>
        <v>128493.77</v>
      </c>
      <c r="AR183" s="3">
        <f>наценка7[[#This Row],[утв цена м2]]*наценка7[[#This Row],[Расчетная проектная площадь]]</f>
        <v>5685849.3224999998</v>
      </c>
      <c r="AS183" s="27" t="str">
        <f>VLOOKUP(наценка7[[#This Row],[№]],Д402[],COLUMN('Реестр ОН'!$BA$1),0)</f>
        <v>Стр. Резерв</v>
      </c>
      <c r="AT183" s="281">
        <f>ROUND(наценка7[[#This Row],[Цена м2 с учетом всех K]]*наценка7[[#This Row],[Расчетная проектная площадь]],0)</f>
        <v>5382800</v>
      </c>
      <c r="AU183" s="286">
        <v>5382800</v>
      </c>
      <c r="AV183" s="286" t="b">
        <f>наценка7[[#This Row],[Аллио]]=наценка7[[#This Row],[Первичка тест]]</f>
        <v>1</v>
      </c>
    </row>
    <row r="184" spans="1:48" hidden="1" x14ac:dyDescent="0.25">
      <c r="A184" s="65">
        <v>182</v>
      </c>
      <c r="B184" s="2">
        <f>_xlfn.XLOOKUP(наценка7[[#This Row],[№]],Д402[№],Д402[Секция],"-",0)</f>
        <v>3</v>
      </c>
      <c r="C184" s="2">
        <f>_xlfn.XLOOKUP(наценка7[[#This Row],[№]],Д402[№],Д402[Этаж],"-",0)</f>
        <v>2</v>
      </c>
      <c r="D184" s="2">
        <f>_xlfn.XLOOKUP(наценка7[[#This Row],[№]],Д402[№],Д402[№ на этаже],"-",0)</f>
        <v>2</v>
      </c>
      <c r="E184" s="2">
        <f>_xlfn.XLOOKUP(наценка7[[#This Row],[№]],Д402[№],Д402[Тип кв],"-",0)</f>
        <v>1</v>
      </c>
      <c r="F184" s="51">
        <f>_xlfn.XLOOKUP(наценка7[[#This Row],[№]],Д402[№],Д402[Кухня],"-",0)</f>
        <v>15.1</v>
      </c>
      <c r="G184" s="51">
        <f>_xlfn.XLOOKUP(наценка7[[#This Row],[№]],Д402[№],Д402[Ванная],"-",0)</f>
        <v>4.22</v>
      </c>
      <c r="H184" s="51" t="s">
        <v>87</v>
      </c>
      <c r="I184" s="51"/>
      <c r="J184" s="51" t="s">
        <v>101</v>
      </c>
      <c r="K184" s="51" t="s">
        <v>101</v>
      </c>
      <c r="L184" s="51"/>
      <c r="M184" s="51" t="s">
        <v>83</v>
      </c>
      <c r="N184" s="51"/>
      <c r="O184" s="51" t="s">
        <v>119</v>
      </c>
      <c r="P184" s="51"/>
      <c r="Q184" s="129"/>
      <c r="R184" s="129"/>
      <c r="S184" s="51"/>
      <c r="T184" s="51">
        <f>_xlfn.XLOOKUP(наценка7[[#This Row],[№]],Д402[№],Д402[Расчетная проектная площадь],"-",0)</f>
        <v>36.64</v>
      </c>
      <c r="U184" s="17">
        <f t="shared" si="3"/>
        <v>89000</v>
      </c>
      <c r="V18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84" s="18">
        <f>наценка7[[#This Row],[Цена м2 базовая]]*наценка7[[#This Row],[Базовой K]]</f>
        <v>119260</v>
      </c>
      <c r="X18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8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8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84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84" s="55" t="str">
        <f>IF(наценка7[[#This Row],[Потолок ]]="ДА",коэффициенты!$C$13,"")</f>
        <v/>
      </c>
      <c r="AG18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8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8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4" s="52">
        <f>SUM(наценка7[[#This Row],[еврокухня]:[Лифт]])*наценка7[[#This Row],[Цена м2 с БK]]+наценка7[[#This Row],[Цена м2 с БK]]</f>
        <v>125223</v>
      </c>
      <c r="AQ184" s="51">
        <f>VLOOKUP(наценка7[[#This Row],[№]],Д402[],COLUMN(Д402[[#This Row],[утв цена м2]]),0)</f>
        <v>130932.21</v>
      </c>
      <c r="AR184" s="3">
        <f>наценка7[[#This Row],[утв цена м2]]*наценка7[[#This Row],[Расчетная проектная площадь]]</f>
        <v>4797356.1743999999</v>
      </c>
      <c r="AS184" s="27" t="str">
        <f>VLOOKUP(наценка7[[#This Row],[№]],Д402[],COLUMN('Реестр ОН'!$BA$1),0)</f>
        <v>Стр. Резерв</v>
      </c>
      <c r="AT184" s="281">
        <f>ROUND(наценка7[[#This Row],[Цена м2 с учетом всех K]]*наценка7[[#This Row],[Расчетная проектная площадь]],0)</f>
        <v>4588171</v>
      </c>
      <c r="AU184" s="286">
        <v>4588171</v>
      </c>
      <c r="AV184" s="286" t="b">
        <f>наценка7[[#This Row],[Аллио]]=наценка7[[#This Row],[Первичка тест]]</f>
        <v>1</v>
      </c>
    </row>
    <row r="185" spans="1:48" hidden="1" x14ac:dyDescent="0.25">
      <c r="A185" s="65">
        <v>183</v>
      </c>
      <c r="B185" s="2">
        <f>_xlfn.XLOOKUP(наценка7[[#This Row],[№]],Д402[№],Д402[Секция],"-",0)</f>
        <v>3</v>
      </c>
      <c r="C185" s="2">
        <f>_xlfn.XLOOKUP(наценка7[[#This Row],[№]],Д402[№],Д402[Этаж],"-",0)</f>
        <v>2</v>
      </c>
      <c r="D185" s="2">
        <f>_xlfn.XLOOKUP(наценка7[[#This Row],[№]],Д402[№],Д402[№ на этаже],"-",0)</f>
        <v>3</v>
      </c>
      <c r="E185" s="2">
        <f>_xlfn.XLOOKUP(наценка7[[#This Row],[№]],Д402[№],Д402[Тип кв],"-",0)</f>
        <v>2</v>
      </c>
      <c r="F185" s="51">
        <f>_xlfn.XLOOKUP(наценка7[[#This Row],[№]],Д402[№],Д402[Кухня],"-",0)</f>
        <v>18.87</v>
      </c>
      <c r="G185" s="51">
        <f>_xlfn.XLOOKUP(наценка7[[#This Row],[№]],Д402[№],Д402[Ванная],"-",0)</f>
        <v>4.21</v>
      </c>
      <c r="H185" s="51" t="s">
        <v>87</v>
      </c>
      <c r="I185" s="51"/>
      <c r="J185" s="51"/>
      <c r="K185" s="51"/>
      <c r="L185" s="51" t="s">
        <v>119</v>
      </c>
      <c r="M185" s="51" t="s">
        <v>83</v>
      </c>
      <c r="N185" s="51"/>
      <c r="O185" s="51" t="s">
        <v>119</v>
      </c>
      <c r="P185" s="51"/>
      <c r="Q185" s="129"/>
      <c r="R185" s="129"/>
      <c r="S185" s="51"/>
      <c r="T185" s="51">
        <f>_xlfn.XLOOKUP(наценка7[[#This Row],[№]],Д402[№],Д402[Расчетная проектная площадь],"-",0)</f>
        <v>56.99</v>
      </c>
      <c r="U185" s="17">
        <f t="shared" si="3"/>
        <v>89000</v>
      </c>
      <c r="V18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85" s="18">
        <f>наценка7[[#This Row],[Цена м2 базовая]]*наценка7[[#This Row],[Базовой K]]</f>
        <v>113030</v>
      </c>
      <c r="X18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8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8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5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85" s="55" t="str">
        <f>IF(наценка7[[#This Row],[Потолок ]]="ДА",коэффициенты!$C$13,"")</f>
        <v/>
      </c>
      <c r="AG185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8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8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5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-0.02</v>
      </c>
      <c r="AM18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5" s="52">
        <f>SUM(наценка7[[#This Row],[еврокухня]:[Лифт]])*наценка7[[#This Row],[Цена м2 с БK]]+наценка7[[#This Row],[Цена м2 с БK]]</f>
        <v>116420.9</v>
      </c>
      <c r="AQ185" s="51">
        <f>VLOOKUP(наценка7[[#This Row],[№]],Д402[],COLUMN(Д402[[#This Row],[утв цена м2]]),0)</f>
        <v>120606.5</v>
      </c>
      <c r="AR185" s="3">
        <f>наценка7[[#This Row],[утв цена м2]]*наценка7[[#This Row],[Расчетная проектная площадь]]</f>
        <v>6873364.4350000005</v>
      </c>
      <c r="AS185" s="27" t="str">
        <f>VLOOKUP(наценка7[[#This Row],[№]],Д402[],COLUMN('Реестр ОН'!$BA$1),0)</f>
        <v>Стр. Резерв</v>
      </c>
      <c r="AT185" s="281">
        <f>ROUND(наценка7[[#This Row],[Цена м2 с учетом всех K]]*наценка7[[#This Row],[Расчетная проектная площадь]],0)</f>
        <v>6634827</v>
      </c>
      <c r="AU185" s="286">
        <v>6634827</v>
      </c>
      <c r="AV185" s="286" t="b">
        <f>наценка7[[#This Row],[Аллио]]=наценка7[[#This Row],[Первичка тест]]</f>
        <v>1</v>
      </c>
    </row>
    <row r="186" spans="1:48" hidden="1" x14ac:dyDescent="0.25">
      <c r="A186" s="65">
        <v>184</v>
      </c>
      <c r="B186" s="2">
        <f>_xlfn.XLOOKUP(наценка7[[#This Row],[№]],Д402[№],Д402[Секция],"-",0)</f>
        <v>3</v>
      </c>
      <c r="C186" s="2">
        <f>_xlfn.XLOOKUP(наценка7[[#This Row],[№]],Д402[№],Д402[Этаж],"-",0)</f>
        <v>2</v>
      </c>
      <c r="D186" s="2">
        <f>_xlfn.XLOOKUP(наценка7[[#This Row],[№]],Д402[№],Д402[№ на этаже],"-",0)</f>
        <v>4</v>
      </c>
      <c r="E186" s="2">
        <f>_xlfn.XLOOKUP(наценка7[[#This Row],[№]],Д402[№],Д402[Тип кв],"-",0)</f>
        <v>1</v>
      </c>
      <c r="F186" s="51">
        <f>_xlfn.XLOOKUP(наценка7[[#This Row],[№]],Д402[№],Д402[Кухня],"-",0)</f>
        <v>13.99</v>
      </c>
      <c r="G186" s="51">
        <f>_xlfn.XLOOKUP(наценка7[[#This Row],[№]],Д402[№],Д402[Ванная],"-",0)</f>
        <v>3.9</v>
      </c>
      <c r="H186" s="51" t="s">
        <v>87</v>
      </c>
      <c r="I186" s="51"/>
      <c r="J186" s="51" t="s">
        <v>101</v>
      </c>
      <c r="K186" s="51"/>
      <c r="L186" s="51"/>
      <c r="M186" s="51" t="s">
        <v>83</v>
      </c>
      <c r="N186" s="51"/>
      <c r="O186" s="51" t="s">
        <v>119</v>
      </c>
      <c r="P186" s="51"/>
      <c r="Q186" s="129"/>
      <c r="R186" s="129"/>
      <c r="S186" s="51"/>
      <c r="T186" s="51">
        <f>_xlfn.XLOOKUP(наценка7[[#This Row],[№]],Д402[№],Д402[Расчетная проектная площадь],"-",0)</f>
        <v>36.39</v>
      </c>
      <c r="U186" s="17">
        <f t="shared" si="3"/>
        <v>89000</v>
      </c>
      <c r="V18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86" s="18">
        <f>наценка7[[#This Row],[Цена м2 базовая]]*наценка7[[#This Row],[Базовой K]]</f>
        <v>119260</v>
      </c>
      <c r="X18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8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86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8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8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86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86" s="55" t="str">
        <f>IF(наценка7[[#This Row],[Потолок ]]="ДА",коэффициенты!$C$13,"")</f>
        <v/>
      </c>
      <c r="AG18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8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8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6" s="52">
        <f>SUM(наценка7[[#This Row],[еврокухня]:[Лифт]])*наценка7[[#This Row],[Цена м2 с БK]]+наценка7[[#This Row],[Цена м2 с БK]]</f>
        <v>124030.39999999999</v>
      </c>
      <c r="AQ186" s="51">
        <f>VLOOKUP(наценка7[[#This Row],[№]],Д402[],COLUMN(Д402[[#This Row],[утв цена м2]]),0)</f>
        <v>129697.39</v>
      </c>
      <c r="AR186" s="3">
        <f>наценка7[[#This Row],[утв цена м2]]*наценка7[[#This Row],[Расчетная проектная площадь]]</f>
        <v>4719688.0220999997</v>
      </c>
      <c r="AS186" s="27" t="str">
        <f>VLOOKUP(наценка7[[#This Row],[№]],Д402[],COLUMN('Реестр ОН'!$BA$1),0)</f>
        <v>Стр. Резерв</v>
      </c>
      <c r="AT186" s="281">
        <f>ROUND(наценка7[[#This Row],[Цена м2 с учетом всех K]]*наценка7[[#This Row],[Расчетная проектная площадь]],0)</f>
        <v>4513466</v>
      </c>
      <c r="AU186" s="286">
        <v>4513466</v>
      </c>
      <c r="AV186" s="286" t="b">
        <f>наценка7[[#This Row],[Аллио]]=наценка7[[#This Row],[Первичка тест]]</f>
        <v>1</v>
      </c>
    </row>
    <row r="187" spans="1:48" x14ac:dyDescent="0.25">
      <c r="A187" s="65">
        <v>185</v>
      </c>
      <c r="B187" s="2">
        <f>_xlfn.XLOOKUP(наценка7[[#This Row],[№]],Д402[№],Д402[Секция],"-",0)</f>
        <v>3</v>
      </c>
      <c r="C187" s="2">
        <f>_xlfn.XLOOKUP(наценка7[[#This Row],[№]],Д402[№],Д402[Этаж],"-",0)</f>
        <v>2</v>
      </c>
      <c r="D187" s="2">
        <f>_xlfn.XLOOKUP(наценка7[[#This Row],[№]],Д402[№],Д402[№ на этаже],"-",0)</f>
        <v>5</v>
      </c>
      <c r="E187" s="2">
        <f>_xlfn.XLOOKUP(наценка7[[#This Row],[№]],Д402[№],Д402[Тип кв],"-",0)</f>
        <v>3</v>
      </c>
      <c r="F187" s="51">
        <f>_xlfn.XLOOKUP(наценка7[[#This Row],[№]],Д402[№],Д402[Кухня],"-",0)</f>
        <v>11.42</v>
      </c>
      <c r="G187" s="51">
        <f>_xlfn.XLOOKUP(наценка7[[#This Row],[№]],Д402[№],Д402[Ванная],"-",0)</f>
        <v>3.9</v>
      </c>
      <c r="H187" s="51" t="s">
        <v>89</v>
      </c>
      <c r="I187" s="51"/>
      <c r="J187" s="51" t="s">
        <v>101</v>
      </c>
      <c r="K187" s="51"/>
      <c r="L187" s="51"/>
      <c r="M187" s="51" t="s">
        <v>88</v>
      </c>
      <c r="N187" s="51"/>
      <c r="O187" s="51" t="s">
        <v>101</v>
      </c>
      <c r="P187" s="51"/>
      <c r="Q187" s="129"/>
      <c r="R187" s="51" t="s">
        <v>101</v>
      </c>
      <c r="S187" s="51"/>
      <c r="T187" s="51">
        <f>_xlfn.XLOOKUP(наценка7[[#This Row],[№]],Д402[№],Д402[Расчетная проектная площадь],"-",0)</f>
        <v>78.16</v>
      </c>
      <c r="U187" s="17">
        <f t="shared" si="3"/>
        <v>89000</v>
      </c>
      <c r="V18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187" s="18">
        <f>наценка7[[#This Row],[Цена м2 базовая]]*наценка7[[#This Row],[Базовой K]]</f>
        <v>103240</v>
      </c>
      <c r="X18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8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7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87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18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8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7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0.03</v>
      </c>
      <c r="AF187" s="55" t="str">
        <f>IF(наценка7[[#This Row],[Потолок ]]="ДА",коэффициенты!$C$13,"")</f>
        <v/>
      </c>
      <c r="AG18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8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7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18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8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7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18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7" s="52">
        <f>SUM(наценка7[[#This Row],[еврокухня]:[Лифт]])*наценка7[[#This Row],[Цена м2 с БK]]+наценка7[[#This Row],[Цена м2 с БK]]</f>
        <v>109434.4</v>
      </c>
      <c r="AQ187" s="51">
        <f>VLOOKUP(наценка7[[#This Row],[№]],Д402[],COLUMN(Д402[[#This Row],[утв цена м2]]),0)</f>
        <v>110666.9</v>
      </c>
      <c r="AR187" s="3">
        <f>наценка7[[#This Row],[утв цена м2]]*наценка7[[#This Row],[Расчетная проектная площадь]]</f>
        <v>8649724.9039999992</v>
      </c>
      <c r="AS187" s="27" t="str">
        <f>VLOOKUP(наценка7[[#This Row],[№]],Д402[],COLUMN('Реестр ОН'!$BA$1),0)</f>
        <v>Свободно</v>
      </c>
      <c r="AT187" s="281">
        <f>ROUND(наценка7[[#This Row],[Цена м2 с учетом всех K]]*наценка7[[#This Row],[Расчетная проектная площадь]],0)</f>
        <v>8553393</v>
      </c>
      <c r="AU187" s="286">
        <v>8553393</v>
      </c>
      <c r="AV187" s="286" t="b">
        <f>наценка7[[#This Row],[Аллио]]=наценка7[[#This Row],[Первичка тест]]</f>
        <v>1</v>
      </c>
    </row>
    <row r="188" spans="1:48" hidden="1" x14ac:dyDescent="0.25">
      <c r="A188" s="65">
        <v>186</v>
      </c>
      <c r="B188" s="2">
        <f>_xlfn.XLOOKUP(наценка7[[#This Row],[№]],Д402[№],Д402[Секция],"-",0)</f>
        <v>3</v>
      </c>
      <c r="C188" s="2">
        <f>_xlfn.XLOOKUP(наценка7[[#This Row],[№]],Д402[№],Д402[Этаж],"-",0)</f>
        <v>2</v>
      </c>
      <c r="D188" s="2">
        <f>_xlfn.XLOOKUP(наценка7[[#This Row],[№]],Д402[№],Д402[№ на этаже],"-",0)</f>
        <v>6</v>
      </c>
      <c r="E188" s="2">
        <f>_xlfn.XLOOKUP(наценка7[[#This Row],[№]],Д402[№],Д402[Тип кв],"-",0)</f>
        <v>0</v>
      </c>
      <c r="F188" s="51">
        <f>_xlfn.XLOOKUP(наценка7[[#This Row],[№]],Д402[№],Д402[Кухня],"-",0)</f>
        <v>5</v>
      </c>
      <c r="G188" s="51">
        <f>_xlfn.XLOOKUP(наценка7[[#This Row],[№]],Д402[№],Д402[Ванная],"-",0)</f>
        <v>4.2699999999999996</v>
      </c>
      <c r="H188" s="51" t="s">
        <v>84</v>
      </c>
      <c r="I188" s="51"/>
      <c r="J188" s="51"/>
      <c r="K188" s="51" t="s">
        <v>101</v>
      </c>
      <c r="L188" s="51" t="s">
        <v>119</v>
      </c>
      <c r="M188" s="51" t="s">
        <v>83</v>
      </c>
      <c r="N188" s="51"/>
      <c r="O188" s="51" t="s">
        <v>119</v>
      </c>
      <c r="P188" s="51"/>
      <c r="Q188" s="129"/>
      <c r="R188" s="129"/>
      <c r="S188" s="51" t="s">
        <v>101</v>
      </c>
      <c r="T188" s="51">
        <f>_xlfn.XLOOKUP(наценка7[[#This Row],[№]],Д402[№],Д402[Расчетная проектная площадь],"-",0)</f>
        <v>29.73</v>
      </c>
      <c r="U188" s="17">
        <f t="shared" si="3"/>
        <v>89000</v>
      </c>
      <c r="V18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88" s="18">
        <f>наценка7[[#This Row],[Цена м2 базовая]]*наценка7[[#This Row],[Базовой K]]</f>
        <v>139730</v>
      </c>
      <c r="X18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8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8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8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88" s="55" t="str">
        <f>IF(наценка7[[#This Row],[Потолок ]]="ДА",коэффициенты!$C$13,"")</f>
        <v/>
      </c>
      <c r="AG18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8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8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8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8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88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88" s="52">
        <f>SUM(наценка7[[#This Row],[еврокухня]:[Лифт]])*наценка7[[#This Row],[Цена м2 с БK]]+наценка7[[#This Row],[Цена м2 с БK]]</f>
        <v>139730</v>
      </c>
      <c r="AQ188" s="51">
        <f>VLOOKUP(наценка7[[#This Row],[№]],Д402[],COLUMN(Д402[[#This Row],[утв цена м2]]),0)</f>
        <v>140962.5</v>
      </c>
      <c r="AR188" s="3">
        <f>наценка7[[#This Row],[утв цена м2]]*наценка7[[#This Row],[Расчетная проектная площадь]]</f>
        <v>4190815.125</v>
      </c>
      <c r="AS188" s="27" t="str">
        <f>VLOOKUP(наценка7[[#This Row],[№]],Д402[],COLUMN('Реестр ОН'!$BA$1),0)</f>
        <v>Стр. Резерв</v>
      </c>
      <c r="AT188" s="281">
        <f>ROUND(наценка7[[#This Row],[Цена м2 с учетом всех K]]*наценка7[[#This Row],[Расчетная проектная площадь]],0)</f>
        <v>4154173</v>
      </c>
      <c r="AU188" s="286">
        <v>4154173</v>
      </c>
      <c r="AV188" s="286" t="b">
        <f>наценка7[[#This Row],[Аллио]]=наценка7[[#This Row],[Первичка тест]]</f>
        <v>1</v>
      </c>
    </row>
    <row r="189" spans="1:48" hidden="1" x14ac:dyDescent="0.25">
      <c r="A189" s="65">
        <v>187</v>
      </c>
      <c r="B189" s="2">
        <f>_xlfn.XLOOKUP(наценка7[[#This Row],[№]],Д402[№],Д402[Секция],"-",0)</f>
        <v>3</v>
      </c>
      <c r="C189" s="2">
        <f>_xlfn.XLOOKUP(наценка7[[#This Row],[№]],Д402[№],Д402[Этаж],"-",0)</f>
        <v>3</v>
      </c>
      <c r="D189" s="2">
        <f>_xlfn.XLOOKUP(наценка7[[#This Row],[№]],Д402[№],Д402[№ на этаже],"-",0)</f>
        <v>1</v>
      </c>
      <c r="E189" s="2">
        <f>_xlfn.XLOOKUP(наценка7[[#This Row],[№]],Д402[№],Д402[Тип кв],"-",0)</f>
        <v>1</v>
      </c>
      <c r="F189" s="51">
        <f>_xlfn.XLOOKUP(наценка7[[#This Row],[№]],Д402[№],Д402[Кухня],"-",0)</f>
        <v>16.2</v>
      </c>
      <c r="G189" s="51">
        <f>_xlfn.XLOOKUP(наценка7[[#This Row],[№]],Д402[№],Д402[Ванная],"-",0)</f>
        <v>4.09</v>
      </c>
      <c r="H189" s="51" t="s">
        <v>84</v>
      </c>
      <c r="I189" s="51"/>
      <c r="J189" s="51" t="s">
        <v>101</v>
      </c>
      <c r="K189" s="51" t="s">
        <v>101</v>
      </c>
      <c r="L189" s="51"/>
      <c r="M189" s="51" t="s">
        <v>83</v>
      </c>
      <c r="N189" s="51" t="s">
        <v>101</v>
      </c>
      <c r="O189" s="51" t="s">
        <v>119</v>
      </c>
      <c r="P189" s="51"/>
      <c r="Q189" s="129"/>
      <c r="R189" s="129"/>
      <c r="S189" s="51"/>
      <c r="T189" s="51">
        <f>_xlfn.XLOOKUP(наценка7[[#This Row],[№]],Д402[№],Д402[Расчетная проектная площадь],"-",0)</f>
        <v>44.25</v>
      </c>
      <c r="U189" s="17">
        <f t="shared" si="3"/>
        <v>89000</v>
      </c>
      <c r="V18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89" s="18">
        <f>наценка7[[#This Row],[Цена м2 базовая]]*наценка7[[#This Row],[Базовой K]]</f>
        <v>119260</v>
      </c>
      <c r="X18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8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8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8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8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8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8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89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89" s="55" t="str">
        <f>IF(наценка7[[#This Row],[Потолок ]]="ДА",коэффициенты!$C$13,"")</f>
        <v/>
      </c>
      <c r="AG18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8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8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8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8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8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8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89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18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89" s="52">
        <f>SUM(наценка7[[#This Row],[еврокухня]:[Лифт]])*наценка7[[#This Row],[Цена м2 с БK]]+наценка7[[#This Row],[Цена м2 с БK]]</f>
        <v>121645.2</v>
      </c>
      <c r="AQ189" s="51">
        <f>VLOOKUP(наценка7[[#This Row],[№]],Д402[],COLUMN(Д402[[#This Row],[утв цена м2]]),0)</f>
        <v>125310.6</v>
      </c>
      <c r="AR189" s="3">
        <f>наценка7[[#This Row],[утв цена м2]]*наценка7[[#This Row],[Расчетная проектная площадь]]</f>
        <v>5544994.0499999998</v>
      </c>
      <c r="AS189" s="27" t="str">
        <f>VLOOKUP(наценка7[[#This Row],[№]],Д402[],COLUMN('Реестр ОН'!$BA$1),0)</f>
        <v>Продажа</v>
      </c>
      <c r="AT189" s="281">
        <f>ROUND(наценка7[[#This Row],[Цена м2 с учетом всех K]]*наценка7[[#This Row],[Расчетная проектная площадь]],0)</f>
        <v>5382800</v>
      </c>
      <c r="AU189" s="286">
        <v>5382800</v>
      </c>
      <c r="AV189" s="286" t="b">
        <f>наценка7[[#This Row],[Аллио]]=наценка7[[#This Row],[Первичка тест]]</f>
        <v>1</v>
      </c>
    </row>
    <row r="190" spans="1:48" hidden="1" x14ac:dyDescent="0.25">
      <c r="A190" s="65">
        <v>188</v>
      </c>
      <c r="B190" s="2">
        <f>_xlfn.XLOOKUP(наценка7[[#This Row],[№]],Д402[№],Д402[Секция],"-",0)</f>
        <v>3</v>
      </c>
      <c r="C190" s="2">
        <f>_xlfn.XLOOKUP(наценка7[[#This Row],[№]],Д402[№],Д402[Этаж],"-",0)</f>
        <v>3</v>
      </c>
      <c r="D190" s="2">
        <f>_xlfn.XLOOKUP(наценка7[[#This Row],[№]],Д402[№],Д402[№ на этаже],"-",0)</f>
        <v>2</v>
      </c>
      <c r="E190" s="2">
        <f>_xlfn.XLOOKUP(наценка7[[#This Row],[№]],Д402[№],Д402[Тип кв],"-",0)</f>
        <v>1</v>
      </c>
      <c r="F190" s="51">
        <f>_xlfn.XLOOKUP(наценка7[[#This Row],[№]],Д402[№],Д402[Кухня],"-",0)</f>
        <v>15.1</v>
      </c>
      <c r="G190" s="51">
        <f>_xlfn.XLOOKUP(наценка7[[#This Row],[№]],Д402[№],Д402[Ванная],"-",0)</f>
        <v>4.22</v>
      </c>
      <c r="H190" s="51" t="s">
        <v>87</v>
      </c>
      <c r="I190" s="51"/>
      <c r="J190" s="51" t="s">
        <v>101</v>
      </c>
      <c r="K190" s="51" t="s">
        <v>101</v>
      </c>
      <c r="L190" s="51"/>
      <c r="M190" s="51" t="s">
        <v>83</v>
      </c>
      <c r="N190" s="51"/>
      <c r="O190" s="51" t="s">
        <v>119</v>
      </c>
      <c r="P190" s="51"/>
      <c r="Q190" s="129"/>
      <c r="R190" s="129"/>
      <c r="S190" s="51"/>
      <c r="T190" s="51">
        <f>_xlfn.XLOOKUP(наценка7[[#This Row],[№]],Д402[№],Д402[Расчетная проектная площадь],"-",0)</f>
        <v>36.64</v>
      </c>
      <c r="U190" s="17">
        <f t="shared" si="3"/>
        <v>89000</v>
      </c>
      <c r="V19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90" s="18">
        <f>наценка7[[#This Row],[Цена м2 базовая]]*наценка7[[#This Row],[Базовой K]]</f>
        <v>119260</v>
      </c>
      <c r="X19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9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9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90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90" s="55" t="str">
        <f>IF(наценка7[[#This Row],[Потолок ]]="ДА",коэффициенты!$C$13,"")</f>
        <v/>
      </c>
      <c r="AG19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9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0" s="52">
        <f>SUM(наценка7[[#This Row],[еврокухня]:[Лифт]])*наценка7[[#This Row],[Цена м2 с БK]]+наценка7[[#This Row],[Цена м2 с БK]]</f>
        <v>125223</v>
      </c>
      <c r="AQ190" s="51">
        <f>VLOOKUP(наценка7[[#This Row],[№]],Д402[],COLUMN(Д402[[#This Row],[утв цена м2]]),0)</f>
        <v>133525.34</v>
      </c>
      <c r="AR190" s="3">
        <f>наценка7[[#This Row],[утв цена м2]]*наценка7[[#This Row],[Расчетная проектная площадь]]</f>
        <v>4892368.4576000003</v>
      </c>
      <c r="AS190" s="27" t="str">
        <f>VLOOKUP(наценка7[[#This Row],[№]],Д402[],COLUMN('Реестр ОН'!$BA$1),0)</f>
        <v>Стр. Резерв</v>
      </c>
      <c r="AT190" s="281">
        <f>ROUND(наценка7[[#This Row],[Цена м2 с учетом всех K]]*наценка7[[#This Row],[Расчетная проектная площадь]],0)</f>
        <v>4588171</v>
      </c>
      <c r="AU190" s="286">
        <v>4588171</v>
      </c>
      <c r="AV190" s="286" t="b">
        <f>наценка7[[#This Row],[Аллио]]=наценка7[[#This Row],[Первичка тест]]</f>
        <v>1</v>
      </c>
    </row>
    <row r="191" spans="1:48" hidden="1" x14ac:dyDescent="0.25">
      <c r="A191" s="65">
        <v>189</v>
      </c>
      <c r="B191" s="2">
        <f>_xlfn.XLOOKUP(наценка7[[#This Row],[№]],Д402[№],Д402[Секция],"-",0)</f>
        <v>3</v>
      </c>
      <c r="C191" s="2">
        <f>_xlfn.XLOOKUP(наценка7[[#This Row],[№]],Д402[№],Д402[Этаж],"-",0)</f>
        <v>3</v>
      </c>
      <c r="D191" s="2">
        <f>_xlfn.XLOOKUP(наценка7[[#This Row],[№]],Д402[№],Д402[№ на этаже],"-",0)</f>
        <v>3</v>
      </c>
      <c r="E191" s="2">
        <f>_xlfn.XLOOKUP(наценка7[[#This Row],[№]],Д402[№],Д402[Тип кв],"-",0)</f>
        <v>2</v>
      </c>
      <c r="F191" s="51">
        <f>_xlfn.XLOOKUP(наценка7[[#This Row],[№]],Д402[№],Д402[Кухня],"-",0)</f>
        <v>14.7</v>
      </c>
      <c r="G191" s="51">
        <f>_xlfn.XLOOKUP(наценка7[[#This Row],[№]],Д402[№],Д402[Ванная],"-",0)</f>
        <v>4.21</v>
      </c>
      <c r="H191" s="51" t="s">
        <v>87</v>
      </c>
      <c r="I191" s="51"/>
      <c r="J191" s="51" t="s">
        <v>101</v>
      </c>
      <c r="K191" s="51"/>
      <c r="L191" s="51"/>
      <c r="M191" s="51" t="s">
        <v>83</v>
      </c>
      <c r="N191" s="51"/>
      <c r="O191" s="51" t="s">
        <v>119</v>
      </c>
      <c r="P191" s="51"/>
      <c r="Q191" s="129"/>
      <c r="R191" s="129"/>
      <c r="S191" s="51"/>
      <c r="T191" s="51">
        <f>_xlfn.XLOOKUP(наценка7[[#This Row],[№]],Д402[№],Д402[Расчетная проектная площадь],"-",0)</f>
        <v>54.44</v>
      </c>
      <c r="U191" s="17">
        <f t="shared" si="3"/>
        <v>89000</v>
      </c>
      <c r="V19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91" s="18">
        <f>наценка7[[#This Row],[Цена м2 базовая]]*наценка7[[#This Row],[Базовой K]]</f>
        <v>113030</v>
      </c>
      <c r="X19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9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91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91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91" s="55" t="str">
        <f>IF(наценка7[[#This Row],[Потолок ]]="ДА",коэффициенты!$C$13,"")</f>
        <v/>
      </c>
      <c r="AG19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9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9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1" s="52">
        <f>SUM(наценка7[[#This Row],[еврокухня]:[Лифт]])*наценка7[[#This Row],[Цена м2 с БK]]+наценка7[[#This Row],[Цена м2 с БK]]</f>
        <v>119811.8</v>
      </c>
      <c r="AQ191" s="51">
        <f>VLOOKUP(наценка7[[#This Row],[№]],Д402[],COLUMN(Д402[[#This Row],[утв цена м2]]),0)</f>
        <v>124178.15</v>
      </c>
      <c r="AR191" s="3">
        <f>наценка7[[#This Row],[утв цена м2]]*наценка7[[#This Row],[Расчетная проектная площадь]]</f>
        <v>6760258.4859999996</v>
      </c>
      <c r="AS191" s="27" t="str">
        <f>VLOOKUP(наценка7[[#This Row],[№]],Д402[],COLUMN('Реестр ОН'!$BA$1),0)</f>
        <v>Стр. Резерв</v>
      </c>
      <c r="AT191" s="281">
        <f>ROUND(наценка7[[#This Row],[Цена м2 с учетом всех K]]*наценка7[[#This Row],[Расчетная проектная площадь]],0)</f>
        <v>6522554</v>
      </c>
      <c r="AU191" s="286">
        <v>6522554</v>
      </c>
      <c r="AV191" s="286" t="b">
        <f>наценка7[[#This Row],[Аллио]]=наценка7[[#This Row],[Первичка тест]]</f>
        <v>1</v>
      </c>
    </row>
    <row r="192" spans="1:48" hidden="1" x14ac:dyDescent="0.25">
      <c r="A192" s="65">
        <v>190</v>
      </c>
      <c r="B192" s="2">
        <f>_xlfn.XLOOKUP(наценка7[[#This Row],[№]],Д402[№],Д402[Секция],"-",0)</f>
        <v>3</v>
      </c>
      <c r="C192" s="2">
        <f>_xlfn.XLOOKUP(наценка7[[#This Row],[№]],Д402[№],Д402[Этаж],"-",0)</f>
        <v>3</v>
      </c>
      <c r="D192" s="2">
        <f>_xlfn.XLOOKUP(наценка7[[#This Row],[№]],Д402[№],Д402[№ на этаже],"-",0)</f>
        <v>4</v>
      </c>
      <c r="E192" s="2">
        <f>_xlfn.XLOOKUP(наценка7[[#This Row],[№]],Д402[№],Д402[Тип кв],"-",0)</f>
        <v>1</v>
      </c>
      <c r="F192" s="51">
        <f>_xlfn.XLOOKUP(наценка7[[#This Row],[№]],Д402[№],Д402[Кухня],"-",0)</f>
        <v>13.99</v>
      </c>
      <c r="G192" s="51">
        <f>_xlfn.XLOOKUP(наценка7[[#This Row],[№]],Д402[№],Д402[Ванная],"-",0)</f>
        <v>3.9</v>
      </c>
      <c r="H192" s="51" t="s">
        <v>87</v>
      </c>
      <c r="I192" s="51"/>
      <c r="J192" s="51" t="s">
        <v>101</v>
      </c>
      <c r="K192" s="51"/>
      <c r="L192" s="51"/>
      <c r="M192" s="51" t="s">
        <v>83</v>
      </c>
      <c r="N192" s="51"/>
      <c r="O192" s="51" t="s">
        <v>119</v>
      </c>
      <c r="P192" s="51"/>
      <c r="Q192" s="129"/>
      <c r="R192" s="129"/>
      <c r="S192" s="51"/>
      <c r="T192" s="51">
        <f>_xlfn.XLOOKUP(наценка7[[#This Row],[№]],Д402[№],Д402[Расчетная проектная площадь],"-",0)</f>
        <v>36.39</v>
      </c>
      <c r="U192" s="17">
        <f t="shared" si="3"/>
        <v>89000</v>
      </c>
      <c r="V19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92" s="18">
        <f>наценка7[[#This Row],[Цена м2 базовая]]*наценка7[[#This Row],[Базовой K]]</f>
        <v>119260</v>
      </c>
      <c r="X19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9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92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9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9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92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92" s="55" t="str">
        <f>IF(наценка7[[#This Row],[Потолок ]]="ДА",коэффициенты!$C$13,"")</f>
        <v/>
      </c>
      <c r="AG19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9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2" s="52">
        <f>SUM(наценка7[[#This Row],[еврокухня]:[Лифт]])*наценка7[[#This Row],[Цена м2 с БK]]+наценка7[[#This Row],[Цена м2 с БK]]</f>
        <v>124030.39999999999</v>
      </c>
      <c r="AQ192" s="51">
        <f>VLOOKUP(наценка7[[#This Row],[№]],Д402[],COLUMN(Д402[[#This Row],[утв цена м2]]),0)</f>
        <v>129697.39</v>
      </c>
      <c r="AR192" s="3">
        <f>наценка7[[#This Row],[утв цена м2]]*наценка7[[#This Row],[Расчетная проектная площадь]]</f>
        <v>4719688.0220999997</v>
      </c>
      <c r="AS192" s="27" t="str">
        <f>VLOOKUP(наценка7[[#This Row],[№]],Д402[],COLUMN('Реестр ОН'!$BA$1),0)</f>
        <v>Стр. Резерв</v>
      </c>
      <c r="AT192" s="281">
        <f>ROUND(наценка7[[#This Row],[Цена м2 с учетом всех K]]*наценка7[[#This Row],[Расчетная проектная площадь]],0)</f>
        <v>4513466</v>
      </c>
      <c r="AU192" s="286">
        <v>4513466</v>
      </c>
      <c r="AV192" s="286" t="b">
        <f>наценка7[[#This Row],[Аллио]]=наценка7[[#This Row],[Первичка тест]]</f>
        <v>1</v>
      </c>
    </row>
    <row r="193" spans="1:48" x14ac:dyDescent="0.25">
      <c r="A193" s="65">
        <v>191</v>
      </c>
      <c r="B193" s="2">
        <f>_xlfn.XLOOKUP(наценка7[[#This Row],[№]],Д402[№],Д402[Секция],"-",0)</f>
        <v>3</v>
      </c>
      <c r="C193" s="2">
        <f>_xlfn.XLOOKUP(наценка7[[#This Row],[№]],Д402[№],Д402[Этаж],"-",0)</f>
        <v>3</v>
      </c>
      <c r="D193" s="2">
        <f>_xlfn.XLOOKUP(наценка7[[#This Row],[№]],Д402[№],Д402[№ на этаже],"-",0)</f>
        <v>5</v>
      </c>
      <c r="E193" s="2">
        <f>_xlfn.XLOOKUP(наценка7[[#This Row],[№]],Д402[№],Д402[Тип кв],"-",0)</f>
        <v>3</v>
      </c>
      <c r="F193" s="51">
        <f>_xlfn.XLOOKUP(наценка7[[#This Row],[№]],Д402[№],Д402[Кухня],"-",0)</f>
        <v>11.42</v>
      </c>
      <c r="G193" s="51">
        <f>_xlfn.XLOOKUP(наценка7[[#This Row],[№]],Д402[№],Д402[Ванная],"-",0)</f>
        <v>3.9</v>
      </c>
      <c r="H193" s="51" t="s">
        <v>89</v>
      </c>
      <c r="I193" s="51"/>
      <c r="J193" s="51" t="s">
        <v>101</v>
      </c>
      <c r="K193" s="51"/>
      <c r="L193" s="51"/>
      <c r="M193" s="51" t="s">
        <v>88</v>
      </c>
      <c r="N193" s="51"/>
      <c r="O193" s="51" t="s">
        <v>101</v>
      </c>
      <c r="P193" s="51"/>
      <c r="Q193" s="129"/>
      <c r="R193" s="51" t="s">
        <v>101</v>
      </c>
      <c r="S193" s="51"/>
      <c r="T193" s="51">
        <f>_xlfn.XLOOKUP(наценка7[[#This Row],[№]],Д402[№],Д402[Расчетная проектная площадь],"-",0)</f>
        <v>78.16</v>
      </c>
      <c r="U193" s="17">
        <f t="shared" si="3"/>
        <v>89000</v>
      </c>
      <c r="V19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193" s="18">
        <f>наценка7[[#This Row],[Цена м2 базовая]]*наценка7[[#This Row],[Базовой K]]</f>
        <v>103240</v>
      </c>
      <c r="X19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9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3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93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19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9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93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0.03</v>
      </c>
      <c r="AF193" s="55" t="str">
        <f>IF(наценка7[[#This Row],[Потолок ]]="ДА",коэффициенты!$C$13,"")</f>
        <v/>
      </c>
      <c r="AG19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9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3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19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9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3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19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3" s="52">
        <f>SUM(наценка7[[#This Row],[еврокухня]:[Лифт]])*наценка7[[#This Row],[Цена м2 с БK]]+наценка7[[#This Row],[Цена м2 с БK]]</f>
        <v>109434.4</v>
      </c>
      <c r="AQ193" s="51">
        <f>VLOOKUP(наценка7[[#This Row],[№]],Д402[],COLUMN(Д402[[#This Row],[утв цена м2]]),0)</f>
        <v>112880.24</v>
      </c>
      <c r="AR193" s="3">
        <f>наценка7[[#This Row],[утв цена м2]]*наценка7[[#This Row],[Расчетная проектная площадь]]</f>
        <v>8822719.5583999995</v>
      </c>
      <c r="AS193" s="27" t="str">
        <f>VLOOKUP(наценка7[[#This Row],[№]],Д402[],COLUMN('Реестр ОН'!$BA$1),0)</f>
        <v>Стр. Резерв</v>
      </c>
      <c r="AT193" s="281">
        <f>ROUND(наценка7[[#This Row],[Цена м2 с учетом всех K]]*наценка7[[#This Row],[Расчетная проектная площадь]],0)</f>
        <v>8553393</v>
      </c>
      <c r="AU193" s="286">
        <v>8553393</v>
      </c>
      <c r="AV193" s="286" t="b">
        <f>наценка7[[#This Row],[Аллио]]=наценка7[[#This Row],[Первичка тест]]</f>
        <v>1</v>
      </c>
    </row>
    <row r="194" spans="1:48" hidden="1" x14ac:dyDescent="0.25">
      <c r="A194" s="65">
        <v>192</v>
      </c>
      <c r="B194" s="2">
        <f>_xlfn.XLOOKUP(наценка7[[#This Row],[№]],Д402[№],Д402[Секция],"-",0)</f>
        <v>3</v>
      </c>
      <c r="C194" s="2">
        <f>_xlfn.XLOOKUP(наценка7[[#This Row],[№]],Д402[№],Д402[Этаж],"-",0)</f>
        <v>3</v>
      </c>
      <c r="D194" s="2">
        <f>_xlfn.XLOOKUP(наценка7[[#This Row],[№]],Д402[№],Д402[№ на этаже],"-",0)</f>
        <v>6</v>
      </c>
      <c r="E194" s="2">
        <f>_xlfn.XLOOKUP(наценка7[[#This Row],[№]],Д402[№],Д402[Тип кв],"-",0)</f>
        <v>0</v>
      </c>
      <c r="F194" s="51">
        <f>_xlfn.XLOOKUP(наценка7[[#This Row],[№]],Д402[№],Д402[Кухня],"-",0)</f>
        <v>5</v>
      </c>
      <c r="G194" s="51">
        <f>_xlfn.XLOOKUP(наценка7[[#This Row],[№]],Д402[№],Д402[Ванная],"-",0)</f>
        <v>4.2699999999999996</v>
      </c>
      <c r="H194" s="51" t="s">
        <v>84</v>
      </c>
      <c r="I194" s="51"/>
      <c r="J194" s="51"/>
      <c r="K194" s="51" t="s">
        <v>101</v>
      </c>
      <c r="L194" s="51" t="s">
        <v>119</v>
      </c>
      <c r="M194" s="51" t="s">
        <v>83</v>
      </c>
      <c r="N194" s="51"/>
      <c r="O194" s="51" t="s">
        <v>119</v>
      </c>
      <c r="P194" s="51"/>
      <c r="Q194" s="51"/>
      <c r="R194" s="51" t="s">
        <v>101</v>
      </c>
      <c r="S194" s="51" t="s">
        <v>101</v>
      </c>
      <c r="T194" s="51">
        <f>_xlfn.XLOOKUP(наценка7[[#This Row],[№]],Д402[№],Д402[Расчетная проектная площадь],"-",0)</f>
        <v>29.73</v>
      </c>
      <c r="U194" s="17">
        <f t="shared" si="3"/>
        <v>89000</v>
      </c>
      <c r="V19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194" s="18">
        <f>наценка7[[#This Row],[Цена м2 базовая]]*наценка7[[#This Row],[Базовой K]]</f>
        <v>139730</v>
      </c>
      <c r="X19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9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9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94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194" s="55" t="str">
        <f>IF(наценка7[[#This Row],[Потолок ]]="ДА",коэффициенты!$C$13,"")</f>
        <v/>
      </c>
      <c r="AG19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19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19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19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4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194" s="52">
        <f>SUM(наценка7[[#This Row],[еврокухня]:[Лифт]])*наценка7[[#This Row],[Цена м2 с БK]]+наценка7[[#This Row],[Цена м2 с БK]]</f>
        <v>138332.70000000001</v>
      </c>
      <c r="AQ194" s="51">
        <f>VLOOKUP(наценка7[[#This Row],[№]],Д402[],COLUMN(Д402[[#This Row],[утв цена м2]]),0)</f>
        <v>139565.20000000001</v>
      </c>
      <c r="AR194" s="3">
        <f>наценка7[[#This Row],[утв цена м2]]*наценка7[[#This Row],[Расчетная проектная площадь]]</f>
        <v>4149273.3960000002</v>
      </c>
      <c r="AS194" s="27" t="str">
        <f>VLOOKUP(наценка7[[#This Row],[№]],Д402[],COLUMN('Реестр ОН'!$BA$1),0)</f>
        <v>Стр. Резерв</v>
      </c>
      <c r="AT194" s="281">
        <f>ROUND(наценка7[[#This Row],[Цена м2 с учетом всех K]]*наценка7[[#This Row],[Расчетная проектная площадь]],0)</f>
        <v>4112631</v>
      </c>
      <c r="AU194" s="286">
        <v>4112631</v>
      </c>
      <c r="AV194" s="286" t="b">
        <f>наценка7[[#This Row],[Аллио]]=наценка7[[#This Row],[Первичка тест]]</f>
        <v>1</v>
      </c>
    </row>
    <row r="195" spans="1:48" hidden="1" x14ac:dyDescent="0.25">
      <c r="A195" s="65">
        <v>193</v>
      </c>
      <c r="B195" s="2">
        <f>_xlfn.XLOOKUP(наценка7[[#This Row],[№]],Д402[№],Д402[Секция],"-",0)</f>
        <v>3</v>
      </c>
      <c r="C195" s="2">
        <f>_xlfn.XLOOKUP(наценка7[[#This Row],[№]],Д402[№],Д402[Этаж],"-",0)</f>
        <v>4</v>
      </c>
      <c r="D195" s="2">
        <f>_xlfn.XLOOKUP(наценка7[[#This Row],[№]],Д402[№],Д402[№ на этаже],"-",0)</f>
        <v>1</v>
      </c>
      <c r="E195" s="2">
        <f>_xlfn.XLOOKUP(наценка7[[#This Row],[№]],Д402[№],Д402[Тип кв],"-",0)</f>
        <v>1</v>
      </c>
      <c r="F195" s="51">
        <f>_xlfn.XLOOKUP(наценка7[[#This Row],[№]],Д402[№],Д402[Кухня],"-",0)</f>
        <v>16.2</v>
      </c>
      <c r="G195" s="51">
        <f>_xlfn.XLOOKUP(наценка7[[#This Row],[№]],Д402[№],Д402[Ванная],"-",0)</f>
        <v>4.09</v>
      </c>
      <c r="H195" s="51" t="s">
        <v>84</v>
      </c>
      <c r="I195" s="51"/>
      <c r="J195" s="51" t="s">
        <v>101</v>
      </c>
      <c r="K195" s="51" t="s">
        <v>101</v>
      </c>
      <c r="L195" s="51"/>
      <c r="M195" s="51" t="s">
        <v>83</v>
      </c>
      <c r="N195" s="51" t="s">
        <v>101</v>
      </c>
      <c r="O195" s="51" t="s">
        <v>119</v>
      </c>
      <c r="P195" s="51"/>
      <c r="Q195" s="129"/>
      <c r="R195" s="129"/>
      <c r="S195" s="51"/>
      <c r="T195" s="51">
        <f>_xlfn.XLOOKUP(наценка7[[#This Row],[№]],Д402[№],Д402[Расчетная проектная площадь],"-",0)</f>
        <v>44.25</v>
      </c>
      <c r="U195" s="17">
        <f t="shared" si="3"/>
        <v>89000</v>
      </c>
      <c r="V19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95" s="18">
        <f>наценка7[[#This Row],[Цена м2 базовая]]*наценка7[[#This Row],[Базовой K]]</f>
        <v>119260</v>
      </c>
      <c r="X19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9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9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95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95" s="55" t="str">
        <f>IF(наценка7[[#This Row],[Потолок ]]="ДА",коэффициенты!$C$13,"")</f>
        <v/>
      </c>
      <c r="AG19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9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19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5" s="52">
        <f>SUM(наценка7[[#This Row],[еврокухня]:[Лифт]])*наценка7[[#This Row],[Цена м2 с БK]]+наценка7[[#This Row],[Цена м2 с БK]]</f>
        <v>121645.2</v>
      </c>
      <c r="AQ195" s="51">
        <f>VLOOKUP(наценка7[[#This Row],[№]],Д402[],COLUMN(Д402[[#This Row],[утв цена м2]]),0)</f>
        <v>127196.53</v>
      </c>
      <c r="AR195" s="3">
        <f>наценка7[[#This Row],[утв цена м2]]*наценка7[[#This Row],[Расчетная проектная площадь]]</f>
        <v>5628446.4524999997</v>
      </c>
      <c r="AS195" s="27" t="str">
        <f>VLOOKUP(наценка7[[#This Row],[№]],Д402[],COLUMN('Реестр ОН'!$BA$1),0)</f>
        <v>Продажа</v>
      </c>
      <c r="AT195" s="281">
        <f>ROUND(наценка7[[#This Row],[Цена м2 с учетом всех K]]*наценка7[[#This Row],[Расчетная проектная площадь]],0)</f>
        <v>5382800</v>
      </c>
      <c r="AU195" s="286">
        <v>5382800</v>
      </c>
      <c r="AV195" s="286" t="b">
        <f>наценка7[[#This Row],[Аллио]]=наценка7[[#This Row],[Первичка тест]]</f>
        <v>1</v>
      </c>
    </row>
    <row r="196" spans="1:48" hidden="1" x14ac:dyDescent="0.25">
      <c r="A196" s="65">
        <v>194</v>
      </c>
      <c r="B196" s="2">
        <f>_xlfn.XLOOKUP(наценка7[[#This Row],[№]],Д402[№],Д402[Секция],"-",0)</f>
        <v>3</v>
      </c>
      <c r="C196" s="2">
        <f>_xlfn.XLOOKUP(наценка7[[#This Row],[№]],Д402[№],Д402[Этаж],"-",0)</f>
        <v>4</v>
      </c>
      <c r="D196" s="2">
        <f>_xlfn.XLOOKUP(наценка7[[#This Row],[№]],Д402[№],Д402[№ на этаже],"-",0)</f>
        <v>2</v>
      </c>
      <c r="E196" s="2">
        <f>_xlfn.XLOOKUP(наценка7[[#This Row],[№]],Д402[№],Д402[Тип кв],"-",0)</f>
        <v>1</v>
      </c>
      <c r="F196" s="51">
        <f>_xlfn.XLOOKUP(наценка7[[#This Row],[№]],Д402[№],Д402[Кухня],"-",0)</f>
        <v>15.1</v>
      </c>
      <c r="G196" s="51">
        <f>_xlfn.XLOOKUP(наценка7[[#This Row],[№]],Д402[№],Д402[Ванная],"-",0)</f>
        <v>4.22</v>
      </c>
      <c r="H196" s="51" t="s">
        <v>87</v>
      </c>
      <c r="I196" s="51"/>
      <c r="J196" s="51" t="s">
        <v>101</v>
      </c>
      <c r="K196" s="51" t="s">
        <v>101</v>
      </c>
      <c r="L196" s="51"/>
      <c r="M196" s="51" t="s">
        <v>83</v>
      </c>
      <c r="N196" s="51"/>
      <c r="O196" s="51" t="s">
        <v>119</v>
      </c>
      <c r="P196" s="51"/>
      <c r="Q196" s="129"/>
      <c r="R196" s="129"/>
      <c r="S196" s="51"/>
      <c r="T196" s="51">
        <f>_xlfn.XLOOKUP(наценка7[[#This Row],[№]],Д402[№],Д402[Расчетная проектная площадь],"-",0)</f>
        <v>36.64</v>
      </c>
      <c r="U196" s="17">
        <f t="shared" si="3"/>
        <v>89000</v>
      </c>
      <c r="V19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96" s="18">
        <f>наценка7[[#This Row],[Цена м2 базовая]]*наценка7[[#This Row],[Базовой K]]</f>
        <v>119260</v>
      </c>
      <c r="X19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9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19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96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96" s="55" t="str">
        <f>IF(наценка7[[#This Row],[Потолок ]]="ДА",коэффициенты!$C$13,"")</f>
        <v/>
      </c>
      <c r="AG19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9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6" s="52">
        <f>SUM(наценка7[[#This Row],[еврокухня]:[Лифт]])*наценка7[[#This Row],[Цена м2 с БK]]+наценка7[[#This Row],[Цена м2 с БK]]</f>
        <v>125223</v>
      </c>
      <c r="AQ196" s="51">
        <f>VLOOKUP(наценка7[[#This Row],[№]],Д402[],COLUMN(Д402[[#This Row],[утв цена м2]]),0)</f>
        <v>128727.46</v>
      </c>
      <c r="AR196" s="3">
        <f>наценка7[[#This Row],[утв цена м2]]*наценка7[[#This Row],[Расчетная проектная площадь]]</f>
        <v>4716574.1343999999</v>
      </c>
      <c r="AS196" s="27" t="str">
        <f>VLOOKUP(наценка7[[#This Row],[№]],Д402[],COLUMN('Реестр ОН'!$BA$1),0)</f>
        <v>Продажа</v>
      </c>
      <c r="AT196" s="281">
        <f>ROUND(наценка7[[#This Row],[Цена м2 с учетом всех K]]*наценка7[[#This Row],[Расчетная проектная площадь]],0)</f>
        <v>4588171</v>
      </c>
      <c r="AU196" s="286">
        <v>4588171</v>
      </c>
      <c r="AV196" s="286" t="b">
        <f>наценка7[[#This Row],[Аллио]]=наценка7[[#This Row],[Первичка тест]]</f>
        <v>1</v>
      </c>
    </row>
    <row r="197" spans="1:48" hidden="1" x14ac:dyDescent="0.25">
      <c r="A197" s="65">
        <v>195</v>
      </c>
      <c r="B197" s="2">
        <f>_xlfn.XLOOKUP(наценка7[[#This Row],[№]],Д402[№],Д402[Секция],"-",0)</f>
        <v>3</v>
      </c>
      <c r="C197" s="2">
        <f>_xlfn.XLOOKUP(наценка7[[#This Row],[№]],Д402[№],Д402[Этаж],"-",0)</f>
        <v>4</v>
      </c>
      <c r="D197" s="2">
        <f>_xlfn.XLOOKUP(наценка7[[#This Row],[№]],Д402[№],Д402[№ на этаже],"-",0)</f>
        <v>3</v>
      </c>
      <c r="E197" s="2">
        <f>_xlfn.XLOOKUP(наценка7[[#This Row],[№]],Д402[№],Д402[Тип кв],"-",0)</f>
        <v>2</v>
      </c>
      <c r="F197" s="51">
        <f>_xlfn.XLOOKUP(наценка7[[#This Row],[№]],Д402[№],Д402[Кухня],"-",0)</f>
        <v>14.7</v>
      </c>
      <c r="G197" s="51">
        <f>_xlfn.XLOOKUP(наценка7[[#This Row],[№]],Д402[№],Д402[Ванная],"-",0)</f>
        <v>4.21</v>
      </c>
      <c r="H197" s="51" t="s">
        <v>87</v>
      </c>
      <c r="I197" s="51"/>
      <c r="J197" s="51" t="s">
        <v>101</v>
      </c>
      <c r="K197" s="51"/>
      <c r="L197" s="51"/>
      <c r="M197" s="51" t="s">
        <v>83</v>
      </c>
      <c r="N197" s="51"/>
      <c r="O197" s="51" t="s">
        <v>119</v>
      </c>
      <c r="P197" s="51"/>
      <c r="Q197" s="129"/>
      <c r="R197" s="129"/>
      <c r="S197" s="51"/>
      <c r="T197" s="51">
        <f>_xlfn.XLOOKUP(наценка7[[#This Row],[№]],Д402[№],Д402[Расчетная проектная площадь],"-",0)</f>
        <v>54.44</v>
      </c>
      <c r="U197" s="17">
        <f t="shared" si="3"/>
        <v>89000</v>
      </c>
      <c r="V19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197" s="18">
        <f>наценка7[[#This Row],[Цена м2 базовая]]*наценка7[[#This Row],[Базовой K]]</f>
        <v>113030</v>
      </c>
      <c r="X19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19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19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9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97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0.02</v>
      </c>
      <c r="AF197" s="55" t="str">
        <f>IF(наценка7[[#This Row],[Потолок ]]="ДА",коэффициенты!$C$13,"")</f>
        <v/>
      </c>
      <c r="AG19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9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19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7" s="52">
        <f>SUM(наценка7[[#This Row],[еврокухня]:[Лифт]])*наценка7[[#This Row],[Цена м2 с БK]]+наценка7[[#This Row],[Цена м2 с БK]]</f>
        <v>119811.8</v>
      </c>
      <c r="AQ197" s="51">
        <f>VLOOKUP(наценка7[[#This Row],[№]],Д402[],COLUMN(Д402[[#This Row],[утв цена м2]]),0)</f>
        <v>124178.15</v>
      </c>
      <c r="AR197" s="3">
        <f>наценка7[[#This Row],[утв цена м2]]*наценка7[[#This Row],[Расчетная проектная площадь]]</f>
        <v>6760258.4859999996</v>
      </c>
      <c r="AS197" s="27" t="str">
        <f>VLOOKUP(наценка7[[#This Row],[№]],Д402[],COLUMN('Реестр ОН'!$BA$1),0)</f>
        <v>Стр. Резерв</v>
      </c>
      <c r="AT197" s="281">
        <f>ROUND(наценка7[[#This Row],[Цена м2 с учетом всех K]]*наценка7[[#This Row],[Расчетная проектная площадь]],0)</f>
        <v>6522554</v>
      </c>
      <c r="AU197" s="286">
        <v>6522554</v>
      </c>
      <c r="AV197" s="286" t="b">
        <f>наценка7[[#This Row],[Аллио]]=наценка7[[#This Row],[Первичка тест]]</f>
        <v>1</v>
      </c>
    </row>
    <row r="198" spans="1:48" hidden="1" x14ac:dyDescent="0.25">
      <c r="A198" s="65">
        <v>196</v>
      </c>
      <c r="B198" s="2">
        <f>_xlfn.XLOOKUP(наценка7[[#This Row],[№]],Д402[№],Д402[Секция],"-",0)</f>
        <v>3</v>
      </c>
      <c r="C198" s="2">
        <f>_xlfn.XLOOKUP(наценка7[[#This Row],[№]],Д402[№],Д402[Этаж],"-",0)</f>
        <v>4</v>
      </c>
      <c r="D198" s="2">
        <f>_xlfn.XLOOKUP(наценка7[[#This Row],[№]],Д402[№],Д402[№ на этаже],"-",0)</f>
        <v>4</v>
      </c>
      <c r="E198" s="2">
        <f>_xlfn.XLOOKUP(наценка7[[#This Row],[№]],Д402[№],Д402[Тип кв],"-",0)</f>
        <v>1</v>
      </c>
      <c r="F198" s="51">
        <f>_xlfn.XLOOKUP(наценка7[[#This Row],[№]],Д402[№],Д402[Кухня],"-",0)</f>
        <v>13.99</v>
      </c>
      <c r="G198" s="51">
        <f>_xlfn.XLOOKUP(наценка7[[#This Row],[№]],Д402[№],Д402[Ванная],"-",0)</f>
        <v>3.9</v>
      </c>
      <c r="H198" s="51" t="s">
        <v>87</v>
      </c>
      <c r="I198" s="51"/>
      <c r="J198" s="51" t="s">
        <v>101</v>
      </c>
      <c r="K198" s="51"/>
      <c r="L198" s="51"/>
      <c r="M198" s="51" t="s">
        <v>83</v>
      </c>
      <c r="N198" s="51"/>
      <c r="O198" s="51" t="s">
        <v>119</v>
      </c>
      <c r="P198" s="51"/>
      <c r="Q198" s="129"/>
      <c r="R198" s="129"/>
      <c r="S198" s="51"/>
      <c r="T198" s="51">
        <f>_xlfn.XLOOKUP(наценка7[[#This Row],[№]],Д402[№],Д402[Расчетная проектная площадь],"-",0)</f>
        <v>36.39</v>
      </c>
      <c r="U198" s="17">
        <f t="shared" si="3"/>
        <v>89000</v>
      </c>
      <c r="V19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198" s="18">
        <f>наценка7[[#This Row],[Цена м2 базовая]]*наценка7[[#This Row],[Базовой K]]</f>
        <v>119260</v>
      </c>
      <c r="X19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98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198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9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19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9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198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0.01</v>
      </c>
      <c r="AF198" s="55" t="str">
        <f>IF(наценка7[[#This Row],[Потолок ]]="ДА",коэффициенты!$C$13,"")</f>
        <v/>
      </c>
      <c r="AG19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19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19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19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19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8" s="52">
        <f>SUM(наценка7[[#This Row],[еврокухня]:[Лифт]])*наценка7[[#This Row],[Цена м2 с БK]]+наценка7[[#This Row],[Цена м2 с БK]]</f>
        <v>124030.39999999999</v>
      </c>
      <c r="AQ198" s="51">
        <f>VLOOKUP(наценка7[[#This Row],[№]],Д402[],COLUMN(Д402[[#This Row],[утв цена м2]]),0)</f>
        <v>129697.39</v>
      </c>
      <c r="AR198" s="3">
        <f>наценка7[[#This Row],[утв цена м2]]*наценка7[[#This Row],[Расчетная проектная площадь]]</f>
        <v>4719688.0220999997</v>
      </c>
      <c r="AS198" s="27" t="str">
        <f>VLOOKUP(наценка7[[#This Row],[№]],Д402[],COLUMN('Реестр ОН'!$BA$1),0)</f>
        <v>Стр. Резерв</v>
      </c>
      <c r="AT198" s="281">
        <f>ROUND(наценка7[[#This Row],[Цена м2 с учетом всех K]]*наценка7[[#This Row],[Расчетная проектная площадь]],0)</f>
        <v>4513466</v>
      </c>
      <c r="AU198" s="286">
        <v>4513466</v>
      </c>
      <c r="AV198" s="286" t="b">
        <f>наценка7[[#This Row],[Аллио]]=наценка7[[#This Row],[Первичка тест]]</f>
        <v>1</v>
      </c>
    </row>
    <row r="199" spans="1:48" x14ac:dyDescent="0.25">
      <c r="A199" s="65">
        <v>197</v>
      </c>
      <c r="B199" s="2">
        <f>_xlfn.XLOOKUP(наценка7[[#This Row],[№]],Д402[№],Д402[Секция],"-",0)</f>
        <v>3</v>
      </c>
      <c r="C199" s="2">
        <f>_xlfn.XLOOKUP(наценка7[[#This Row],[№]],Д402[№],Д402[Этаж],"-",0)</f>
        <v>4</v>
      </c>
      <c r="D199" s="2">
        <f>_xlfn.XLOOKUP(наценка7[[#This Row],[№]],Д402[№],Д402[№ на этаже],"-",0)</f>
        <v>5</v>
      </c>
      <c r="E199" s="2">
        <f>_xlfn.XLOOKUP(наценка7[[#This Row],[№]],Д402[№],Д402[Тип кв],"-",0)</f>
        <v>3</v>
      </c>
      <c r="F199" s="51">
        <f>_xlfn.XLOOKUP(наценка7[[#This Row],[№]],Д402[№],Д402[Кухня],"-",0)</f>
        <v>11.42</v>
      </c>
      <c r="G199" s="51">
        <f>_xlfn.XLOOKUP(наценка7[[#This Row],[№]],Д402[№],Д402[Ванная],"-",0)</f>
        <v>3.9</v>
      </c>
      <c r="H199" s="51" t="s">
        <v>89</v>
      </c>
      <c r="I199" s="51"/>
      <c r="J199" s="51" t="s">
        <v>101</v>
      </c>
      <c r="K199" s="51"/>
      <c r="L199" s="51"/>
      <c r="M199" s="51" t="s">
        <v>88</v>
      </c>
      <c r="N199" s="51"/>
      <c r="O199" s="51" t="s">
        <v>101</v>
      </c>
      <c r="P199" s="51"/>
      <c r="Q199" s="129"/>
      <c r="R199" s="51" t="s">
        <v>101</v>
      </c>
      <c r="S199" s="51"/>
      <c r="T199" s="51">
        <f>_xlfn.XLOOKUP(наценка7[[#This Row],[№]],Д402[№],Д402[Расчетная проектная площадь],"-",0)</f>
        <v>78.16</v>
      </c>
      <c r="U199" s="17">
        <f t="shared" si="3"/>
        <v>89000</v>
      </c>
      <c r="V19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199" s="18">
        <f>наценка7[[#This Row],[Цена м2 базовая]]*наценка7[[#This Row],[Базовой K]]</f>
        <v>103240</v>
      </c>
      <c r="X19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19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199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199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19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19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19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199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0.03</v>
      </c>
      <c r="AF199" s="55" t="str">
        <f>IF(наценка7[[#This Row],[Потолок ]]="ДА",коэффициенты!$C$13,"")</f>
        <v/>
      </c>
      <c r="AG19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19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199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19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19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19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199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19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19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199" s="52">
        <f>SUM(наценка7[[#This Row],[еврокухня]:[Лифт]])*наценка7[[#This Row],[Цена м2 с БK]]+наценка7[[#This Row],[Цена м2 с БK]]</f>
        <v>109434.4</v>
      </c>
      <c r="AQ199" s="51">
        <f>VLOOKUP(наценка7[[#This Row],[№]],Д402[],COLUMN(Д402[[#This Row],[утв цена м2]]),0)</f>
        <v>112880.24</v>
      </c>
      <c r="AR199" s="3">
        <f>наценка7[[#This Row],[утв цена м2]]*наценка7[[#This Row],[Расчетная проектная площадь]]</f>
        <v>8822719.5583999995</v>
      </c>
      <c r="AS199" s="27" t="str">
        <f>VLOOKUP(наценка7[[#This Row],[№]],Д402[],COLUMN('Реестр ОН'!$BA$1),0)</f>
        <v>Стр. Резерв</v>
      </c>
      <c r="AT199" s="281">
        <f>ROUND(наценка7[[#This Row],[Цена м2 с учетом всех K]]*наценка7[[#This Row],[Расчетная проектная площадь]],0)</f>
        <v>8553393</v>
      </c>
      <c r="AU199" s="286">
        <v>8553393</v>
      </c>
      <c r="AV199" s="286" t="b">
        <f>наценка7[[#This Row],[Аллио]]=наценка7[[#This Row],[Первичка тест]]</f>
        <v>1</v>
      </c>
    </row>
    <row r="200" spans="1:48" hidden="1" x14ac:dyDescent="0.25">
      <c r="A200" s="65">
        <v>198</v>
      </c>
      <c r="B200" s="2">
        <f>_xlfn.XLOOKUP(наценка7[[#This Row],[№]],Д402[№],Д402[Секция],"-",0)</f>
        <v>3</v>
      </c>
      <c r="C200" s="2">
        <f>_xlfn.XLOOKUP(наценка7[[#This Row],[№]],Д402[№],Д402[Этаж],"-",0)</f>
        <v>4</v>
      </c>
      <c r="D200" s="2">
        <f>_xlfn.XLOOKUP(наценка7[[#This Row],[№]],Д402[№],Д402[№ на этаже],"-",0)</f>
        <v>6</v>
      </c>
      <c r="E200" s="2">
        <f>_xlfn.XLOOKUP(наценка7[[#This Row],[№]],Д402[№],Д402[Тип кв],"-",0)</f>
        <v>0</v>
      </c>
      <c r="F200" s="51">
        <f>_xlfn.XLOOKUP(наценка7[[#This Row],[№]],Д402[№],Д402[Кухня],"-",0)</f>
        <v>5</v>
      </c>
      <c r="G200" s="51">
        <f>_xlfn.XLOOKUP(наценка7[[#This Row],[№]],Д402[№],Д402[Ванная],"-",0)</f>
        <v>4.2699999999999996</v>
      </c>
      <c r="H200" s="51" t="s">
        <v>84</v>
      </c>
      <c r="I200" s="51"/>
      <c r="J200" s="51"/>
      <c r="K200" s="51" t="s">
        <v>101</v>
      </c>
      <c r="L200" s="51" t="s">
        <v>119</v>
      </c>
      <c r="M200" s="51" t="s">
        <v>83</v>
      </c>
      <c r="N200" s="51"/>
      <c r="O200" s="51" t="s">
        <v>119</v>
      </c>
      <c r="P200" s="51"/>
      <c r="Q200" s="129"/>
      <c r="R200" s="129"/>
      <c r="S200" s="51" t="s">
        <v>101</v>
      </c>
      <c r="T200" s="51">
        <f>_xlfn.XLOOKUP(наценка7[[#This Row],[№]],Д402[№],Д402[Расчетная проектная площадь],"-",0)</f>
        <v>29.73</v>
      </c>
      <c r="U200" s="17">
        <f t="shared" si="3"/>
        <v>89000</v>
      </c>
      <c r="V20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00" s="18">
        <f>наценка7[[#This Row],[Цена м2 базовая]]*наценка7[[#This Row],[Базовой K]]</f>
        <v>139730</v>
      </c>
      <c r="X20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0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0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0" s="57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>0</v>
      </c>
      <c r="AF200" s="55" t="str">
        <f>IF(наценка7[[#This Row],[Потолок ]]="ДА",коэффициенты!$C$13,"")</f>
        <v/>
      </c>
      <c r="AG20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0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0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0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00" s="52">
        <f>SUM(наценка7[[#This Row],[еврокухня]:[Лифт]])*наценка7[[#This Row],[Цена м2 с БK]]+наценка7[[#This Row],[Цена м2 с БK]]</f>
        <v>139730</v>
      </c>
      <c r="AQ200" s="51">
        <f>VLOOKUP(наценка7[[#This Row],[№]],Д402[],COLUMN(Д402[[#This Row],[утв цена м2]]),0)</f>
        <v>140962.5</v>
      </c>
      <c r="AR200" s="3">
        <f>наценка7[[#This Row],[утв цена м2]]*наценка7[[#This Row],[Расчетная проектная площадь]]</f>
        <v>4190815.125</v>
      </c>
      <c r="AS200" s="27" t="str">
        <f>VLOOKUP(наценка7[[#This Row],[№]],Д402[],COLUMN('Реестр ОН'!$BA$1),0)</f>
        <v>Стр. Резерв</v>
      </c>
      <c r="AT200" s="281">
        <f>ROUND(наценка7[[#This Row],[Цена м2 с учетом всех K]]*наценка7[[#This Row],[Расчетная проектная площадь]],0)</f>
        <v>4154173</v>
      </c>
      <c r="AU200" s="286">
        <v>4154173</v>
      </c>
      <c r="AV200" s="286" t="b">
        <f>наценка7[[#This Row],[Аллио]]=наценка7[[#This Row],[Первичка тест]]</f>
        <v>1</v>
      </c>
    </row>
    <row r="201" spans="1:48" hidden="1" x14ac:dyDescent="0.25">
      <c r="A201" s="65">
        <v>199</v>
      </c>
      <c r="B201" s="2">
        <f>_xlfn.XLOOKUP(наценка7[[#This Row],[№]],Д402[№],Д402[Секция],"-",0)</f>
        <v>3</v>
      </c>
      <c r="C201" s="2">
        <f>_xlfn.XLOOKUP(наценка7[[#This Row],[№]],Д402[№],Д402[Этаж],"-",0)</f>
        <v>5</v>
      </c>
      <c r="D201" s="2">
        <f>_xlfn.XLOOKUP(наценка7[[#This Row],[№]],Д402[№],Д402[№ на этаже],"-",0)</f>
        <v>1</v>
      </c>
      <c r="E201" s="2">
        <f>_xlfn.XLOOKUP(наценка7[[#This Row],[№]],Д402[№],Д402[Тип кв],"-",0)</f>
        <v>1</v>
      </c>
      <c r="F201" s="51">
        <f>_xlfn.XLOOKUP(наценка7[[#This Row],[№]],Д402[№],Д402[Кухня],"-",0)</f>
        <v>16.2</v>
      </c>
      <c r="G201" s="51">
        <f>_xlfn.XLOOKUP(наценка7[[#This Row],[№]],Д402[№],Д402[Ванная],"-",0)</f>
        <v>4.09</v>
      </c>
      <c r="H201" s="51" t="s">
        <v>84</v>
      </c>
      <c r="I201" s="51"/>
      <c r="J201" s="51" t="s">
        <v>101</v>
      </c>
      <c r="K201" s="51" t="s">
        <v>101</v>
      </c>
      <c r="L201" s="51"/>
      <c r="M201" s="51" t="s">
        <v>83</v>
      </c>
      <c r="N201" s="51" t="s">
        <v>101</v>
      </c>
      <c r="O201" s="51" t="s">
        <v>119</v>
      </c>
      <c r="P201" s="51" t="s">
        <v>101</v>
      </c>
      <c r="Q201" s="129"/>
      <c r="R201" s="129"/>
      <c r="S201" s="51"/>
      <c r="T201" s="51">
        <f>_xlfn.XLOOKUP(наценка7[[#This Row],[№]],Д402[№],Д402[Расчетная проектная площадь],"-",0)</f>
        <v>44.25</v>
      </c>
      <c r="U201" s="17">
        <f t="shared" ref="U201:U264" si="4">$U$1</f>
        <v>89000</v>
      </c>
      <c r="V20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01" s="18">
        <f>наценка7[[#This Row],[Цена м2 базовая]]*наценка7[[#This Row],[Базовой K]]</f>
        <v>119260</v>
      </c>
      <c r="X20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1" s="55" t="str">
        <f>IF(наценка7[[#This Row],[Потолок ]]="ДА",коэффициенты!$C$13,"")</f>
        <v/>
      </c>
      <c r="AG20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0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1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0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1" s="52">
        <f>SUM(наценка7[[#This Row],[еврокухня]:[Лифт]])*наценка7[[#This Row],[Цена м2 с БK]]+наценка7[[#This Row],[Цена м2 с БK]]</f>
        <v>122837.8</v>
      </c>
      <c r="AQ201" s="51">
        <f>VLOOKUP(наценка7[[#This Row],[№]],Д402[],COLUMN(Д402[[#This Row],[утв цена м2]]),0)</f>
        <v>126509.56</v>
      </c>
      <c r="AR201" s="3">
        <f>наценка7[[#This Row],[утв цена м2]]*наценка7[[#This Row],[Расчетная проектная площадь]]</f>
        <v>5598048.0300000003</v>
      </c>
      <c r="AS201" s="27" t="str">
        <f>VLOOKUP(наценка7[[#This Row],[№]],Д402[],COLUMN('Реестр ОН'!$BA$1),0)</f>
        <v>Продажа</v>
      </c>
      <c r="AT201" s="281">
        <f>ROUND(наценка7[[#This Row],[Цена м2 с учетом всех K]]*наценка7[[#This Row],[Расчетная проектная площадь]],0)</f>
        <v>5435573</v>
      </c>
      <c r="AU201" s="286">
        <v>5435573</v>
      </c>
      <c r="AV201" s="286" t="b">
        <f>наценка7[[#This Row],[Аллио]]=наценка7[[#This Row],[Первичка тест]]</f>
        <v>1</v>
      </c>
    </row>
    <row r="202" spans="1:48" hidden="1" x14ac:dyDescent="0.25">
      <c r="A202" s="65">
        <v>200</v>
      </c>
      <c r="B202" s="2">
        <f>_xlfn.XLOOKUP(наценка7[[#This Row],[№]],Д402[№],Д402[Секция],"-",0)</f>
        <v>3</v>
      </c>
      <c r="C202" s="2">
        <f>_xlfn.XLOOKUP(наценка7[[#This Row],[№]],Д402[№],Д402[Этаж],"-",0)</f>
        <v>5</v>
      </c>
      <c r="D202" s="2">
        <f>_xlfn.XLOOKUP(наценка7[[#This Row],[№]],Д402[№],Д402[№ на этаже],"-",0)</f>
        <v>2</v>
      </c>
      <c r="E202" s="2">
        <f>_xlfn.XLOOKUP(наценка7[[#This Row],[№]],Д402[№],Д402[Тип кв],"-",0)</f>
        <v>1</v>
      </c>
      <c r="F202" s="51">
        <f>_xlfn.XLOOKUP(наценка7[[#This Row],[№]],Д402[№],Д402[Кухня],"-",0)</f>
        <v>15.1</v>
      </c>
      <c r="G202" s="51">
        <f>_xlfn.XLOOKUP(наценка7[[#This Row],[№]],Д402[№],Д402[Ванная],"-",0)</f>
        <v>4.22</v>
      </c>
      <c r="H202" s="51" t="s">
        <v>87</v>
      </c>
      <c r="I202" s="51"/>
      <c r="J202" s="51" t="s">
        <v>101</v>
      </c>
      <c r="K202" s="51" t="s">
        <v>101</v>
      </c>
      <c r="L202" s="51"/>
      <c r="M202" s="51" t="s">
        <v>83</v>
      </c>
      <c r="N202" s="51"/>
      <c r="O202" s="51" t="s">
        <v>119</v>
      </c>
      <c r="P202" s="51" t="s">
        <v>101</v>
      </c>
      <c r="Q202" s="129"/>
      <c r="R202" s="129"/>
      <c r="S202" s="51"/>
      <c r="T202" s="51">
        <f>_xlfn.XLOOKUP(наценка7[[#This Row],[№]],Д402[№],Д402[Расчетная проектная площадь],"-",0)</f>
        <v>36.64</v>
      </c>
      <c r="U202" s="17">
        <f t="shared" si="4"/>
        <v>89000</v>
      </c>
      <c r="V20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02" s="18">
        <f>наценка7[[#This Row],[Цена м2 базовая]]*наценка7[[#This Row],[Базовой K]]</f>
        <v>119260</v>
      </c>
      <c r="X20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0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2" s="55" t="str">
        <f>IF(наценка7[[#This Row],[Потолок ]]="ДА",коэффициенты!$C$13,"")</f>
        <v/>
      </c>
      <c r="AG20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0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2" s="52">
        <f>SUM(наценка7[[#This Row],[еврокухня]:[Лифт]])*наценка7[[#This Row],[Цена м2 с БK]]+наценка7[[#This Row],[Цена м2 с БK]]</f>
        <v>126415.6</v>
      </c>
      <c r="AQ202" s="51">
        <f>VLOOKUP(наценка7[[#This Row],[№]],Д402[],COLUMN(Д402[[#This Row],[утв цена м2]]),0)</f>
        <v>134784.85</v>
      </c>
      <c r="AR202" s="3">
        <f>наценка7[[#This Row],[утв цена м2]]*наценка7[[#This Row],[Расчетная проектная площадь]]</f>
        <v>4938516.9040000001</v>
      </c>
      <c r="AS202" s="27" t="str">
        <f>VLOOKUP(наценка7[[#This Row],[№]],Д402[],COLUMN('Реестр ОН'!$BA$1),0)</f>
        <v>Стр. Резерв</v>
      </c>
      <c r="AT202" s="281">
        <f>ROUND(наценка7[[#This Row],[Цена м2 с учетом всех K]]*наценка7[[#This Row],[Расчетная проектная площадь]],0)</f>
        <v>4631868</v>
      </c>
      <c r="AU202" s="286">
        <v>4631868</v>
      </c>
      <c r="AV202" s="286" t="b">
        <f>наценка7[[#This Row],[Аллио]]=наценка7[[#This Row],[Первичка тест]]</f>
        <v>1</v>
      </c>
    </row>
    <row r="203" spans="1:48" hidden="1" x14ac:dyDescent="0.25">
      <c r="A203" s="65">
        <v>201</v>
      </c>
      <c r="B203" s="2">
        <f>_xlfn.XLOOKUP(наценка7[[#This Row],[№]],Д402[№],Д402[Секция],"-",0)</f>
        <v>3</v>
      </c>
      <c r="C203" s="2">
        <f>_xlfn.XLOOKUP(наценка7[[#This Row],[№]],Д402[№],Д402[Этаж],"-",0)</f>
        <v>5</v>
      </c>
      <c r="D203" s="2">
        <f>_xlfn.XLOOKUP(наценка7[[#This Row],[№]],Д402[№],Д402[№ на этаже],"-",0)</f>
        <v>3</v>
      </c>
      <c r="E203" s="2">
        <f>_xlfn.XLOOKUP(наценка7[[#This Row],[№]],Д402[№],Д402[Тип кв],"-",0)</f>
        <v>2</v>
      </c>
      <c r="F203" s="51">
        <f>_xlfn.XLOOKUP(наценка7[[#This Row],[№]],Д402[№],Д402[Кухня],"-",0)</f>
        <v>14.7</v>
      </c>
      <c r="G203" s="51">
        <f>_xlfn.XLOOKUP(наценка7[[#This Row],[№]],Д402[№],Д402[Ванная],"-",0)</f>
        <v>4.21</v>
      </c>
      <c r="H203" s="51" t="s">
        <v>87</v>
      </c>
      <c r="I203" s="51"/>
      <c r="J203" s="51" t="s">
        <v>101</v>
      </c>
      <c r="K203" s="51"/>
      <c r="L203" s="51"/>
      <c r="M203" s="51" t="s">
        <v>83</v>
      </c>
      <c r="N203" s="51"/>
      <c r="O203" s="51" t="s">
        <v>119</v>
      </c>
      <c r="P203" s="51" t="s">
        <v>101</v>
      </c>
      <c r="Q203" s="129"/>
      <c r="R203" s="129"/>
      <c r="S203" s="51"/>
      <c r="T203" s="51">
        <f>_xlfn.XLOOKUP(наценка7[[#This Row],[№]],Д402[№],Д402[Расчетная проектная площадь],"-",0)</f>
        <v>54.44</v>
      </c>
      <c r="U203" s="17">
        <f t="shared" si="4"/>
        <v>89000</v>
      </c>
      <c r="V20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03" s="18">
        <f>наценка7[[#This Row],[Цена м2 базовая]]*наценка7[[#This Row],[Базовой K]]</f>
        <v>113030</v>
      </c>
      <c r="X20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0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3" s="55" t="str">
        <f>IF(наценка7[[#This Row],[Потолок ]]="ДА",коэффициенты!$C$13,"")</f>
        <v/>
      </c>
      <c r="AG20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0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0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3" s="52">
        <f>SUM(наценка7[[#This Row],[еврокухня]:[Лифт]])*наценка7[[#This Row],[Цена м2 с БK]]+наценка7[[#This Row],[Цена м2 с БK]]</f>
        <v>119811.8</v>
      </c>
      <c r="AQ203" s="51">
        <f>VLOOKUP(наценка7[[#This Row],[№]],Д402[],COLUMN(Д402[[#This Row],[утв цена м2]]),0)</f>
        <v>124178.15</v>
      </c>
      <c r="AR203" s="3">
        <f>наценка7[[#This Row],[утв цена м2]]*наценка7[[#This Row],[Расчетная проектная площадь]]</f>
        <v>6760258.4859999996</v>
      </c>
      <c r="AS203" s="27" t="str">
        <f>VLOOKUP(наценка7[[#This Row],[№]],Д402[],COLUMN('Реестр ОН'!$BA$1),0)</f>
        <v>Стр. Резерв</v>
      </c>
      <c r="AT203" s="281">
        <f>ROUND(наценка7[[#This Row],[Цена м2 с учетом всех K]]*наценка7[[#This Row],[Расчетная проектная площадь]],0)</f>
        <v>6522554</v>
      </c>
      <c r="AU203" s="286">
        <v>6522554</v>
      </c>
      <c r="AV203" s="286" t="b">
        <f>наценка7[[#This Row],[Аллио]]=наценка7[[#This Row],[Первичка тест]]</f>
        <v>1</v>
      </c>
    </row>
    <row r="204" spans="1:48" hidden="1" x14ac:dyDescent="0.25">
      <c r="A204" s="65">
        <v>202</v>
      </c>
      <c r="B204" s="2">
        <f>_xlfn.XLOOKUP(наценка7[[#This Row],[№]],Д402[№],Д402[Секция],"-",0)</f>
        <v>3</v>
      </c>
      <c r="C204" s="2">
        <f>_xlfn.XLOOKUP(наценка7[[#This Row],[№]],Д402[№],Д402[Этаж],"-",0)</f>
        <v>5</v>
      </c>
      <c r="D204" s="2">
        <f>_xlfn.XLOOKUP(наценка7[[#This Row],[№]],Д402[№],Д402[№ на этаже],"-",0)</f>
        <v>4</v>
      </c>
      <c r="E204" s="2">
        <f>_xlfn.XLOOKUP(наценка7[[#This Row],[№]],Д402[№],Д402[Тип кв],"-",0)</f>
        <v>1</v>
      </c>
      <c r="F204" s="51">
        <f>_xlfn.XLOOKUP(наценка7[[#This Row],[№]],Д402[№],Д402[Кухня],"-",0)</f>
        <v>13.99</v>
      </c>
      <c r="G204" s="51">
        <f>_xlfn.XLOOKUP(наценка7[[#This Row],[№]],Д402[№],Д402[Ванная],"-",0)</f>
        <v>3.9</v>
      </c>
      <c r="H204" s="51" t="s">
        <v>87</v>
      </c>
      <c r="I204" s="51"/>
      <c r="J204" s="51" t="s">
        <v>101</v>
      </c>
      <c r="K204" s="51"/>
      <c r="L204" s="51"/>
      <c r="M204" s="51" t="s">
        <v>83</v>
      </c>
      <c r="N204" s="51"/>
      <c r="O204" s="51" t="s">
        <v>119</v>
      </c>
      <c r="P204" s="51" t="s">
        <v>101</v>
      </c>
      <c r="Q204" s="129"/>
      <c r="R204" s="129"/>
      <c r="S204" s="51"/>
      <c r="T204" s="51">
        <f>_xlfn.XLOOKUP(наценка7[[#This Row],[№]],Д402[№],Д402[Расчетная проектная площадь],"-",0)</f>
        <v>36.39</v>
      </c>
      <c r="U204" s="17">
        <f t="shared" si="4"/>
        <v>89000</v>
      </c>
      <c r="V20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04" s="18">
        <f>наценка7[[#This Row],[Цена м2 базовая]]*наценка7[[#This Row],[Базовой K]]</f>
        <v>119260</v>
      </c>
      <c r="X20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04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04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0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0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0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4" s="55" t="str">
        <f>IF(наценка7[[#This Row],[Потолок ]]="ДА",коэффициенты!$C$13,"")</f>
        <v/>
      </c>
      <c r="AG20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0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4" s="52">
        <f>SUM(наценка7[[#This Row],[еврокухня]:[Лифт]])*наценка7[[#This Row],[Цена м2 с БK]]+наценка7[[#This Row],[Цена м2 с БK]]</f>
        <v>125223</v>
      </c>
      <c r="AQ204" s="51">
        <f>VLOOKUP(наценка7[[#This Row],[№]],Д402[],COLUMN(Д402[[#This Row],[утв цена м2]]),0)</f>
        <v>130932.21</v>
      </c>
      <c r="AR204" s="3">
        <f>наценка7[[#This Row],[утв цена м2]]*наценка7[[#This Row],[Расчетная проектная площадь]]</f>
        <v>4764623.1219000006</v>
      </c>
      <c r="AS204" s="27" t="str">
        <f>VLOOKUP(наценка7[[#This Row],[№]],Д402[],COLUMN('Реестр ОН'!$BA$1),0)</f>
        <v>Стр. Резерв</v>
      </c>
      <c r="AT204" s="281">
        <f>ROUND(наценка7[[#This Row],[Цена м2 с учетом всех K]]*наценка7[[#This Row],[Расчетная проектная площадь]],0)</f>
        <v>4556865</v>
      </c>
      <c r="AU204" s="286">
        <v>4556865</v>
      </c>
      <c r="AV204" s="286" t="b">
        <f>наценка7[[#This Row],[Аллио]]=наценка7[[#This Row],[Первичка тест]]</f>
        <v>1</v>
      </c>
    </row>
    <row r="205" spans="1:48" x14ac:dyDescent="0.25">
      <c r="A205" s="65">
        <v>203</v>
      </c>
      <c r="B205" s="2">
        <f>_xlfn.XLOOKUP(наценка7[[#This Row],[№]],Д402[№],Д402[Секция],"-",0)</f>
        <v>3</v>
      </c>
      <c r="C205" s="2">
        <f>_xlfn.XLOOKUP(наценка7[[#This Row],[№]],Д402[№],Д402[Этаж],"-",0)</f>
        <v>5</v>
      </c>
      <c r="D205" s="2">
        <f>_xlfn.XLOOKUP(наценка7[[#This Row],[№]],Д402[№],Д402[№ на этаже],"-",0)</f>
        <v>5</v>
      </c>
      <c r="E205" s="2">
        <f>_xlfn.XLOOKUP(наценка7[[#This Row],[№]],Д402[№],Д402[Тип кв],"-",0)</f>
        <v>3</v>
      </c>
      <c r="F205" s="51">
        <f>_xlfn.XLOOKUP(наценка7[[#This Row],[№]],Д402[№],Д402[Кухня],"-",0)</f>
        <v>11.42</v>
      </c>
      <c r="G205" s="51">
        <f>_xlfn.XLOOKUP(наценка7[[#This Row],[№]],Д402[№],Д402[Ванная],"-",0)</f>
        <v>3.9</v>
      </c>
      <c r="H205" s="51" t="s">
        <v>89</v>
      </c>
      <c r="I205" s="51"/>
      <c r="J205" s="51" t="s">
        <v>101</v>
      </c>
      <c r="K205" s="51"/>
      <c r="L205" s="51"/>
      <c r="M205" s="51" t="s">
        <v>88</v>
      </c>
      <c r="N205" s="51"/>
      <c r="O205" s="51" t="s">
        <v>101</v>
      </c>
      <c r="P205" s="51" t="s">
        <v>101</v>
      </c>
      <c r="Q205" s="129"/>
      <c r="R205" s="51" t="s">
        <v>101</v>
      </c>
      <c r="S205" s="51"/>
      <c r="T205" s="51">
        <f>_xlfn.XLOOKUP(наценка7[[#This Row],[№]],Д402[№],Д402[Расчетная проектная площадь],"-",0)</f>
        <v>78.16</v>
      </c>
      <c r="U205" s="17">
        <f t="shared" si="4"/>
        <v>89000</v>
      </c>
      <c r="V20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205" s="18">
        <f>наценка7[[#This Row],[Цена м2 базовая]]*наценка7[[#This Row],[Базовой K]]</f>
        <v>103240</v>
      </c>
      <c r="X20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0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5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05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20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0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5" s="55" t="str">
        <f>IF(наценка7[[#This Row],[Потолок ]]="ДА",коэффициенты!$C$13,"")</f>
        <v/>
      </c>
      <c r="AG20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0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5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20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0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5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20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5" s="52">
        <f>SUM(наценка7[[#This Row],[еврокухня]:[Лифт]])*наценка7[[#This Row],[Цена м2 с БK]]+наценка7[[#This Row],[Цена м2 с БK]]</f>
        <v>108402</v>
      </c>
      <c r="AQ205" s="51">
        <f>VLOOKUP(наценка7[[#This Row],[№]],Д402[],COLUMN(Д402[[#This Row],[утв цена м2]]),0)</f>
        <v>111827.19</v>
      </c>
      <c r="AR205" s="3">
        <f>наценка7[[#This Row],[утв цена м2]]*наценка7[[#This Row],[Расчетная проектная площадь]]</f>
        <v>8740413.1703999992</v>
      </c>
      <c r="AS205" s="27" t="str">
        <f>VLOOKUP(наценка7[[#This Row],[№]],Д402[],COLUMN('Реестр ОН'!$BA$1),0)</f>
        <v>Стр. Резерв</v>
      </c>
      <c r="AT205" s="281">
        <f>ROUND(наценка7[[#This Row],[Цена м2 с учетом всех K]]*наценка7[[#This Row],[Расчетная проектная площадь]],0)</f>
        <v>8472700</v>
      </c>
      <c r="AU205" s="286">
        <v>8472700</v>
      </c>
      <c r="AV205" s="286" t="b">
        <f>наценка7[[#This Row],[Аллио]]=наценка7[[#This Row],[Первичка тест]]</f>
        <v>1</v>
      </c>
    </row>
    <row r="206" spans="1:48" hidden="1" x14ac:dyDescent="0.25">
      <c r="A206" s="65">
        <v>204</v>
      </c>
      <c r="B206" s="2">
        <f>_xlfn.XLOOKUP(наценка7[[#This Row],[№]],Д402[№],Д402[Секция],"-",0)</f>
        <v>3</v>
      </c>
      <c r="C206" s="2">
        <f>_xlfn.XLOOKUP(наценка7[[#This Row],[№]],Д402[№],Д402[Этаж],"-",0)</f>
        <v>5</v>
      </c>
      <c r="D206" s="2">
        <f>_xlfn.XLOOKUP(наценка7[[#This Row],[№]],Д402[№],Д402[№ на этаже],"-",0)</f>
        <v>6</v>
      </c>
      <c r="E206" s="2">
        <f>_xlfn.XLOOKUP(наценка7[[#This Row],[№]],Д402[№],Д402[Тип кв],"-",0)</f>
        <v>0</v>
      </c>
      <c r="F206" s="51">
        <f>_xlfn.XLOOKUP(наценка7[[#This Row],[№]],Д402[№],Д402[Кухня],"-",0)</f>
        <v>5</v>
      </c>
      <c r="G206" s="51">
        <f>_xlfn.XLOOKUP(наценка7[[#This Row],[№]],Д402[№],Д402[Ванная],"-",0)</f>
        <v>4.2699999999999996</v>
      </c>
      <c r="H206" s="51" t="s">
        <v>84</v>
      </c>
      <c r="I206" s="51"/>
      <c r="J206" s="51"/>
      <c r="K206" s="51" t="s">
        <v>101</v>
      </c>
      <c r="L206" s="51" t="s">
        <v>119</v>
      </c>
      <c r="M206" s="51" t="s">
        <v>83</v>
      </c>
      <c r="N206" s="51"/>
      <c r="O206" s="51" t="s">
        <v>119</v>
      </c>
      <c r="P206" s="51"/>
      <c r="Q206" s="51"/>
      <c r="R206" s="51" t="s">
        <v>101</v>
      </c>
      <c r="S206" s="51" t="s">
        <v>101</v>
      </c>
      <c r="T206" s="51">
        <f>_xlfn.XLOOKUP(наценка7[[#This Row],[№]],Д402[№],Д402[Расчетная проектная площадь],"-",0)</f>
        <v>29.73</v>
      </c>
      <c r="U206" s="17">
        <f t="shared" si="4"/>
        <v>89000</v>
      </c>
      <c r="V20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06" s="18">
        <f>наценка7[[#This Row],[Цена м2 базовая]]*наценка7[[#This Row],[Базовой K]]</f>
        <v>139730</v>
      </c>
      <c r="X20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0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0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6" s="55" t="str">
        <f>IF(наценка7[[#This Row],[Потолок ]]="ДА",коэффициенты!$C$13,"")</f>
        <v/>
      </c>
      <c r="AG20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0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6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0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0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6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06" s="52">
        <f>SUM(наценка7[[#This Row],[еврокухня]:[Лифт]])*наценка7[[#This Row],[Цена м2 с БK]]+наценка7[[#This Row],[Цена м2 с БK]]</f>
        <v>138332.70000000001</v>
      </c>
      <c r="AQ206" s="51">
        <f>VLOOKUP(наценка7[[#This Row],[№]],Д402[],COLUMN(Д402[[#This Row],[утв цена м2]]),0)</f>
        <v>139565.20000000001</v>
      </c>
      <c r="AR206" s="3">
        <f>наценка7[[#This Row],[утв цена м2]]*наценка7[[#This Row],[Расчетная проектная площадь]]</f>
        <v>4149273.3960000002</v>
      </c>
      <c r="AS206" s="27" t="str">
        <f>VLOOKUP(наценка7[[#This Row],[№]],Д402[],COLUMN('Реестр ОН'!$BA$1),0)</f>
        <v>Стр. Резерв</v>
      </c>
      <c r="AT206" s="281">
        <f>ROUND(наценка7[[#This Row],[Цена м2 с учетом всех K]]*наценка7[[#This Row],[Расчетная проектная площадь]],0)</f>
        <v>4112631</v>
      </c>
      <c r="AU206" s="286">
        <v>4112631</v>
      </c>
      <c r="AV206" s="286" t="b">
        <f>наценка7[[#This Row],[Аллио]]=наценка7[[#This Row],[Первичка тест]]</f>
        <v>1</v>
      </c>
    </row>
    <row r="207" spans="1:48" hidden="1" x14ac:dyDescent="0.25">
      <c r="A207" s="65">
        <v>205</v>
      </c>
      <c r="B207" s="2">
        <f>_xlfn.XLOOKUP(наценка7[[#This Row],[№]],Д402[№],Д402[Секция],"-",0)</f>
        <v>3</v>
      </c>
      <c r="C207" s="2">
        <f>_xlfn.XLOOKUP(наценка7[[#This Row],[№]],Д402[№],Д402[Этаж],"-",0)</f>
        <v>6</v>
      </c>
      <c r="D207" s="2">
        <f>_xlfn.XLOOKUP(наценка7[[#This Row],[№]],Д402[№],Д402[№ на этаже],"-",0)</f>
        <v>1</v>
      </c>
      <c r="E207" s="2">
        <f>_xlfn.XLOOKUP(наценка7[[#This Row],[№]],Д402[№],Д402[Тип кв],"-",0)</f>
        <v>1</v>
      </c>
      <c r="F207" s="51">
        <f>_xlfn.XLOOKUP(наценка7[[#This Row],[№]],Д402[№],Д402[Кухня],"-",0)</f>
        <v>16.2</v>
      </c>
      <c r="G207" s="51">
        <f>_xlfn.XLOOKUP(наценка7[[#This Row],[№]],Д402[№],Д402[Ванная],"-",0)</f>
        <v>4.09</v>
      </c>
      <c r="H207" s="51" t="s">
        <v>84</v>
      </c>
      <c r="I207" s="51"/>
      <c r="J207" s="51" t="s">
        <v>101</v>
      </c>
      <c r="K207" s="51" t="s">
        <v>101</v>
      </c>
      <c r="L207" s="51"/>
      <c r="M207" s="51" t="s">
        <v>83</v>
      </c>
      <c r="N207" s="51" t="s">
        <v>101</v>
      </c>
      <c r="O207" s="51" t="s">
        <v>119</v>
      </c>
      <c r="P207" s="51" t="s">
        <v>101</v>
      </c>
      <c r="Q207" s="129"/>
      <c r="R207" s="129"/>
      <c r="S207" s="51"/>
      <c r="T207" s="51">
        <f>_xlfn.XLOOKUP(наценка7[[#This Row],[№]],Д402[№],Д402[Расчетная проектная площадь],"-",0)</f>
        <v>44.25</v>
      </c>
      <c r="U207" s="17">
        <f t="shared" si="4"/>
        <v>89000</v>
      </c>
      <c r="V20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07" s="18">
        <f>наценка7[[#This Row],[Цена м2 базовая]]*наценка7[[#This Row],[Базовой K]]</f>
        <v>119260</v>
      </c>
      <c r="X20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7" s="55" t="str">
        <f>IF(наценка7[[#This Row],[Потолок ]]="ДА",коэффициенты!$C$13,"")</f>
        <v/>
      </c>
      <c r="AG20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0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7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0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7" s="52">
        <f>SUM(наценка7[[#This Row],[еврокухня]:[Лифт]])*наценка7[[#This Row],[Цена м2 с БK]]+наценка7[[#This Row],[Цена м2 с БK]]</f>
        <v>122837.8</v>
      </c>
      <c r="AQ207" s="51">
        <f>VLOOKUP(наценка7[[#This Row],[№]],Д402[],COLUMN(Д402[[#This Row],[утв цена м2]]),0)</f>
        <v>129715.6</v>
      </c>
      <c r="AR207" s="3">
        <f>наценка7[[#This Row],[утв цена м2]]*наценка7[[#This Row],[Расчетная проектная площадь]]</f>
        <v>5739915.2999999998</v>
      </c>
      <c r="AS207" s="27" t="str">
        <f>VLOOKUP(наценка7[[#This Row],[№]],Д402[],COLUMN('Реестр ОН'!$BA$1),0)</f>
        <v>Продажа</v>
      </c>
      <c r="AT207" s="281">
        <f>ROUND(наценка7[[#This Row],[Цена м2 с учетом всех K]]*наценка7[[#This Row],[Расчетная проектная площадь]],0)</f>
        <v>5435573</v>
      </c>
      <c r="AU207" s="286">
        <v>5435573</v>
      </c>
      <c r="AV207" s="286" t="b">
        <f>наценка7[[#This Row],[Аллио]]=наценка7[[#This Row],[Первичка тест]]</f>
        <v>1</v>
      </c>
    </row>
    <row r="208" spans="1:48" hidden="1" x14ac:dyDescent="0.25">
      <c r="A208" s="65">
        <v>206</v>
      </c>
      <c r="B208" s="2">
        <f>_xlfn.XLOOKUP(наценка7[[#This Row],[№]],Д402[№],Д402[Секция],"-",0)</f>
        <v>3</v>
      </c>
      <c r="C208" s="2">
        <f>_xlfn.XLOOKUP(наценка7[[#This Row],[№]],Д402[№],Д402[Этаж],"-",0)</f>
        <v>6</v>
      </c>
      <c r="D208" s="2">
        <f>_xlfn.XLOOKUP(наценка7[[#This Row],[№]],Д402[№],Д402[№ на этаже],"-",0)</f>
        <v>2</v>
      </c>
      <c r="E208" s="2">
        <f>_xlfn.XLOOKUP(наценка7[[#This Row],[№]],Д402[№],Д402[Тип кв],"-",0)</f>
        <v>1</v>
      </c>
      <c r="F208" s="51">
        <f>_xlfn.XLOOKUP(наценка7[[#This Row],[№]],Д402[№],Д402[Кухня],"-",0)</f>
        <v>15.1</v>
      </c>
      <c r="G208" s="51">
        <f>_xlfn.XLOOKUP(наценка7[[#This Row],[№]],Д402[№],Д402[Ванная],"-",0)</f>
        <v>4.22</v>
      </c>
      <c r="H208" s="51" t="s">
        <v>87</v>
      </c>
      <c r="I208" s="51"/>
      <c r="J208" s="51" t="s">
        <v>101</v>
      </c>
      <c r="K208" s="51" t="s">
        <v>101</v>
      </c>
      <c r="L208" s="51"/>
      <c r="M208" s="51" t="s">
        <v>83</v>
      </c>
      <c r="N208" s="51"/>
      <c r="O208" s="51" t="s">
        <v>119</v>
      </c>
      <c r="P208" s="51" t="s">
        <v>101</v>
      </c>
      <c r="Q208" s="129"/>
      <c r="R208" s="129"/>
      <c r="S208" s="51"/>
      <c r="T208" s="51">
        <f>_xlfn.XLOOKUP(наценка7[[#This Row],[№]],Д402[№],Д402[Расчетная проектная площадь],"-",0)</f>
        <v>36.64</v>
      </c>
      <c r="U208" s="17">
        <f t="shared" si="4"/>
        <v>89000</v>
      </c>
      <c r="V20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08" s="18">
        <f>наценка7[[#This Row],[Цена м2 базовая]]*наценка7[[#This Row],[Базовой K]]</f>
        <v>119260</v>
      </c>
      <c r="X20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0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0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8" s="55" t="str">
        <f>IF(наценка7[[#This Row],[Потолок ]]="ДА",коэффициенты!$C$13,"")</f>
        <v/>
      </c>
      <c r="AG20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0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0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8" s="52">
        <f>SUM(наценка7[[#This Row],[еврокухня]:[Лифт]])*наценка7[[#This Row],[Цена м2 с БK]]+наценка7[[#This Row],[Цена м2 с БK]]</f>
        <v>126415.6</v>
      </c>
      <c r="AQ208" s="51">
        <f>VLOOKUP(наценка7[[#This Row],[№]],Д402[],COLUMN(Д402[[#This Row],[утв цена м2]]),0)</f>
        <v>129943.91</v>
      </c>
      <c r="AR208" s="3">
        <f>наценка7[[#This Row],[утв цена м2]]*наценка7[[#This Row],[Расчетная проектная площадь]]</f>
        <v>4761144.8624</v>
      </c>
      <c r="AS208" s="27" t="str">
        <f>VLOOKUP(наценка7[[#This Row],[№]],Д402[],COLUMN('Реестр ОН'!$BA$1),0)</f>
        <v>Продажа</v>
      </c>
      <c r="AT208" s="281">
        <f>ROUND(наценка7[[#This Row],[Цена м2 с учетом всех K]]*наценка7[[#This Row],[Расчетная проектная площадь]],0)</f>
        <v>4631868</v>
      </c>
      <c r="AU208" s="286">
        <v>4631868</v>
      </c>
      <c r="AV208" s="286" t="b">
        <f>наценка7[[#This Row],[Аллио]]=наценка7[[#This Row],[Первичка тест]]</f>
        <v>1</v>
      </c>
    </row>
    <row r="209" spans="1:48" hidden="1" x14ac:dyDescent="0.25">
      <c r="A209" s="65">
        <v>207</v>
      </c>
      <c r="B209" s="2">
        <f>_xlfn.XLOOKUP(наценка7[[#This Row],[№]],Д402[№],Д402[Секция],"-",0)</f>
        <v>3</v>
      </c>
      <c r="C209" s="2">
        <f>_xlfn.XLOOKUP(наценка7[[#This Row],[№]],Д402[№],Д402[Этаж],"-",0)</f>
        <v>6</v>
      </c>
      <c r="D209" s="2">
        <f>_xlfn.XLOOKUP(наценка7[[#This Row],[№]],Д402[№],Д402[№ на этаже],"-",0)</f>
        <v>3</v>
      </c>
      <c r="E209" s="2">
        <f>_xlfn.XLOOKUP(наценка7[[#This Row],[№]],Д402[№],Д402[Тип кв],"-",0)</f>
        <v>2</v>
      </c>
      <c r="F209" s="51">
        <f>_xlfn.XLOOKUP(наценка7[[#This Row],[№]],Д402[№],Д402[Кухня],"-",0)</f>
        <v>14.7</v>
      </c>
      <c r="G209" s="51">
        <f>_xlfn.XLOOKUP(наценка7[[#This Row],[№]],Д402[№],Д402[Ванная],"-",0)</f>
        <v>4.21</v>
      </c>
      <c r="H209" s="51" t="s">
        <v>87</v>
      </c>
      <c r="I209" s="51"/>
      <c r="J209" s="51" t="s">
        <v>101</v>
      </c>
      <c r="K209" s="51"/>
      <c r="L209" s="51"/>
      <c r="M209" s="51" t="s">
        <v>83</v>
      </c>
      <c r="N209" s="51"/>
      <c r="O209" s="51" t="s">
        <v>119</v>
      </c>
      <c r="P209" s="51" t="s">
        <v>101</v>
      </c>
      <c r="Q209" s="129"/>
      <c r="R209" s="129"/>
      <c r="S209" s="51"/>
      <c r="T209" s="51">
        <f>_xlfn.XLOOKUP(наценка7[[#This Row],[№]],Д402[№],Д402[Расчетная проектная площадь],"-",0)</f>
        <v>54.44</v>
      </c>
      <c r="U209" s="17">
        <f t="shared" si="4"/>
        <v>89000</v>
      </c>
      <c r="V20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09" s="18">
        <f>наценка7[[#This Row],[Цена м2 базовая]]*наценка7[[#This Row],[Базовой K]]</f>
        <v>113030</v>
      </c>
      <c r="X20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0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0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0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0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0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0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0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09" s="55" t="str">
        <f>IF(наценка7[[#This Row],[Потолок ]]="ДА",коэффициенты!$C$13,"")</f>
        <v/>
      </c>
      <c r="AG20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0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0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0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0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0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0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0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0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09" s="52">
        <f>SUM(наценка7[[#This Row],[еврокухня]:[Лифт]])*наценка7[[#This Row],[Цена м2 с БK]]+наценка7[[#This Row],[Цена м2 с БK]]</f>
        <v>119811.8</v>
      </c>
      <c r="AQ209" s="51">
        <f>VLOOKUP(наценка7[[#This Row],[№]],Д402[],COLUMN(Д402[[#This Row],[утв цена м2]]),0)</f>
        <v>124178.15</v>
      </c>
      <c r="AR209" s="3">
        <f>наценка7[[#This Row],[утв цена м2]]*наценка7[[#This Row],[Расчетная проектная площадь]]</f>
        <v>6760258.4859999996</v>
      </c>
      <c r="AS209" s="27" t="str">
        <f>VLOOKUP(наценка7[[#This Row],[№]],Д402[],COLUMN('Реестр ОН'!$BA$1),0)</f>
        <v>Продажа</v>
      </c>
      <c r="AT209" s="281">
        <f>ROUND(наценка7[[#This Row],[Цена м2 с учетом всех K]]*наценка7[[#This Row],[Расчетная проектная площадь]],0)</f>
        <v>6522554</v>
      </c>
      <c r="AU209" s="286">
        <v>6522554</v>
      </c>
      <c r="AV209" s="286" t="b">
        <f>наценка7[[#This Row],[Аллио]]=наценка7[[#This Row],[Первичка тест]]</f>
        <v>1</v>
      </c>
    </row>
    <row r="210" spans="1:48" hidden="1" x14ac:dyDescent="0.25">
      <c r="A210" s="65">
        <v>208</v>
      </c>
      <c r="B210" s="2">
        <f>_xlfn.XLOOKUP(наценка7[[#This Row],[№]],Д402[№],Д402[Секция],"-",0)</f>
        <v>3</v>
      </c>
      <c r="C210" s="2">
        <f>_xlfn.XLOOKUP(наценка7[[#This Row],[№]],Д402[№],Д402[Этаж],"-",0)</f>
        <v>6</v>
      </c>
      <c r="D210" s="2">
        <f>_xlfn.XLOOKUP(наценка7[[#This Row],[№]],Д402[№],Д402[№ на этаже],"-",0)</f>
        <v>4</v>
      </c>
      <c r="E210" s="2">
        <f>_xlfn.XLOOKUP(наценка7[[#This Row],[№]],Д402[№],Д402[Тип кв],"-",0)</f>
        <v>1</v>
      </c>
      <c r="F210" s="51">
        <f>_xlfn.XLOOKUP(наценка7[[#This Row],[№]],Д402[№],Д402[Кухня],"-",0)</f>
        <v>13.99</v>
      </c>
      <c r="G210" s="51">
        <f>_xlfn.XLOOKUP(наценка7[[#This Row],[№]],Д402[№],Д402[Ванная],"-",0)</f>
        <v>3.9</v>
      </c>
      <c r="H210" s="51" t="s">
        <v>87</v>
      </c>
      <c r="I210" s="51"/>
      <c r="J210" s="51" t="s">
        <v>101</v>
      </c>
      <c r="K210" s="51"/>
      <c r="L210" s="51"/>
      <c r="M210" s="51" t="s">
        <v>83</v>
      </c>
      <c r="N210" s="51"/>
      <c r="O210" s="51" t="s">
        <v>119</v>
      </c>
      <c r="P210" s="51" t="s">
        <v>101</v>
      </c>
      <c r="Q210" s="129"/>
      <c r="R210" s="129"/>
      <c r="S210" s="51"/>
      <c r="T210" s="51">
        <f>_xlfn.XLOOKUP(наценка7[[#This Row],[№]],Д402[№],Д402[Расчетная проектная площадь],"-",0)</f>
        <v>36.39</v>
      </c>
      <c r="U210" s="17">
        <f t="shared" si="4"/>
        <v>89000</v>
      </c>
      <c r="V21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10" s="18">
        <f>наценка7[[#This Row],[Цена м2 базовая]]*наценка7[[#This Row],[Базовой K]]</f>
        <v>119260</v>
      </c>
      <c r="X21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0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10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1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1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1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1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0" s="55" t="str">
        <f>IF(наценка7[[#This Row],[Потолок ]]="ДА",коэффициенты!$C$13,"")</f>
        <v/>
      </c>
      <c r="AG21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1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0" s="52">
        <f>SUM(наценка7[[#This Row],[еврокухня]:[Лифт]])*наценка7[[#This Row],[Цена м2 с БK]]+наценка7[[#This Row],[Цена м2 с БK]]</f>
        <v>125223</v>
      </c>
      <c r="AQ210" s="51">
        <f>VLOOKUP(наценка7[[#This Row],[№]],Д402[],COLUMN(Д402[[#This Row],[утв цена м2]]),0)</f>
        <v>130932.21</v>
      </c>
      <c r="AR210" s="3">
        <f>наценка7[[#This Row],[утв цена м2]]*наценка7[[#This Row],[Расчетная проектная площадь]]</f>
        <v>4764623.1219000006</v>
      </c>
      <c r="AS210" s="27" t="str">
        <f>VLOOKUP(наценка7[[#This Row],[№]],Д402[],COLUMN('Реестр ОН'!$BA$1),0)</f>
        <v>Стр. Резерв</v>
      </c>
      <c r="AT210" s="281">
        <f>ROUND(наценка7[[#This Row],[Цена м2 с учетом всех K]]*наценка7[[#This Row],[Расчетная проектная площадь]],0)</f>
        <v>4556865</v>
      </c>
      <c r="AU210" s="286">
        <v>4556865</v>
      </c>
      <c r="AV210" s="286" t="b">
        <f>наценка7[[#This Row],[Аллио]]=наценка7[[#This Row],[Первичка тест]]</f>
        <v>1</v>
      </c>
    </row>
    <row r="211" spans="1:48" x14ac:dyDescent="0.25">
      <c r="A211" s="65">
        <v>209</v>
      </c>
      <c r="B211" s="2">
        <f>_xlfn.XLOOKUP(наценка7[[#This Row],[№]],Д402[№],Д402[Секция],"-",0)</f>
        <v>3</v>
      </c>
      <c r="C211" s="2">
        <f>_xlfn.XLOOKUP(наценка7[[#This Row],[№]],Д402[№],Д402[Этаж],"-",0)</f>
        <v>6</v>
      </c>
      <c r="D211" s="2">
        <f>_xlfn.XLOOKUP(наценка7[[#This Row],[№]],Д402[№],Д402[№ на этаже],"-",0)</f>
        <v>5</v>
      </c>
      <c r="E211" s="2">
        <f>_xlfn.XLOOKUP(наценка7[[#This Row],[№]],Д402[№],Д402[Тип кв],"-",0)</f>
        <v>3</v>
      </c>
      <c r="F211" s="51">
        <f>_xlfn.XLOOKUP(наценка7[[#This Row],[№]],Д402[№],Д402[Кухня],"-",0)</f>
        <v>11.42</v>
      </c>
      <c r="G211" s="51">
        <f>_xlfn.XLOOKUP(наценка7[[#This Row],[№]],Д402[№],Д402[Ванная],"-",0)</f>
        <v>3.9</v>
      </c>
      <c r="H211" s="51" t="s">
        <v>89</v>
      </c>
      <c r="I211" s="51"/>
      <c r="J211" s="51" t="s">
        <v>101</v>
      </c>
      <c r="K211" s="51"/>
      <c r="L211" s="51"/>
      <c r="M211" s="51" t="s">
        <v>88</v>
      </c>
      <c r="N211" s="51"/>
      <c r="O211" s="51" t="s">
        <v>101</v>
      </c>
      <c r="P211" s="51" t="s">
        <v>101</v>
      </c>
      <c r="Q211" s="129"/>
      <c r="R211" s="51" t="s">
        <v>101</v>
      </c>
      <c r="S211" s="51"/>
      <c r="T211" s="51">
        <f>_xlfn.XLOOKUP(наценка7[[#This Row],[№]],Д402[№],Д402[Расчетная проектная площадь],"-",0)</f>
        <v>78.16</v>
      </c>
      <c r="U211" s="17">
        <f t="shared" si="4"/>
        <v>89000</v>
      </c>
      <c r="V21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211" s="18">
        <f>наценка7[[#This Row],[Цена м2 базовая]]*наценка7[[#This Row],[Базовой K]]</f>
        <v>103240</v>
      </c>
      <c r="X21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1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11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21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1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1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1" s="55" t="str">
        <f>IF(наценка7[[#This Row],[Потолок ]]="ДА",коэффициенты!$C$13,"")</f>
        <v/>
      </c>
      <c r="AG21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1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1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21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1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1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21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1" s="52">
        <f>SUM(наценка7[[#This Row],[еврокухня]:[Лифт]])*наценка7[[#This Row],[Цена м2 с БK]]+наценка7[[#This Row],[Цена м2 с БK]]</f>
        <v>108402</v>
      </c>
      <c r="AQ211" s="51">
        <f>VLOOKUP(наценка7[[#This Row],[№]],Д402[],COLUMN(Д402[[#This Row],[утв цена м2]]),0)</f>
        <v>111827.19</v>
      </c>
      <c r="AR211" s="3">
        <f>наценка7[[#This Row],[утв цена м2]]*наценка7[[#This Row],[Расчетная проектная площадь]]</f>
        <v>8740413.1703999992</v>
      </c>
      <c r="AS211" s="27" t="str">
        <f>VLOOKUP(наценка7[[#This Row],[№]],Д402[],COLUMN('Реестр ОН'!$BA$1),0)</f>
        <v>Свободно</v>
      </c>
      <c r="AT211" s="281">
        <f>ROUND(наценка7[[#This Row],[Цена м2 с учетом всех K]]*наценка7[[#This Row],[Расчетная проектная площадь]],0)</f>
        <v>8472700</v>
      </c>
      <c r="AU211" s="286">
        <v>8472700</v>
      </c>
      <c r="AV211" s="286" t="b">
        <f>наценка7[[#This Row],[Аллио]]=наценка7[[#This Row],[Первичка тест]]</f>
        <v>1</v>
      </c>
    </row>
    <row r="212" spans="1:48" hidden="1" x14ac:dyDescent="0.25">
      <c r="A212" s="65">
        <v>210</v>
      </c>
      <c r="B212" s="2">
        <f>_xlfn.XLOOKUP(наценка7[[#This Row],[№]],Д402[№],Д402[Секция],"-",0)</f>
        <v>3</v>
      </c>
      <c r="C212" s="2">
        <f>_xlfn.XLOOKUP(наценка7[[#This Row],[№]],Д402[№],Д402[Этаж],"-",0)</f>
        <v>6</v>
      </c>
      <c r="D212" s="2">
        <f>_xlfn.XLOOKUP(наценка7[[#This Row],[№]],Д402[№],Д402[№ на этаже],"-",0)</f>
        <v>6</v>
      </c>
      <c r="E212" s="2">
        <f>_xlfn.XLOOKUP(наценка7[[#This Row],[№]],Д402[№],Д402[Тип кв],"-",0)</f>
        <v>0</v>
      </c>
      <c r="F212" s="51">
        <f>_xlfn.XLOOKUP(наценка7[[#This Row],[№]],Д402[№],Д402[Кухня],"-",0)</f>
        <v>5</v>
      </c>
      <c r="G212" s="51">
        <f>_xlfn.XLOOKUP(наценка7[[#This Row],[№]],Д402[№],Д402[Ванная],"-",0)</f>
        <v>4.2699999999999996</v>
      </c>
      <c r="H212" s="51" t="s">
        <v>84</v>
      </c>
      <c r="I212" s="51"/>
      <c r="J212" s="51"/>
      <c r="K212" s="51" t="s">
        <v>101</v>
      </c>
      <c r="L212" s="51" t="s">
        <v>119</v>
      </c>
      <c r="M212" s="51" t="s">
        <v>83</v>
      </c>
      <c r="N212" s="51"/>
      <c r="O212" s="51" t="s">
        <v>119</v>
      </c>
      <c r="P212" s="51"/>
      <c r="Q212" s="51"/>
      <c r="R212" s="51" t="s">
        <v>101</v>
      </c>
      <c r="S212" s="51" t="s">
        <v>101</v>
      </c>
      <c r="T212" s="51">
        <f>_xlfn.XLOOKUP(наценка7[[#This Row],[№]],Д402[№],Д402[Расчетная проектная площадь],"-",0)</f>
        <v>29.73</v>
      </c>
      <c r="U212" s="17">
        <f t="shared" si="4"/>
        <v>89000</v>
      </c>
      <c r="V21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12" s="18">
        <f>наценка7[[#This Row],[Цена м2 базовая]]*наценка7[[#This Row],[Базовой K]]</f>
        <v>139730</v>
      </c>
      <c r="X21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1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1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2" s="55" t="str">
        <f>IF(наценка7[[#This Row],[Потолок ]]="ДА",коэффициенты!$C$13,"")</f>
        <v/>
      </c>
      <c r="AG21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1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2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12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1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2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12" s="52">
        <f>SUM(наценка7[[#This Row],[еврокухня]:[Лифт]])*наценка7[[#This Row],[Цена м2 с БK]]+наценка7[[#This Row],[Цена м2 с БK]]</f>
        <v>138332.70000000001</v>
      </c>
      <c r="AQ212" s="51">
        <f>VLOOKUP(наценка7[[#This Row],[№]],Д402[],COLUMN(Д402[[#This Row],[утв цена м2]]),0)</f>
        <v>139565.20000000001</v>
      </c>
      <c r="AR212" s="3">
        <f>наценка7[[#This Row],[утв цена м2]]*наценка7[[#This Row],[Расчетная проектная площадь]]</f>
        <v>4149273.3960000002</v>
      </c>
      <c r="AS212" s="27" t="str">
        <f>VLOOKUP(наценка7[[#This Row],[№]],Д402[],COLUMN('Реестр ОН'!$BA$1),0)</f>
        <v>Стр. Резерв</v>
      </c>
      <c r="AT212" s="281">
        <f>ROUND(наценка7[[#This Row],[Цена м2 с учетом всех K]]*наценка7[[#This Row],[Расчетная проектная площадь]],0)</f>
        <v>4112631</v>
      </c>
      <c r="AU212" s="286">
        <v>4112631</v>
      </c>
      <c r="AV212" s="286" t="b">
        <f>наценка7[[#This Row],[Аллио]]=наценка7[[#This Row],[Первичка тест]]</f>
        <v>1</v>
      </c>
    </row>
    <row r="213" spans="1:48" hidden="1" x14ac:dyDescent="0.25">
      <c r="A213" s="65">
        <v>211</v>
      </c>
      <c r="B213" s="2">
        <f>_xlfn.XLOOKUP(наценка7[[#This Row],[№]],Д402[№],Д402[Секция],"-",0)</f>
        <v>3</v>
      </c>
      <c r="C213" s="2">
        <f>_xlfn.XLOOKUP(наценка7[[#This Row],[№]],Д402[№],Д402[Этаж],"-",0)</f>
        <v>7</v>
      </c>
      <c r="D213" s="2">
        <f>_xlfn.XLOOKUP(наценка7[[#This Row],[№]],Д402[№],Д402[№ на этаже],"-",0)</f>
        <v>1</v>
      </c>
      <c r="E213" s="2">
        <f>_xlfn.XLOOKUP(наценка7[[#This Row],[№]],Д402[№],Д402[Тип кв],"-",0)</f>
        <v>1</v>
      </c>
      <c r="F213" s="51">
        <f>_xlfn.XLOOKUP(наценка7[[#This Row],[№]],Д402[№],Д402[Кухня],"-",0)</f>
        <v>16.2</v>
      </c>
      <c r="G213" s="51">
        <f>_xlfn.XLOOKUP(наценка7[[#This Row],[№]],Д402[№],Д402[Ванная],"-",0)</f>
        <v>4.09</v>
      </c>
      <c r="H213" s="51" t="s">
        <v>84</v>
      </c>
      <c r="I213" s="51"/>
      <c r="J213" s="51" t="s">
        <v>101</v>
      </c>
      <c r="K213" s="51" t="s">
        <v>101</v>
      </c>
      <c r="L213" s="51"/>
      <c r="M213" s="51" t="s">
        <v>83</v>
      </c>
      <c r="N213" s="51" t="s">
        <v>101</v>
      </c>
      <c r="O213" s="51" t="s">
        <v>119</v>
      </c>
      <c r="P213" s="51"/>
      <c r="Q213" s="129"/>
      <c r="R213" s="129"/>
      <c r="S213" s="51"/>
      <c r="T213" s="51">
        <f>_xlfn.XLOOKUP(наценка7[[#This Row],[№]],Д402[№],Д402[Расчетная проектная площадь],"-",0)</f>
        <v>44.25</v>
      </c>
      <c r="U213" s="17">
        <f t="shared" si="4"/>
        <v>89000</v>
      </c>
      <c r="V21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13" s="18">
        <f>наценка7[[#This Row],[Цена м2 базовая]]*наценка7[[#This Row],[Базовой K]]</f>
        <v>119260</v>
      </c>
      <c r="X21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1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1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1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3" s="55" t="str">
        <f>IF(наценка7[[#This Row],[Потолок ]]="ДА",коэффициенты!$C$13,"")</f>
        <v/>
      </c>
      <c r="AG21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1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3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1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3" s="52">
        <f>SUM(наценка7[[#This Row],[еврокухня]:[Лифт]])*наценка7[[#This Row],[Цена м2 с БK]]+наценка7[[#This Row],[Цена м2 с БK]]</f>
        <v>120452.6</v>
      </c>
      <c r="AQ213" s="51">
        <f>VLOOKUP(наценка7[[#This Row],[№]],Д402[],COLUMN(Д402[[#This Row],[утв цена м2]]),0)</f>
        <v>123861.65</v>
      </c>
      <c r="AR213" s="3">
        <f>наценка7[[#This Row],[утв цена м2]]*наценка7[[#This Row],[Расчетная проектная площадь]]</f>
        <v>5480878.0125000002</v>
      </c>
      <c r="AS213" s="27" t="str">
        <f>VLOOKUP(наценка7[[#This Row],[№]],Д402[],COLUMN('Реестр ОН'!$BA$1),0)</f>
        <v>Продажа</v>
      </c>
      <c r="AT213" s="281">
        <f>ROUND(наценка7[[#This Row],[Цена м2 с учетом всех K]]*наценка7[[#This Row],[Расчетная проектная площадь]],0)</f>
        <v>5330028</v>
      </c>
      <c r="AU213" s="286">
        <v>5330028</v>
      </c>
      <c r="AV213" s="286" t="b">
        <f>наценка7[[#This Row],[Аллио]]=наценка7[[#This Row],[Первичка тест]]</f>
        <v>1</v>
      </c>
    </row>
    <row r="214" spans="1:48" hidden="1" x14ac:dyDescent="0.25">
      <c r="A214" s="65">
        <v>212</v>
      </c>
      <c r="B214" s="2">
        <f>_xlfn.XLOOKUP(наценка7[[#This Row],[№]],Д402[№],Д402[Секция],"-",0)</f>
        <v>3</v>
      </c>
      <c r="C214" s="2">
        <f>_xlfn.XLOOKUP(наценка7[[#This Row],[№]],Д402[№],Д402[Этаж],"-",0)</f>
        <v>7</v>
      </c>
      <c r="D214" s="2">
        <f>_xlfn.XLOOKUP(наценка7[[#This Row],[№]],Д402[№],Д402[№ на этаже],"-",0)</f>
        <v>2</v>
      </c>
      <c r="E214" s="2">
        <f>_xlfn.XLOOKUP(наценка7[[#This Row],[№]],Д402[№],Д402[Тип кв],"-",0)</f>
        <v>1</v>
      </c>
      <c r="F214" s="51">
        <f>_xlfn.XLOOKUP(наценка7[[#This Row],[№]],Д402[№],Д402[Кухня],"-",0)</f>
        <v>15.1</v>
      </c>
      <c r="G214" s="51">
        <f>_xlfn.XLOOKUP(наценка7[[#This Row],[№]],Д402[№],Д402[Ванная],"-",0)</f>
        <v>4.22</v>
      </c>
      <c r="H214" s="51" t="s">
        <v>87</v>
      </c>
      <c r="I214" s="51"/>
      <c r="J214" s="51" t="s">
        <v>101</v>
      </c>
      <c r="K214" s="51" t="s">
        <v>101</v>
      </c>
      <c r="L214" s="51"/>
      <c r="M214" s="51" t="s">
        <v>83</v>
      </c>
      <c r="N214" s="51"/>
      <c r="O214" s="51" t="s">
        <v>119</v>
      </c>
      <c r="P214" s="51" t="s">
        <v>101</v>
      </c>
      <c r="Q214" s="129"/>
      <c r="R214" s="129"/>
      <c r="S214" s="51"/>
      <c r="T214" s="51">
        <f>_xlfn.XLOOKUP(наценка7[[#This Row],[№]],Д402[№],Д402[Расчетная проектная площадь],"-",0)</f>
        <v>36.64</v>
      </c>
      <c r="U214" s="17">
        <f t="shared" si="4"/>
        <v>89000</v>
      </c>
      <c r="V21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14" s="18">
        <f>наценка7[[#This Row],[Цена м2 базовая]]*наценка7[[#This Row],[Базовой K]]</f>
        <v>119260</v>
      </c>
      <c r="X21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1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1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1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1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4" s="55" t="str">
        <f>IF(наценка7[[#This Row],[Потолок ]]="ДА",коэффициенты!$C$13,"")</f>
        <v/>
      </c>
      <c r="AG21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1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4" s="52">
        <f>SUM(наценка7[[#This Row],[еврокухня]:[Лифт]])*наценка7[[#This Row],[Цена м2 с БK]]+наценка7[[#This Row],[Цена м2 с БK]]</f>
        <v>126415.6</v>
      </c>
      <c r="AQ214" s="51">
        <f>VLOOKUP(наценка7[[#This Row],[№]],Д402[],COLUMN(Д402[[#This Row],[утв цена м2]]),0)</f>
        <v>133450.35</v>
      </c>
      <c r="AR214" s="3">
        <f>наценка7[[#This Row],[утв цена м2]]*наценка7[[#This Row],[Расчетная проектная площадь]]</f>
        <v>4889620.824</v>
      </c>
      <c r="AS214" s="27" t="str">
        <f>VLOOKUP(наценка7[[#This Row],[№]],Д402[],COLUMN('Реестр ОН'!$BA$1),0)</f>
        <v>Продажа</v>
      </c>
      <c r="AT214" s="281">
        <f>ROUND(наценка7[[#This Row],[Цена м2 с учетом всех K]]*наценка7[[#This Row],[Расчетная проектная площадь]],0)</f>
        <v>4631868</v>
      </c>
      <c r="AU214" s="286">
        <v>4631868</v>
      </c>
      <c r="AV214" s="286" t="b">
        <f>наценка7[[#This Row],[Аллио]]=наценка7[[#This Row],[Первичка тест]]</f>
        <v>1</v>
      </c>
    </row>
    <row r="215" spans="1:48" hidden="1" x14ac:dyDescent="0.25">
      <c r="A215" s="65">
        <v>213</v>
      </c>
      <c r="B215" s="2">
        <f>_xlfn.XLOOKUP(наценка7[[#This Row],[№]],Д402[№],Д402[Секция],"-",0)</f>
        <v>3</v>
      </c>
      <c r="C215" s="2">
        <f>_xlfn.XLOOKUP(наценка7[[#This Row],[№]],Д402[№],Д402[Этаж],"-",0)</f>
        <v>7</v>
      </c>
      <c r="D215" s="2">
        <f>_xlfn.XLOOKUP(наценка7[[#This Row],[№]],Д402[№],Д402[№ на этаже],"-",0)</f>
        <v>3</v>
      </c>
      <c r="E215" s="2">
        <f>_xlfn.XLOOKUP(наценка7[[#This Row],[№]],Д402[№],Д402[Тип кв],"-",0)</f>
        <v>2</v>
      </c>
      <c r="F215" s="51">
        <f>_xlfn.XLOOKUP(наценка7[[#This Row],[№]],Д402[№],Д402[Кухня],"-",0)</f>
        <v>14.7</v>
      </c>
      <c r="G215" s="51">
        <f>_xlfn.XLOOKUP(наценка7[[#This Row],[№]],Д402[№],Д402[Ванная],"-",0)</f>
        <v>4.21</v>
      </c>
      <c r="H215" s="51" t="s">
        <v>87</v>
      </c>
      <c r="I215" s="51"/>
      <c r="J215" s="51" t="s">
        <v>101</v>
      </c>
      <c r="K215" s="51"/>
      <c r="L215" s="51"/>
      <c r="M215" s="51" t="s">
        <v>83</v>
      </c>
      <c r="N215" s="51"/>
      <c r="O215" s="51" t="s">
        <v>119</v>
      </c>
      <c r="P215" s="51"/>
      <c r="Q215" s="129"/>
      <c r="R215" s="129"/>
      <c r="S215" s="51"/>
      <c r="T215" s="51">
        <f>_xlfn.XLOOKUP(наценка7[[#This Row],[№]],Д402[№],Д402[Расчетная проектная площадь],"-",0)</f>
        <v>54.44</v>
      </c>
      <c r="U215" s="17">
        <f t="shared" si="4"/>
        <v>89000</v>
      </c>
      <c r="V21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15" s="18">
        <f>наценка7[[#This Row],[Цена м2 базовая]]*наценка7[[#This Row],[Базовой K]]</f>
        <v>113030</v>
      </c>
      <c r="X21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1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1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1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5" s="55" t="str">
        <f>IF(наценка7[[#This Row],[Потолок ]]="ДА",коэффициенты!$C$13,"")</f>
        <v/>
      </c>
      <c r="AG21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1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1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5" s="52">
        <f>SUM(наценка7[[#This Row],[еврокухня]:[Лифт]])*наценка7[[#This Row],[Цена м2 с БK]]+наценка7[[#This Row],[Цена м2 с БK]]</f>
        <v>117551.2</v>
      </c>
      <c r="AQ215" s="51">
        <f>VLOOKUP(наценка7[[#This Row],[№]],Д402[],COLUMN(Д402[[#This Row],[утв цена м2]]),0)</f>
        <v>121019.78</v>
      </c>
      <c r="AR215" s="3">
        <f>наценка7[[#This Row],[утв цена м2]]*наценка7[[#This Row],[Расчетная проектная площадь]]</f>
        <v>6588316.8231999995</v>
      </c>
      <c r="AS215" s="27" t="str">
        <f>VLOOKUP(наценка7[[#This Row],[№]],Д402[],COLUMN('Реестр ОН'!$BA$1),0)</f>
        <v>Продажа</v>
      </c>
      <c r="AT215" s="281">
        <f>ROUND(наценка7[[#This Row],[Цена м2 с учетом всех K]]*наценка7[[#This Row],[Расчетная проектная площадь]],0)</f>
        <v>6399487</v>
      </c>
      <c r="AU215" s="286">
        <v>6399487</v>
      </c>
      <c r="AV215" s="286" t="b">
        <f>наценка7[[#This Row],[Аллио]]=наценка7[[#This Row],[Первичка тест]]</f>
        <v>1</v>
      </c>
    </row>
    <row r="216" spans="1:48" hidden="1" x14ac:dyDescent="0.25">
      <c r="A216" s="65">
        <v>214</v>
      </c>
      <c r="B216" s="2">
        <f>_xlfn.XLOOKUP(наценка7[[#This Row],[№]],Д402[№],Д402[Секция],"-",0)</f>
        <v>3</v>
      </c>
      <c r="C216" s="2">
        <f>_xlfn.XLOOKUP(наценка7[[#This Row],[№]],Д402[№],Д402[Этаж],"-",0)</f>
        <v>7</v>
      </c>
      <c r="D216" s="2">
        <f>_xlfn.XLOOKUP(наценка7[[#This Row],[№]],Д402[№],Д402[№ на этаже],"-",0)</f>
        <v>4</v>
      </c>
      <c r="E216" s="2">
        <f>_xlfn.XLOOKUP(наценка7[[#This Row],[№]],Д402[№],Д402[Тип кв],"-",0)</f>
        <v>1</v>
      </c>
      <c r="F216" s="51">
        <f>_xlfn.XLOOKUP(наценка7[[#This Row],[№]],Д402[№],Д402[Кухня],"-",0)</f>
        <v>13.99</v>
      </c>
      <c r="G216" s="51">
        <f>_xlfn.XLOOKUP(наценка7[[#This Row],[№]],Д402[№],Д402[Ванная],"-",0)</f>
        <v>3.9</v>
      </c>
      <c r="H216" s="51" t="s">
        <v>87</v>
      </c>
      <c r="I216" s="51"/>
      <c r="J216" s="51" t="s">
        <v>101</v>
      </c>
      <c r="K216" s="51"/>
      <c r="L216" s="51"/>
      <c r="M216" s="51" t="s">
        <v>83</v>
      </c>
      <c r="N216" s="51"/>
      <c r="O216" s="51" t="s">
        <v>119</v>
      </c>
      <c r="P216" s="51"/>
      <c r="Q216" s="129"/>
      <c r="R216" s="129"/>
      <c r="S216" s="51"/>
      <c r="T216" s="51">
        <f>_xlfn.XLOOKUP(наценка7[[#This Row],[№]],Д402[№],Д402[Расчетная проектная площадь],"-",0)</f>
        <v>36.39</v>
      </c>
      <c r="U216" s="17">
        <f t="shared" si="4"/>
        <v>89000</v>
      </c>
      <c r="V21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16" s="18">
        <f>наценка7[[#This Row],[Цена м2 базовая]]*наценка7[[#This Row],[Базовой K]]</f>
        <v>119260</v>
      </c>
      <c r="X21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16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1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1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1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1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6" s="55" t="str">
        <f>IF(наценка7[[#This Row],[Потолок ]]="ДА",коэффициенты!$C$13,"")</f>
        <v/>
      </c>
      <c r="AG21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1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6" s="52">
        <f>SUM(наценка7[[#This Row],[еврокухня]:[Лифт]])*наценка7[[#This Row],[Цена м2 с БK]]+наценка7[[#This Row],[Цена м2 с БK]]</f>
        <v>122837.8</v>
      </c>
      <c r="AQ216" s="51">
        <f>VLOOKUP(наценка7[[#This Row],[№]],Д402[],COLUMN(Д402[[#This Row],[утв цена м2]]),0)</f>
        <v>128462.57</v>
      </c>
      <c r="AR216" s="3">
        <f>наценка7[[#This Row],[утв цена м2]]*наценка7[[#This Row],[Расчетная проектная площадь]]</f>
        <v>4674752.9223000007</v>
      </c>
      <c r="AS216" s="27" t="str">
        <f>VLOOKUP(наценка7[[#This Row],[№]],Д402[],COLUMN('Реестр ОН'!$BA$1),0)</f>
        <v>Продажа</v>
      </c>
      <c r="AT216" s="281">
        <f>ROUND(наценка7[[#This Row],[Цена м2 с учетом всех K]]*наценка7[[#This Row],[Расчетная проектная площадь]],0)</f>
        <v>4470068</v>
      </c>
      <c r="AU216" s="286">
        <v>4470068</v>
      </c>
      <c r="AV216" s="286" t="b">
        <f>наценка7[[#This Row],[Аллио]]=наценка7[[#This Row],[Первичка тест]]</f>
        <v>1</v>
      </c>
    </row>
    <row r="217" spans="1:48" x14ac:dyDescent="0.25">
      <c r="A217" s="65">
        <v>215</v>
      </c>
      <c r="B217" s="2">
        <f>_xlfn.XLOOKUP(наценка7[[#This Row],[№]],Д402[№],Д402[Секция],"-",0)</f>
        <v>3</v>
      </c>
      <c r="C217" s="2">
        <f>_xlfn.XLOOKUP(наценка7[[#This Row],[№]],Д402[№],Д402[Этаж],"-",0)</f>
        <v>7</v>
      </c>
      <c r="D217" s="2">
        <f>_xlfn.XLOOKUP(наценка7[[#This Row],[№]],Д402[№],Д402[№ на этаже],"-",0)</f>
        <v>5</v>
      </c>
      <c r="E217" s="2">
        <f>_xlfn.XLOOKUP(наценка7[[#This Row],[№]],Д402[№],Д402[Тип кв],"-",0)</f>
        <v>3</v>
      </c>
      <c r="F217" s="51">
        <f>_xlfn.XLOOKUP(наценка7[[#This Row],[№]],Д402[№],Д402[Кухня],"-",0)</f>
        <v>11.42</v>
      </c>
      <c r="G217" s="51">
        <f>_xlfn.XLOOKUP(наценка7[[#This Row],[№]],Д402[№],Д402[Ванная],"-",0)</f>
        <v>3.9</v>
      </c>
      <c r="H217" s="51" t="s">
        <v>89</v>
      </c>
      <c r="I217" s="51"/>
      <c r="J217" s="51" t="s">
        <v>101</v>
      </c>
      <c r="K217" s="51"/>
      <c r="L217" s="51"/>
      <c r="M217" s="51" t="s">
        <v>88</v>
      </c>
      <c r="N217" s="51"/>
      <c r="O217" s="51" t="s">
        <v>101</v>
      </c>
      <c r="P217" s="51" t="s">
        <v>101</v>
      </c>
      <c r="Q217" s="129"/>
      <c r="R217" s="51" t="s">
        <v>101</v>
      </c>
      <c r="S217" s="51"/>
      <c r="T217" s="51">
        <f>_xlfn.XLOOKUP(наценка7[[#This Row],[№]],Д402[№],Д402[Расчетная проектная площадь],"-",0)</f>
        <v>78.16</v>
      </c>
      <c r="U217" s="17">
        <f t="shared" si="4"/>
        <v>89000</v>
      </c>
      <c r="V21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217" s="18">
        <f>наценка7[[#This Row],[Цена м2 базовая]]*наценка7[[#This Row],[Базовой K]]</f>
        <v>103240</v>
      </c>
      <c r="X21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7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17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21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1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1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7" s="55" t="str">
        <f>IF(наценка7[[#This Row],[Потолок ]]="ДА",коэффициенты!$C$13,"")</f>
        <v/>
      </c>
      <c r="AG21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1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7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21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1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7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21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7" s="52">
        <f>SUM(наценка7[[#This Row],[еврокухня]:[Лифт]])*наценка7[[#This Row],[Цена м2 с БK]]+наценка7[[#This Row],[Цена м2 с БK]]</f>
        <v>108402</v>
      </c>
      <c r="AQ217" s="51">
        <f>VLOOKUP(наценка7[[#This Row],[№]],Д402[],COLUMN(Д402[[#This Row],[утв цена м2]]),0)</f>
        <v>111827.19</v>
      </c>
      <c r="AR217" s="3">
        <f>наценка7[[#This Row],[утв цена м2]]*наценка7[[#This Row],[Расчетная проектная площадь]]</f>
        <v>8740413.1703999992</v>
      </c>
      <c r="AS217" s="27" t="str">
        <f>VLOOKUP(наценка7[[#This Row],[№]],Д402[],COLUMN('Реестр ОН'!$BA$1),0)</f>
        <v>Свободно</v>
      </c>
      <c r="AT217" s="281">
        <f>ROUND(наценка7[[#This Row],[Цена м2 с учетом всех K]]*наценка7[[#This Row],[Расчетная проектная площадь]],0)</f>
        <v>8472700</v>
      </c>
      <c r="AU217" s="286">
        <v>8472700</v>
      </c>
      <c r="AV217" s="286" t="b">
        <f>наценка7[[#This Row],[Аллио]]=наценка7[[#This Row],[Первичка тест]]</f>
        <v>1</v>
      </c>
    </row>
    <row r="218" spans="1:48" hidden="1" x14ac:dyDescent="0.25">
      <c r="A218" s="65">
        <v>216</v>
      </c>
      <c r="B218" s="2">
        <f>_xlfn.XLOOKUP(наценка7[[#This Row],[№]],Д402[№],Д402[Секция],"-",0)</f>
        <v>3</v>
      </c>
      <c r="C218" s="2">
        <f>_xlfn.XLOOKUP(наценка7[[#This Row],[№]],Д402[№],Д402[Этаж],"-",0)</f>
        <v>7</v>
      </c>
      <c r="D218" s="2">
        <f>_xlfn.XLOOKUP(наценка7[[#This Row],[№]],Д402[№],Д402[№ на этаже],"-",0)</f>
        <v>6</v>
      </c>
      <c r="E218" s="2">
        <f>_xlfn.XLOOKUP(наценка7[[#This Row],[№]],Д402[№],Д402[Тип кв],"-",0)</f>
        <v>0</v>
      </c>
      <c r="F218" s="51">
        <f>_xlfn.XLOOKUP(наценка7[[#This Row],[№]],Д402[№],Д402[Кухня],"-",0)</f>
        <v>5</v>
      </c>
      <c r="G218" s="51">
        <f>_xlfn.XLOOKUP(наценка7[[#This Row],[№]],Д402[№],Д402[Ванная],"-",0)</f>
        <v>4.2699999999999996</v>
      </c>
      <c r="H218" s="51" t="s">
        <v>84</v>
      </c>
      <c r="I218" s="51"/>
      <c r="J218" s="51"/>
      <c r="K218" s="51" t="s">
        <v>101</v>
      </c>
      <c r="L218" s="51" t="s">
        <v>119</v>
      </c>
      <c r="M218" s="51" t="s">
        <v>83</v>
      </c>
      <c r="N218" s="51"/>
      <c r="O218" s="51" t="s">
        <v>119</v>
      </c>
      <c r="P218" s="51"/>
      <c r="Q218" s="129"/>
      <c r="R218" s="129"/>
      <c r="S218" s="51" t="s">
        <v>101</v>
      </c>
      <c r="T218" s="51">
        <f>_xlfn.XLOOKUP(наценка7[[#This Row],[№]],Д402[№],Д402[Расчетная проектная площадь],"-",0)</f>
        <v>29.73</v>
      </c>
      <c r="U218" s="17">
        <f t="shared" si="4"/>
        <v>89000</v>
      </c>
      <c r="V21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18" s="18">
        <f>наценка7[[#This Row],[Цена м2 базовая]]*наценка7[[#This Row],[Базовой K]]</f>
        <v>139730</v>
      </c>
      <c r="X21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1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1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1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8" s="55" t="str">
        <f>IF(наценка7[[#This Row],[Потолок ]]="ДА",коэффициенты!$C$13,"")</f>
        <v/>
      </c>
      <c r="AG21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1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8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1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18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18" s="52">
        <f>SUM(наценка7[[#This Row],[еврокухня]:[Лифт]])*наценка7[[#This Row],[Цена м2 с БK]]+наценка7[[#This Row],[Цена м2 с БK]]</f>
        <v>139730</v>
      </c>
      <c r="AQ218" s="51">
        <f>VLOOKUP(наценка7[[#This Row],[№]],Д402[],COLUMN(Д402[[#This Row],[утв цена м2]]),0)</f>
        <v>140962.5</v>
      </c>
      <c r="AR218" s="3">
        <f>наценка7[[#This Row],[утв цена м2]]*наценка7[[#This Row],[Расчетная проектная площадь]]</f>
        <v>4190815.125</v>
      </c>
      <c r="AS218" s="27" t="str">
        <f>VLOOKUP(наценка7[[#This Row],[№]],Д402[],COLUMN('Реестр ОН'!$BA$1),0)</f>
        <v>Стр. Резерв</v>
      </c>
      <c r="AT218" s="281">
        <f>ROUND(наценка7[[#This Row],[Цена м2 с учетом всех K]]*наценка7[[#This Row],[Расчетная проектная площадь]],0)</f>
        <v>4154173</v>
      </c>
      <c r="AU218" s="286">
        <v>4154173</v>
      </c>
      <c r="AV218" s="286" t="b">
        <f>наценка7[[#This Row],[Аллио]]=наценка7[[#This Row],[Первичка тест]]</f>
        <v>1</v>
      </c>
    </row>
    <row r="219" spans="1:48" hidden="1" x14ac:dyDescent="0.25">
      <c r="A219" s="65">
        <v>217</v>
      </c>
      <c r="B219" s="2">
        <f>_xlfn.XLOOKUP(наценка7[[#This Row],[№]],Д402[№],Д402[Секция],"-",0)</f>
        <v>3</v>
      </c>
      <c r="C219" s="2">
        <f>_xlfn.XLOOKUP(наценка7[[#This Row],[№]],Д402[№],Д402[Этаж],"-",0)</f>
        <v>8</v>
      </c>
      <c r="D219" s="2">
        <f>_xlfn.XLOOKUP(наценка7[[#This Row],[№]],Д402[№],Д402[№ на этаже],"-",0)</f>
        <v>1</v>
      </c>
      <c r="E219" s="2">
        <f>_xlfn.XLOOKUP(наценка7[[#This Row],[№]],Д402[№],Д402[Тип кв],"-",0)</f>
        <v>1</v>
      </c>
      <c r="F219" s="51">
        <f>_xlfn.XLOOKUP(наценка7[[#This Row],[№]],Д402[№],Д402[Кухня],"-",0)</f>
        <v>16.2</v>
      </c>
      <c r="G219" s="51">
        <f>_xlfn.XLOOKUP(наценка7[[#This Row],[№]],Д402[№],Д402[Ванная],"-",0)</f>
        <v>4.09</v>
      </c>
      <c r="H219" s="51" t="s">
        <v>84</v>
      </c>
      <c r="I219" s="51"/>
      <c r="J219" s="51" t="s">
        <v>101</v>
      </c>
      <c r="K219" s="51" t="s">
        <v>101</v>
      </c>
      <c r="L219" s="51"/>
      <c r="M219" s="51" t="s">
        <v>83</v>
      </c>
      <c r="N219" s="51" t="s">
        <v>101</v>
      </c>
      <c r="O219" s="51" t="s">
        <v>119</v>
      </c>
      <c r="P219" s="51" t="s">
        <v>101</v>
      </c>
      <c r="Q219" s="129"/>
      <c r="R219" s="129"/>
      <c r="S219" s="51"/>
      <c r="T219" s="51">
        <f>_xlfn.XLOOKUP(наценка7[[#This Row],[№]],Д402[№],Д402[Расчетная проектная площадь],"-",0)</f>
        <v>44.25</v>
      </c>
      <c r="U219" s="17">
        <f t="shared" si="4"/>
        <v>89000</v>
      </c>
      <c r="V21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19" s="18">
        <f>наценка7[[#This Row],[Цена м2 базовая]]*наценка7[[#This Row],[Базовой K]]</f>
        <v>119260</v>
      </c>
      <c r="X21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1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1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1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1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1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1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1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19" s="55" t="str">
        <f>IF(наценка7[[#This Row],[Потолок ]]="ДА",коэффициенты!$C$13,"")</f>
        <v/>
      </c>
      <c r="AG21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1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1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1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1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1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1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19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1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19" s="52">
        <f>SUM(наценка7[[#This Row],[еврокухня]:[Лифт]])*наценка7[[#This Row],[Цена м2 с БK]]+наценка7[[#This Row],[Цена м2 с БK]]</f>
        <v>122837.8</v>
      </c>
      <c r="AQ219" s="51">
        <f>VLOOKUP(наценка7[[#This Row],[№]],Д402[],COLUMN(Д402[[#This Row],[утв цена м2]]),0)</f>
        <v>129715.6</v>
      </c>
      <c r="AR219" s="3">
        <f>наценка7[[#This Row],[утв цена м2]]*наценка7[[#This Row],[Расчетная проектная площадь]]</f>
        <v>5739915.2999999998</v>
      </c>
      <c r="AS219" s="27" t="str">
        <f>VLOOKUP(наценка7[[#This Row],[№]],Д402[],COLUMN('Реестр ОН'!$BA$1),0)</f>
        <v>Продажа</v>
      </c>
      <c r="AT219" s="281">
        <f>ROUND(наценка7[[#This Row],[Цена м2 с учетом всех K]]*наценка7[[#This Row],[Расчетная проектная площадь]],0)</f>
        <v>5435573</v>
      </c>
      <c r="AU219" s="286">
        <v>5435573</v>
      </c>
      <c r="AV219" s="286" t="b">
        <f>наценка7[[#This Row],[Аллио]]=наценка7[[#This Row],[Первичка тест]]</f>
        <v>1</v>
      </c>
    </row>
    <row r="220" spans="1:48" hidden="1" x14ac:dyDescent="0.25">
      <c r="A220" s="65">
        <v>218</v>
      </c>
      <c r="B220" s="2">
        <f>_xlfn.XLOOKUP(наценка7[[#This Row],[№]],Д402[№],Д402[Секция],"-",0)</f>
        <v>3</v>
      </c>
      <c r="C220" s="2">
        <f>_xlfn.XLOOKUP(наценка7[[#This Row],[№]],Д402[№],Д402[Этаж],"-",0)</f>
        <v>8</v>
      </c>
      <c r="D220" s="2">
        <f>_xlfn.XLOOKUP(наценка7[[#This Row],[№]],Д402[№],Д402[№ на этаже],"-",0)</f>
        <v>2</v>
      </c>
      <c r="E220" s="2">
        <f>_xlfn.XLOOKUP(наценка7[[#This Row],[№]],Д402[№],Д402[Тип кв],"-",0)</f>
        <v>1</v>
      </c>
      <c r="F220" s="51">
        <f>_xlfn.XLOOKUP(наценка7[[#This Row],[№]],Д402[№],Д402[Кухня],"-",0)</f>
        <v>15.1</v>
      </c>
      <c r="G220" s="51">
        <f>_xlfn.XLOOKUP(наценка7[[#This Row],[№]],Д402[№],Д402[Ванная],"-",0)</f>
        <v>4.22</v>
      </c>
      <c r="H220" s="51" t="s">
        <v>87</v>
      </c>
      <c r="I220" s="51"/>
      <c r="J220" s="51" t="s">
        <v>101</v>
      </c>
      <c r="K220" s="51" t="s">
        <v>101</v>
      </c>
      <c r="L220" s="51"/>
      <c r="M220" s="51" t="s">
        <v>83</v>
      </c>
      <c r="N220" s="51"/>
      <c r="O220" s="51" t="s">
        <v>119</v>
      </c>
      <c r="P220" s="51" t="s">
        <v>101</v>
      </c>
      <c r="Q220" s="129"/>
      <c r="R220" s="129"/>
      <c r="S220" s="51"/>
      <c r="T220" s="51">
        <f>_xlfn.XLOOKUP(наценка7[[#This Row],[№]],Д402[№],Д402[Расчетная проектная площадь],"-",0)</f>
        <v>36.64</v>
      </c>
      <c r="U220" s="17">
        <f t="shared" si="4"/>
        <v>89000</v>
      </c>
      <c r="V22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20" s="18">
        <f>наценка7[[#This Row],[Цена м2 базовая]]*наценка7[[#This Row],[Базовой K]]</f>
        <v>119260</v>
      </c>
      <c r="X22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2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2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2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0" s="55" t="str">
        <f>IF(наценка7[[#This Row],[Потолок ]]="ДА",коэффициенты!$C$13,"")</f>
        <v/>
      </c>
      <c r="AG22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2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2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0" s="52">
        <f>SUM(наценка7[[#This Row],[еврокухня]:[Лифт]])*наценка7[[#This Row],[Цена м2 с БK]]+наценка7[[#This Row],[Цена м2 с БK]]</f>
        <v>126415.6</v>
      </c>
      <c r="AQ220" s="51">
        <f>VLOOKUP(наценка7[[#This Row],[№]],Д402[],COLUMN(Д402[[#This Row],[утв цена м2]]),0)</f>
        <v>132128.54999999999</v>
      </c>
      <c r="AR220" s="3">
        <f>наценка7[[#This Row],[утв цена м2]]*наценка7[[#This Row],[Расчетная проектная площадь]]</f>
        <v>4841190.0719999997</v>
      </c>
      <c r="AS220" s="27" t="str">
        <f>VLOOKUP(наценка7[[#This Row],[№]],Д402[],COLUMN('Реестр ОН'!$BA$1),0)</f>
        <v>Продажа</v>
      </c>
      <c r="AT220" s="281">
        <f>ROUND(наценка7[[#This Row],[Цена м2 с учетом всех K]]*наценка7[[#This Row],[Расчетная проектная площадь]],0)</f>
        <v>4631868</v>
      </c>
      <c r="AU220" s="286">
        <v>4631868</v>
      </c>
      <c r="AV220" s="286" t="b">
        <f>наценка7[[#This Row],[Аллио]]=наценка7[[#This Row],[Первичка тест]]</f>
        <v>1</v>
      </c>
    </row>
    <row r="221" spans="1:48" hidden="1" x14ac:dyDescent="0.25">
      <c r="A221" s="65">
        <v>219</v>
      </c>
      <c r="B221" s="2">
        <f>_xlfn.XLOOKUP(наценка7[[#This Row],[№]],Д402[№],Д402[Секция],"-",0)</f>
        <v>3</v>
      </c>
      <c r="C221" s="2">
        <f>_xlfn.XLOOKUP(наценка7[[#This Row],[№]],Д402[№],Д402[Этаж],"-",0)</f>
        <v>8</v>
      </c>
      <c r="D221" s="2">
        <f>_xlfn.XLOOKUP(наценка7[[#This Row],[№]],Д402[№],Д402[№ на этаже],"-",0)</f>
        <v>3</v>
      </c>
      <c r="E221" s="2">
        <f>_xlfn.XLOOKUP(наценка7[[#This Row],[№]],Д402[№],Д402[Тип кв],"-",0)</f>
        <v>2</v>
      </c>
      <c r="F221" s="51">
        <f>_xlfn.XLOOKUP(наценка7[[#This Row],[№]],Д402[№],Д402[Кухня],"-",0)</f>
        <v>14.7</v>
      </c>
      <c r="G221" s="51">
        <f>_xlfn.XLOOKUP(наценка7[[#This Row],[№]],Д402[№],Д402[Ванная],"-",0)</f>
        <v>4.21</v>
      </c>
      <c r="H221" s="51" t="s">
        <v>87</v>
      </c>
      <c r="I221" s="51"/>
      <c r="J221" s="51" t="s">
        <v>101</v>
      </c>
      <c r="K221" s="51"/>
      <c r="L221" s="51"/>
      <c r="M221" s="51" t="s">
        <v>83</v>
      </c>
      <c r="N221" s="51"/>
      <c r="O221" s="51" t="s">
        <v>119</v>
      </c>
      <c r="P221" s="51" t="s">
        <v>101</v>
      </c>
      <c r="Q221" s="129"/>
      <c r="R221" s="129"/>
      <c r="S221" s="51"/>
      <c r="T221" s="51">
        <f>_xlfn.XLOOKUP(наценка7[[#This Row],[№]],Д402[№],Д402[Расчетная проектная площадь],"-",0)</f>
        <v>54.44</v>
      </c>
      <c r="U221" s="17">
        <f t="shared" si="4"/>
        <v>89000</v>
      </c>
      <c r="V22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21" s="18">
        <f>наценка7[[#This Row],[Цена м2 базовая]]*наценка7[[#This Row],[Базовой K]]</f>
        <v>113030</v>
      </c>
      <c r="X22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2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1" s="55" t="str">
        <f>IF(наценка7[[#This Row],[Потолок ]]="ДА",коэффициенты!$C$13,"")</f>
        <v/>
      </c>
      <c r="AG22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2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2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1" s="52">
        <f>SUM(наценка7[[#This Row],[еврокухня]:[Лифт]])*наценка7[[#This Row],[Цена м2 с БK]]+наценка7[[#This Row],[Цена м2 с БK]]</f>
        <v>119811.8</v>
      </c>
      <c r="AQ221" s="51">
        <f>VLOOKUP(наценка7[[#This Row],[№]],Д402[],COLUMN(Д402[[#This Row],[утв цена м2]]),0)</f>
        <v>124178.15</v>
      </c>
      <c r="AR221" s="3">
        <f>наценка7[[#This Row],[утв цена м2]]*наценка7[[#This Row],[Расчетная проектная площадь]]</f>
        <v>6760258.4859999996</v>
      </c>
      <c r="AS221" s="27" t="str">
        <f>VLOOKUP(наценка7[[#This Row],[№]],Д402[],COLUMN('Реестр ОН'!$BA$1),0)</f>
        <v>Продажа</v>
      </c>
      <c r="AT221" s="281">
        <f>ROUND(наценка7[[#This Row],[Цена м2 с учетом всех K]]*наценка7[[#This Row],[Расчетная проектная площадь]],0)</f>
        <v>6522554</v>
      </c>
      <c r="AU221" s="286">
        <v>6522554</v>
      </c>
      <c r="AV221" s="286" t="b">
        <f>наценка7[[#This Row],[Аллио]]=наценка7[[#This Row],[Первичка тест]]</f>
        <v>1</v>
      </c>
    </row>
    <row r="222" spans="1:48" hidden="1" x14ac:dyDescent="0.25">
      <c r="A222" s="65">
        <v>220</v>
      </c>
      <c r="B222" s="2">
        <f>_xlfn.XLOOKUP(наценка7[[#This Row],[№]],Д402[№],Д402[Секция],"-",0)</f>
        <v>3</v>
      </c>
      <c r="C222" s="2">
        <f>_xlfn.XLOOKUP(наценка7[[#This Row],[№]],Д402[№],Д402[Этаж],"-",0)</f>
        <v>8</v>
      </c>
      <c r="D222" s="2">
        <f>_xlfn.XLOOKUP(наценка7[[#This Row],[№]],Д402[№],Д402[№ на этаже],"-",0)</f>
        <v>4</v>
      </c>
      <c r="E222" s="2">
        <f>_xlfn.XLOOKUP(наценка7[[#This Row],[№]],Д402[№],Д402[Тип кв],"-",0)</f>
        <v>1</v>
      </c>
      <c r="F222" s="51">
        <f>_xlfn.XLOOKUP(наценка7[[#This Row],[№]],Д402[№],Д402[Кухня],"-",0)</f>
        <v>13.99</v>
      </c>
      <c r="G222" s="51">
        <f>_xlfn.XLOOKUP(наценка7[[#This Row],[№]],Д402[№],Д402[Ванная],"-",0)</f>
        <v>3.9</v>
      </c>
      <c r="H222" s="51" t="s">
        <v>87</v>
      </c>
      <c r="I222" s="51"/>
      <c r="J222" s="51" t="s">
        <v>101</v>
      </c>
      <c r="K222" s="51"/>
      <c r="L222" s="51"/>
      <c r="M222" s="51" t="s">
        <v>83</v>
      </c>
      <c r="N222" s="51"/>
      <c r="O222" s="51" t="s">
        <v>119</v>
      </c>
      <c r="P222" s="51" t="s">
        <v>101</v>
      </c>
      <c r="Q222" s="129"/>
      <c r="R222" s="129"/>
      <c r="S222" s="51"/>
      <c r="T222" s="51">
        <f>_xlfn.XLOOKUP(наценка7[[#This Row],[№]],Д402[№],Д402[Расчетная проектная площадь],"-",0)</f>
        <v>36.39</v>
      </c>
      <c r="U222" s="17">
        <f t="shared" si="4"/>
        <v>89000</v>
      </c>
      <c r="V22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22" s="18">
        <f>наценка7[[#This Row],[Цена м2 базовая]]*наценка7[[#This Row],[Базовой K]]</f>
        <v>119260</v>
      </c>
      <c r="X22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2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22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2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2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2" s="55" t="str">
        <f>IF(наценка7[[#This Row],[Потолок ]]="ДА",коэффициенты!$C$13,"")</f>
        <v/>
      </c>
      <c r="AG22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2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2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2" s="52">
        <f>SUM(наценка7[[#This Row],[еврокухня]:[Лифт]])*наценка7[[#This Row],[Цена м2 с БK]]+наценка7[[#This Row],[Цена м2 с БK]]</f>
        <v>125223</v>
      </c>
      <c r="AQ222" s="51">
        <f>VLOOKUP(наценка7[[#This Row],[№]],Д402[],COLUMN(Д402[[#This Row],[утв цена м2]]),0)</f>
        <v>130932.21</v>
      </c>
      <c r="AR222" s="3">
        <f>наценка7[[#This Row],[утв цена м2]]*наценка7[[#This Row],[Расчетная проектная площадь]]</f>
        <v>4764623.1219000006</v>
      </c>
      <c r="AS222" s="27" t="str">
        <f>VLOOKUP(наценка7[[#This Row],[№]],Д402[],COLUMN('Реестр ОН'!$BA$1),0)</f>
        <v>Стр. Резерв</v>
      </c>
      <c r="AT222" s="281">
        <f>ROUND(наценка7[[#This Row],[Цена м2 с учетом всех K]]*наценка7[[#This Row],[Расчетная проектная площадь]],0)</f>
        <v>4556865</v>
      </c>
      <c r="AU222" s="286">
        <v>4556865</v>
      </c>
      <c r="AV222" s="286" t="b">
        <f>наценка7[[#This Row],[Аллио]]=наценка7[[#This Row],[Первичка тест]]</f>
        <v>1</v>
      </c>
    </row>
    <row r="223" spans="1:48" x14ac:dyDescent="0.25">
      <c r="A223" s="65">
        <v>221</v>
      </c>
      <c r="B223" s="2">
        <f>_xlfn.XLOOKUP(наценка7[[#This Row],[№]],Д402[№],Д402[Секция],"-",0)</f>
        <v>3</v>
      </c>
      <c r="C223" s="2">
        <f>_xlfn.XLOOKUP(наценка7[[#This Row],[№]],Д402[№],Д402[Этаж],"-",0)</f>
        <v>8</v>
      </c>
      <c r="D223" s="2">
        <f>_xlfn.XLOOKUP(наценка7[[#This Row],[№]],Д402[№],Д402[№ на этаже],"-",0)</f>
        <v>5</v>
      </c>
      <c r="E223" s="2">
        <f>_xlfn.XLOOKUP(наценка7[[#This Row],[№]],Д402[№],Д402[Тип кв],"-",0)</f>
        <v>3</v>
      </c>
      <c r="F223" s="51">
        <f>_xlfn.XLOOKUP(наценка7[[#This Row],[№]],Д402[№],Д402[Кухня],"-",0)</f>
        <v>11.42</v>
      </c>
      <c r="G223" s="51">
        <f>_xlfn.XLOOKUP(наценка7[[#This Row],[№]],Д402[№],Д402[Ванная],"-",0)</f>
        <v>3.9</v>
      </c>
      <c r="H223" s="51" t="s">
        <v>89</v>
      </c>
      <c r="I223" s="51"/>
      <c r="J223" s="51" t="s">
        <v>101</v>
      </c>
      <c r="K223" s="51"/>
      <c r="L223" s="51"/>
      <c r="M223" s="51" t="s">
        <v>88</v>
      </c>
      <c r="N223" s="51"/>
      <c r="O223" s="51" t="s">
        <v>101</v>
      </c>
      <c r="P223" s="51" t="s">
        <v>101</v>
      </c>
      <c r="Q223" s="129"/>
      <c r="R223" s="51" t="s">
        <v>101</v>
      </c>
      <c r="S223" s="51"/>
      <c r="T223" s="51">
        <f>_xlfn.XLOOKUP(наценка7[[#This Row],[№]],Д402[№],Д402[Расчетная проектная площадь],"-",0)</f>
        <v>78.16</v>
      </c>
      <c r="U223" s="17">
        <f t="shared" si="4"/>
        <v>89000</v>
      </c>
      <c r="V22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223" s="18">
        <f>наценка7[[#This Row],[Цена м2 базовая]]*наценка7[[#This Row],[Базовой K]]</f>
        <v>103240</v>
      </c>
      <c r="X22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2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3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23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22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3" s="55" t="str">
        <f>IF(наценка7[[#This Row],[Потолок ]]="ДА",коэффициенты!$C$13,"")</f>
        <v/>
      </c>
      <c r="AG22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2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3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22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2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3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22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3" s="52">
        <f>SUM(наценка7[[#This Row],[еврокухня]:[Лифт]])*наценка7[[#This Row],[Цена м2 с БK]]+наценка7[[#This Row],[Цена м2 с БK]]</f>
        <v>108402</v>
      </c>
      <c r="AQ223" s="51">
        <f>VLOOKUP(наценка7[[#This Row],[№]],Д402[],COLUMN(Д402[[#This Row],[утв цена м2]]),0)</f>
        <v>111827.19</v>
      </c>
      <c r="AR223" s="3">
        <f>наценка7[[#This Row],[утв цена м2]]*наценка7[[#This Row],[Расчетная проектная площадь]]</f>
        <v>8740413.1703999992</v>
      </c>
      <c r="AS223" s="27" t="str">
        <f>VLOOKUP(наценка7[[#This Row],[№]],Д402[],COLUMN('Реестр ОН'!$BA$1),0)</f>
        <v>Свободно</v>
      </c>
      <c r="AT223" s="281">
        <f>ROUND(наценка7[[#This Row],[Цена м2 с учетом всех K]]*наценка7[[#This Row],[Расчетная проектная площадь]],0)</f>
        <v>8472700</v>
      </c>
      <c r="AU223" s="286">
        <v>8472700</v>
      </c>
      <c r="AV223" s="286" t="b">
        <f>наценка7[[#This Row],[Аллио]]=наценка7[[#This Row],[Первичка тест]]</f>
        <v>1</v>
      </c>
    </row>
    <row r="224" spans="1:48" hidden="1" x14ac:dyDescent="0.25">
      <c r="A224" s="65">
        <v>222</v>
      </c>
      <c r="B224" s="2">
        <f>_xlfn.XLOOKUP(наценка7[[#This Row],[№]],Д402[№],Д402[Секция],"-",0)</f>
        <v>3</v>
      </c>
      <c r="C224" s="2">
        <f>_xlfn.XLOOKUP(наценка7[[#This Row],[№]],Д402[№],Д402[Этаж],"-",0)</f>
        <v>8</v>
      </c>
      <c r="D224" s="2">
        <f>_xlfn.XLOOKUP(наценка7[[#This Row],[№]],Д402[№],Д402[№ на этаже],"-",0)</f>
        <v>6</v>
      </c>
      <c r="E224" s="2">
        <f>_xlfn.XLOOKUP(наценка7[[#This Row],[№]],Д402[№],Д402[Тип кв],"-",0)</f>
        <v>0</v>
      </c>
      <c r="F224" s="51">
        <f>_xlfn.XLOOKUP(наценка7[[#This Row],[№]],Д402[№],Д402[Кухня],"-",0)</f>
        <v>5</v>
      </c>
      <c r="G224" s="51">
        <f>_xlfn.XLOOKUP(наценка7[[#This Row],[№]],Д402[№],Д402[Ванная],"-",0)</f>
        <v>4.2699999999999996</v>
      </c>
      <c r="H224" s="51" t="s">
        <v>84</v>
      </c>
      <c r="I224" s="51"/>
      <c r="J224" s="51"/>
      <c r="K224" s="51" t="s">
        <v>101</v>
      </c>
      <c r="L224" s="51" t="s">
        <v>119</v>
      </c>
      <c r="M224" s="51" t="s">
        <v>83</v>
      </c>
      <c r="N224" s="51"/>
      <c r="O224" s="51" t="s">
        <v>119</v>
      </c>
      <c r="P224" s="51"/>
      <c r="Q224" s="51"/>
      <c r="R224" s="51" t="s">
        <v>101</v>
      </c>
      <c r="S224" s="51" t="s">
        <v>101</v>
      </c>
      <c r="T224" s="51">
        <f>_xlfn.XLOOKUP(наценка7[[#This Row],[№]],Д402[№],Д402[Расчетная проектная площадь],"-",0)</f>
        <v>29.73</v>
      </c>
      <c r="U224" s="17">
        <f t="shared" si="4"/>
        <v>89000</v>
      </c>
      <c r="V22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24" s="18">
        <f>наценка7[[#This Row],[Цена м2 базовая]]*наценка7[[#This Row],[Базовой K]]</f>
        <v>139730</v>
      </c>
      <c r="X22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2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2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2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4" s="55" t="str">
        <f>IF(наценка7[[#This Row],[Потолок ]]="ДА",коэффициенты!$C$13,"")</f>
        <v/>
      </c>
      <c r="AG22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2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2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2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2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4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24" s="52">
        <f>SUM(наценка7[[#This Row],[еврокухня]:[Лифт]])*наценка7[[#This Row],[Цена м2 с БK]]+наценка7[[#This Row],[Цена м2 с БK]]</f>
        <v>138332.70000000001</v>
      </c>
      <c r="AQ224" s="51">
        <f>VLOOKUP(наценка7[[#This Row],[№]],Д402[],COLUMN(Д402[[#This Row],[утв цена м2]]),0)</f>
        <v>139565.20000000001</v>
      </c>
      <c r="AR224" s="3">
        <f>наценка7[[#This Row],[утв цена м2]]*наценка7[[#This Row],[Расчетная проектная площадь]]</f>
        <v>4149273.3960000002</v>
      </c>
      <c r="AS224" s="27" t="str">
        <f>VLOOKUP(наценка7[[#This Row],[№]],Д402[],COLUMN('Реестр ОН'!$BA$1),0)</f>
        <v>Стр. Резерв</v>
      </c>
      <c r="AT224" s="281">
        <f>ROUND(наценка7[[#This Row],[Цена м2 с учетом всех K]]*наценка7[[#This Row],[Расчетная проектная площадь]],0)</f>
        <v>4112631</v>
      </c>
      <c r="AU224" s="286">
        <v>4112631</v>
      </c>
      <c r="AV224" s="286" t="b">
        <f>наценка7[[#This Row],[Аллио]]=наценка7[[#This Row],[Первичка тест]]</f>
        <v>1</v>
      </c>
    </row>
    <row r="225" spans="1:48" hidden="1" x14ac:dyDescent="0.25">
      <c r="A225" s="65">
        <v>223</v>
      </c>
      <c r="B225" s="2">
        <f>_xlfn.XLOOKUP(наценка7[[#This Row],[№]],Д402[№],Д402[Секция],"-",0)</f>
        <v>3</v>
      </c>
      <c r="C225" s="2">
        <f>_xlfn.XLOOKUP(наценка7[[#This Row],[№]],Д402[№],Д402[Этаж],"-",0)</f>
        <v>9</v>
      </c>
      <c r="D225" s="2">
        <f>_xlfn.XLOOKUP(наценка7[[#This Row],[№]],Д402[№],Д402[№ на этаже],"-",0)</f>
        <v>1</v>
      </c>
      <c r="E225" s="2">
        <f>_xlfn.XLOOKUP(наценка7[[#This Row],[№]],Д402[№],Д402[Тип кв],"-",0)</f>
        <v>1</v>
      </c>
      <c r="F225" s="51">
        <f>_xlfn.XLOOKUP(наценка7[[#This Row],[№]],Д402[№],Д402[Кухня],"-",0)</f>
        <v>16.2</v>
      </c>
      <c r="G225" s="51">
        <f>_xlfn.XLOOKUP(наценка7[[#This Row],[№]],Д402[№],Д402[Ванная],"-",0)</f>
        <v>4.09</v>
      </c>
      <c r="H225" s="51" t="s">
        <v>84</v>
      </c>
      <c r="I225" s="51"/>
      <c r="J225" s="51" t="s">
        <v>101</v>
      </c>
      <c r="K225" s="51" t="s">
        <v>101</v>
      </c>
      <c r="L225" s="51"/>
      <c r="M225" s="51" t="s">
        <v>83</v>
      </c>
      <c r="N225" s="51" t="s">
        <v>101</v>
      </c>
      <c r="O225" s="51" t="s">
        <v>119</v>
      </c>
      <c r="P225" s="51" t="s">
        <v>101</v>
      </c>
      <c r="Q225" s="129"/>
      <c r="R225" s="129"/>
      <c r="S225" s="51"/>
      <c r="T225" s="51">
        <f>_xlfn.XLOOKUP(наценка7[[#This Row],[№]],Д402[№],Д402[Расчетная проектная площадь],"-",0)</f>
        <v>44.25</v>
      </c>
      <c r="U225" s="17">
        <f t="shared" si="4"/>
        <v>89000</v>
      </c>
      <c r="V22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25" s="18">
        <f>наценка7[[#This Row],[Цена м2 базовая]]*наценка7[[#This Row],[Базовой K]]</f>
        <v>119260</v>
      </c>
      <c r="X22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2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2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5" s="55" t="str">
        <f>IF(наценка7[[#This Row],[Потолок ]]="ДА",коэффициенты!$C$13,"")</f>
        <v/>
      </c>
      <c r="AG22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2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2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2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5" s="52">
        <f>SUM(наценка7[[#This Row],[еврокухня]:[Лифт]])*наценка7[[#This Row],[Цена м2 с БK]]+наценка7[[#This Row],[Цена м2 с БK]]</f>
        <v>122837.8</v>
      </c>
      <c r="AQ225" s="51">
        <f>VLOOKUP(наценка7[[#This Row],[№]],Д402[],COLUMN(Д402[[#This Row],[утв цена м2]]),0)</f>
        <v>126294.56</v>
      </c>
      <c r="AR225" s="3">
        <f>наценка7[[#This Row],[утв цена м2]]*наценка7[[#This Row],[Расчетная проектная площадь]]</f>
        <v>5588534.2800000003</v>
      </c>
      <c r="AS225" s="27" t="str">
        <f>VLOOKUP(наценка7[[#This Row],[№]],Д402[],COLUMN('Реестр ОН'!$BA$1),0)</f>
        <v>Продажа</v>
      </c>
      <c r="AT225" s="281">
        <f>ROUND(наценка7[[#This Row],[Цена м2 с учетом всех K]]*наценка7[[#This Row],[Расчетная проектная площадь]],0)</f>
        <v>5435573</v>
      </c>
      <c r="AU225" s="286">
        <v>5435573</v>
      </c>
      <c r="AV225" s="286" t="b">
        <f>наценка7[[#This Row],[Аллио]]=наценка7[[#This Row],[Первичка тест]]</f>
        <v>1</v>
      </c>
    </row>
    <row r="226" spans="1:48" hidden="1" x14ac:dyDescent="0.25">
      <c r="A226" s="65">
        <v>224</v>
      </c>
      <c r="B226" s="2">
        <f>_xlfn.XLOOKUP(наценка7[[#This Row],[№]],Д402[№],Д402[Секция],"-",0)</f>
        <v>3</v>
      </c>
      <c r="C226" s="2">
        <f>_xlfn.XLOOKUP(наценка7[[#This Row],[№]],Д402[№],Д402[Этаж],"-",0)</f>
        <v>9</v>
      </c>
      <c r="D226" s="2">
        <f>_xlfn.XLOOKUP(наценка7[[#This Row],[№]],Д402[№],Д402[№ на этаже],"-",0)</f>
        <v>2</v>
      </c>
      <c r="E226" s="2">
        <f>_xlfn.XLOOKUP(наценка7[[#This Row],[№]],Д402[№],Д402[Тип кв],"-",0)</f>
        <v>1</v>
      </c>
      <c r="F226" s="51">
        <f>_xlfn.XLOOKUP(наценка7[[#This Row],[№]],Д402[№],Д402[Кухня],"-",0)</f>
        <v>15.1</v>
      </c>
      <c r="G226" s="51">
        <f>_xlfn.XLOOKUP(наценка7[[#This Row],[№]],Д402[№],Д402[Ванная],"-",0)</f>
        <v>4.22</v>
      </c>
      <c r="H226" s="51" t="s">
        <v>87</v>
      </c>
      <c r="I226" s="51"/>
      <c r="J226" s="51" t="s">
        <v>101</v>
      </c>
      <c r="K226" s="51" t="s">
        <v>101</v>
      </c>
      <c r="L226" s="51"/>
      <c r="M226" s="51" t="s">
        <v>83</v>
      </c>
      <c r="N226" s="51"/>
      <c r="O226" s="51" t="s">
        <v>119</v>
      </c>
      <c r="P226" s="51" t="s">
        <v>101</v>
      </c>
      <c r="Q226" s="129"/>
      <c r="R226" s="129"/>
      <c r="S226" s="51"/>
      <c r="T226" s="51">
        <f>_xlfn.XLOOKUP(наценка7[[#This Row],[№]],Д402[№],Д402[Расчетная проектная площадь],"-",0)</f>
        <v>36.64</v>
      </c>
      <c r="U226" s="17">
        <f t="shared" si="4"/>
        <v>89000</v>
      </c>
      <c r="V22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26" s="18">
        <f>наценка7[[#This Row],[Цена м2 базовая]]*наценка7[[#This Row],[Базовой K]]</f>
        <v>119260</v>
      </c>
      <c r="X22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2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2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2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6" s="55" t="str">
        <f>IF(наценка7[[#This Row],[Потолок ]]="ДА",коэффициенты!$C$13,"")</f>
        <v/>
      </c>
      <c r="AG22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2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2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6" s="52">
        <f>SUM(наценка7[[#This Row],[еврокухня]:[Лифт]])*наценка7[[#This Row],[Цена м2 с БK]]+наценка7[[#This Row],[Цена м2 с БK]]</f>
        <v>126415.6</v>
      </c>
      <c r="AQ226" s="51">
        <f>VLOOKUP(наценка7[[#This Row],[№]],Д402[],COLUMN(Д402[[#This Row],[утв цена м2]]),0)</f>
        <v>134784.85</v>
      </c>
      <c r="AR226" s="3">
        <f>наценка7[[#This Row],[утв цена м2]]*наценка7[[#This Row],[Расчетная проектная площадь]]</f>
        <v>4938516.9040000001</v>
      </c>
      <c r="AS226" s="27" t="str">
        <f>VLOOKUP(наценка7[[#This Row],[№]],Д402[],COLUMN('Реестр ОН'!$BA$1),0)</f>
        <v>Продажа</v>
      </c>
      <c r="AT226" s="281">
        <f>ROUND(наценка7[[#This Row],[Цена м2 с учетом всех K]]*наценка7[[#This Row],[Расчетная проектная площадь]],0)</f>
        <v>4631868</v>
      </c>
      <c r="AU226" s="286">
        <v>4631868</v>
      </c>
      <c r="AV226" s="286" t="b">
        <f>наценка7[[#This Row],[Аллио]]=наценка7[[#This Row],[Первичка тест]]</f>
        <v>1</v>
      </c>
    </row>
    <row r="227" spans="1:48" hidden="1" x14ac:dyDescent="0.25">
      <c r="A227" s="65">
        <v>225</v>
      </c>
      <c r="B227" s="2">
        <f>_xlfn.XLOOKUP(наценка7[[#This Row],[№]],Д402[№],Д402[Секция],"-",0)</f>
        <v>3</v>
      </c>
      <c r="C227" s="2">
        <f>_xlfn.XLOOKUP(наценка7[[#This Row],[№]],Д402[№],Д402[Этаж],"-",0)</f>
        <v>9</v>
      </c>
      <c r="D227" s="2">
        <f>_xlfn.XLOOKUP(наценка7[[#This Row],[№]],Д402[№],Д402[№ на этаже],"-",0)</f>
        <v>3</v>
      </c>
      <c r="E227" s="2">
        <f>_xlfn.XLOOKUP(наценка7[[#This Row],[№]],Д402[№],Д402[Тип кв],"-",0)</f>
        <v>2</v>
      </c>
      <c r="F227" s="51">
        <f>_xlfn.XLOOKUP(наценка7[[#This Row],[№]],Д402[№],Д402[Кухня],"-",0)</f>
        <v>14.7</v>
      </c>
      <c r="G227" s="51">
        <f>_xlfn.XLOOKUP(наценка7[[#This Row],[№]],Д402[№],Д402[Ванная],"-",0)</f>
        <v>4.21</v>
      </c>
      <c r="H227" s="51" t="s">
        <v>87</v>
      </c>
      <c r="I227" s="51"/>
      <c r="J227" s="51" t="s">
        <v>101</v>
      </c>
      <c r="K227" s="51"/>
      <c r="L227" s="51"/>
      <c r="M227" s="51" t="s">
        <v>83</v>
      </c>
      <c r="N227" s="51"/>
      <c r="O227" s="51" t="s">
        <v>119</v>
      </c>
      <c r="P227" s="51" t="s">
        <v>101</v>
      </c>
      <c r="Q227" s="129"/>
      <c r="R227" s="129"/>
      <c r="S227" s="51"/>
      <c r="T227" s="51">
        <f>_xlfn.XLOOKUP(наценка7[[#This Row],[№]],Д402[№],Д402[Расчетная проектная площадь],"-",0)</f>
        <v>54.44</v>
      </c>
      <c r="U227" s="17">
        <f t="shared" si="4"/>
        <v>89000</v>
      </c>
      <c r="V22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27" s="18">
        <f>наценка7[[#This Row],[Цена м2 базовая]]*наценка7[[#This Row],[Базовой K]]</f>
        <v>113030</v>
      </c>
      <c r="X22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2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2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7" s="55" t="str">
        <f>IF(наценка7[[#This Row],[Потолок ]]="ДА",коэффициенты!$C$13,"")</f>
        <v/>
      </c>
      <c r="AG22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2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2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7" s="52">
        <f>SUM(наценка7[[#This Row],[еврокухня]:[Лифт]])*наценка7[[#This Row],[Цена м2 с БK]]+наценка7[[#This Row],[Цена м2 с БK]]</f>
        <v>119811.8</v>
      </c>
      <c r="AQ227" s="51">
        <f>VLOOKUP(наценка7[[#This Row],[№]],Д402[],COLUMN(Д402[[#This Row],[утв цена м2]]),0)</f>
        <v>124178.15</v>
      </c>
      <c r="AR227" s="3">
        <f>наценка7[[#This Row],[утв цена м2]]*наценка7[[#This Row],[Расчетная проектная площадь]]</f>
        <v>6760258.4859999996</v>
      </c>
      <c r="AS227" s="27" t="str">
        <f>VLOOKUP(наценка7[[#This Row],[№]],Д402[],COLUMN('Реестр ОН'!$BA$1),0)</f>
        <v>Продажа</v>
      </c>
      <c r="AT227" s="281">
        <f>ROUND(наценка7[[#This Row],[Цена м2 с учетом всех K]]*наценка7[[#This Row],[Расчетная проектная площадь]],0)</f>
        <v>6522554</v>
      </c>
      <c r="AU227" s="286">
        <v>6522554</v>
      </c>
      <c r="AV227" s="286" t="b">
        <f>наценка7[[#This Row],[Аллио]]=наценка7[[#This Row],[Первичка тест]]</f>
        <v>1</v>
      </c>
    </row>
    <row r="228" spans="1:48" hidden="1" x14ac:dyDescent="0.25">
      <c r="A228" s="65">
        <v>226</v>
      </c>
      <c r="B228" s="2">
        <f>_xlfn.XLOOKUP(наценка7[[#This Row],[№]],Д402[№],Д402[Секция],"-",0)</f>
        <v>3</v>
      </c>
      <c r="C228" s="2">
        <f>_xlfn.XLOOKUP(наценка7[[#This Row],[№]],Д402[№],Д402[Этаж],"-",0)</f>
        <v>9</v>
      </c>
      <c r="D228" s="2">
        <f>_xlfn.XLOOKUP(наценка7[[#This Row],[№]],Д402[№],Д402[№ на этаже],"-",0)</f>
        <v>4</v>
      </c>
      <c r="E228" s="2">
        <f>_xlfn.XLOOKUP(наценка7[[#This Row],[№]],Д402[№],Д402[Тип кв],"-",0)</f>
        <v>1</v>
      </c>
      <c r="F228" s="51">
        <f>_xlfn.XLOOKUP(наценка7[[#This Row],[№]],Д402[№],Д402[Кухня],"-",0)</f>
        <v>13.99</v>
      </c>
      <c r="G228" s="51">
        <f>_xlfn.XLOOKUP(наценка7[[#This Row],[№]],Д402[№],Д402[Ванная],"-",0)</f>
        <v>3.9</v>
      </c>
      <c r="H228" s="51" t="s">
        <v>87</v>
      </c>
      <c r="I228" s="51"/>
      <c r="J228" s="51" t="s">
        <v>101</v>
      </c>
      <c r="K228" s="51"/>
      <c r="L228" s="51"/>
      <c r="M228" s="51" t="s">
        <v>83</v>
      </c>
      <c r="N228" s="51"/>
      <c r="O228" s="51" t="s">
        <v>119</v>
      </c>
      <c r="P228" s="51" t="s">
        <v>101</v>
      </c>
      <c r="Q228" s="129"/>
      <c r="R228" s="129"/>
      <c r="S228" s="51"/>
      <c r="T228" s="51">
        <f>_xlfn.XLOOKUP(наценка7[[#This Row],[№]],Д402[№],Д402[Расчетная проектная площадь],"-",0)</f>
        <v>36.39</v>
      </c>
      <c r="U228" s="17">
        <f t="shared" si="4"/>
        <v>89000</v>
      </c>
      <c r="V22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28" s="18">
        <f>наценка7[[#This Row],[Цена м2 базовая]]*наценка7[[#This Row],[Базовой K]]</f>
        <v>119260</v>
      </c>
      <c r="X22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28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28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2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2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2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8" s="55" t="str">
        <f>IF(наценка7[[#This Row],[Потолок ]]="ДА",коэффициенты!$C$13,"")</f>
        <v/>
      </c>
      <c r="AG22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2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2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2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2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8" s="52">
        <f>SUM(наценка7[[#This Row],[еврокухня]:[Лифт]])*наценка7[[#This Row],[Цена м2 с БK]]+наценка7[[#This Row],[Цена м2 с БK]]</f>
        <v>125223</v>
      </c>
      <c r="AQ228" s="51">
        <f>VLOOKUP(наценка7[[#This Row],[№]],Д402[],COLUMN(Д402[[#This Row],[утв цена м2]]),0)</f>
        <v>130932.21</v>
      </c>
      <c r="AR228" s="3">
        <f>наценка7[[#This Row],[утв цена м2]]*наценка7[[#This Row],[Расчетная проектная площадь]]</f>
        <v>4764623.1219000006</v>
      </c>
      <c r="AS228" s="27" t="str">
        <f>VLOOKUP(наценка7[[#This Row],[№]],Д402[],COLUMN('Реестр ОН'!$BA$1),0)</f>
        <v>Гарантированная бронь</v>
      </c>
      <c r="AT228" s="281">
        <f>ROUND(наценка7[[#This Row],[Цена м2 с учетом всех K]]*наценка7[[#This Row],[Расчетная проектная площадь]],0)</f>
        <v>4556865</v>
      </c>
      <c r="AU228" s="286">
        <v>4556865</v>
      </c>
      <c r="AV228" s="286" t="b">
        <f>наценка7[[#This Row],[Аллио]]=наценка7[[#This Row],[Первичка тест]]</f>
        <v>1</v>
      </c>
    </row>
    <row r="229" spans="1:48" x14ac:dyDescent="0.25">
      <c r="A229" s="65">
        <v>227</v>
      </c>
      <c r="B229" s="2">
        <f>_xlfn.XLOOKUP(наценка7[[#This Row],[№]],Д402[№],Д402[Секция],"-",0)</f>
        <v>3</v>
      </c>
      <c r="C229" s="2">
        <f>_xlfn.XLOOKUP(наценка7[[#This Row],[№]],Д402[№],Д402[Этаж],"-",0)</f>
        <v>9</v>
      </c>
      <c r="D229" s="2">
        <f>_xlfn.XLOOKUP(наценка7[[#This Row],[№]],Д402[№],Д402[№ на этаже],"-",0)</f>
        <v>5</v>
      </c>
      <c r="E229" s="2">
        <f>_xlfn.XLOOKUP(наценка7[[#This Row],[№]],Д402[№],Д402[Тип кв],"-",0)</f>
        <v>3</v>
      </c>
      <c r="F229" s="51">
        <f>_xlfn.XLOOKUP(наценка7[[#This Row],[№]],Д402[№],Д402[Кухня],"-",0)</f>
        <v>11.42</v>
      </c>
      <c r="G229" s="51">
        <f>_xlfn.XLOOKUP(наценка7[[#This Row],[№]],Д402[№],Д402[Ванная],"-",0)</f>
        <v>3.9</v>
      </c>
      <c r="H229" s="51" t="s">
        <v>89</v>
      </c>
      <c r="I229" s="51"/>
      <c r="J229" s="51" t="s">
        <v>101</v>
      </c>
      <c r="K229" s="51"/>
      <c r="L229" s="51"/>
      <c r="M229" s="51" t="s">
        <v>88</v>
      </c>
      <c r="N229" s="51"/>
      <c r="O229" s="51" t="s">
        <v>101</v>
      </c>
      <c r="P229" s="51" t="s">
        <v>101</v>
      </c>
      <c r="Q229" s="129"/>
      <c r="R229" s="51" t="s">
        <v>101</v>
      </c>
      <c r="S229" s="51"/>
      <c r="T229" s="51">
        <f>_xlfn.XLOOKUP(наценка7[[#This Row],[№]],Д402[№],Д402[Расчетная проектная площадь],"-",0)</f>
        <v>78.16</v>
      </c>
      <c r="U229" s="17">
        <f t="shared" si="4"/>
        <v>89000</v>
      </c>
      <c r="V22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1.1599999999999999</v>
      </c>
      <c r="W229" s="18">
        <f>наценка7[[#This Row],[Цена м2 базовая]]*наценка7[[#This Row],[Базовой K]]</f>
        <v>103240</v>
      </c>
      <c r="X22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2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29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29" s="55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>0.01</v>
      </c>
      <c r="AB22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2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2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2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29" s="55" t="str">
        <f>IF(наценка7[[#This Row],[Потолок ]]="ДА",коэффициенты!$C$13,"")</f>
        <v/>
      </c>
      <c r="AG22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2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29" s="53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>0.01</v>
      </c>
      <c r="AJ22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2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2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29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0</v>
      </c>
      <c r="AN22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2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29" s="52">
        <f>SUM(наценка7[[#This Row],[еврокухня]:[Лифт]])*наценка7[[#This Row],[Цена м2 с БK]]+наценка7[[#This Row],[Цена м2 с БK]]</f>
        <v>108402</v>
      </c>
      <c r="AQ229" s="51">
        <f>VLOOKUP(наценка7[[#This Row],[№]],Д402[],COLUMN(Д402[[#This Row],[утв цена м2]]),0)</f>
        <v>111827.19</v>
      </c>
      <c r="AR229" s="3">
        <f>наценка7[[#This Row],[утв цена м2]]*наценка7[[#This Row],[Расчетная проектная площадь]]</f>
        <v>8740413.1703999992</v>
      </c>
      <c r="AS229" s="27" t="str">
        <f>VLOOKUP(наценка7[[#This Row],[№]],Д402[],COLUMN('Реестр ОН'!$BA$1),0)</f>
        <v>Свободно</v>
      </c>
      <c r="AT229" s="281">
        <f>ROUND(наценка7[[#This Row],[Цена м2 с учетом всех K]]*наценка7[[#This Row],[Расчетная проектная площадь]],0)</f>
        <v>8472700</v>
      </c>
      <c r="AU229" s="286">
        <v>8311316</v>
      </c>
      <c r="AV229" s="286" t="b">
        <f>наценка7[[#This Row],[Аллио]]=наценка7[[#This Row],[Первичка тест]]</f>
        <v>0</v>
      </c>
    </row>
    <row r="230" spans="1:48" hidden="1" x14ac:dyDescent="0.25">
      <c r="A230" s="65">
        <v>228</v>
      </c>
      <c r="B230" s="2">
        <f>_xlfn.XLOOKUP(наценка7[[#This Row],[№]],Д402[№],Д402[Секция],"-",0)</f>
        <v>3</v>
      </c>
      <c r="C230" s="2">
        <f>_xlfn.XLOOKUP(наценка7[[#This Row],[№]],Д402[№],Д402[Этаж],"-",0)</f>
        <v>9</v>
      </c>
      <c r="D230" s="2">
        <f>_xlfn.XLOOKUP(наценка7[[#This Row],[№]],Д402[№],Д402[№ на этаже],"-",0)</f>
        <v>6</v>
      </c>
      <c r="E230" s="2">
        <f>_xlfn.XLOOKUP(наценка7[[#This Row],[№]],Д402[№],Д402[Тип кв],"-",0)</f>
        <v>0</v>
      </c>
      <c r="F230" s="51">
        <f>_xlfn.XLOOKUP(наценка7[[#This Row],[№]],Д402[№],Д402[Кухня],"-",0)</f>
        <v>5</v>
      </c>
      <c r="G230" s="51">
        <f>_xlfn.XLOOKUP(наценка7[[#This Row],[№]],Д402[№],Д402[Ванная],"-",0)</f>
        <v>4.2699999999999996</v>
      </c>
      <c r="H230" s="51" t="s">
        <v>84</v>
      </c>
      <c r="I230" s="51"/>
      <c r="J230" s="51"/>
      <c r="K230" s="51" t="s">
        <v>101</v>
      </c>
      <c r="L230" s="51" t="s">
        <v>119</v>
      </c>
      <c r="M230" s="51" t="s">
        <v>83</v>
      </c>
      <c r="N230" s="51"/>
      <c r="O230" s="51" t="s">
        <v>119</v>
      </c>
      <c r="P230" s="51"/>
      <c r="Q230" s="129"/>
      <c r="R230" s="129"/>
      <c r="S230" s="51" t="s">
        <v>101</v>
      </c>
      <c r="T230" s="51">
        <f>_xlfn.XLOOKUP(наценка7[[#This Row],[№]],Д402[№],Д402[Расчетная проектная площадь],"-",0)</f>
        <v>29.73</v>
      </c>
      <c r="U230" s="17">
        <f t="shared" si="4"/>
        <v>89000</v>
      </c>
      <c r="V23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30" s="18">
        <f>наценка7[[#This Row],[Цена м2 базовая]]*наценка7[[#This Row],[Базовой K]]</f>
        <v>139730</v>
      </c>
      <c r="X23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3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3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3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0" s="55" t="str">
        <f>IF(наценка7[[#This Row],[Потолок ]]="ДА",коэффициенты!$C$13,"")</f>
        <v/>
      </c>
      <c r="AG23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3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3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3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0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30" s="52">
        <f>SUM(наценка7[[#This Row],[еврокухня]:[Лифт]])*наценка7[[#This Row],[Цена м2 с БK]]+наценка7[[#This Row],[Цена м2 с БK]]</f>
        <v>139730</v>
      </c>
      <c r="AQ230" s="51">
        <f>VLOOKUP(наценка7[[#This Row],[№]],Д402[],COLUMN(Д402[[#This Row],[утв цена м2]]),0)</f>
        <v>140962.5</v>
      </c>
      <c r="AR230" s="3">
        <f>наценка7[[#This Row],[утв цена м2]]*наценка7[[#This Row],[Расчетная проектная площадь]]</f>
        <v>4190815.125</v>
      </c>
      <c r="AS230" s="27" t="str">
        <f>VLOOKUP(наценка7[[#This Row],[№]],Д402[],COLUMN('Реестр ОН'!$BA$1),0)</f>
        <v>Стр. Резерв</v>
      </c>
      <c r="AT230" s="281">
        <f>ROUND(наценка7[[#This Row],[Цена м2 с учетом всех K]]*наценка7[[#This Row],[Расчетная проектная площадь]],0)</f>
        <v>4154173</v>
      </c>
      <c r="AU230" s="286">
        <v>4154173</v>
      </c>
      <c r="AV230" s="286" t="b">
        <f>наценка7[[#This Row],[Аллио]]=наценка7[[#This Row],[Первичка тест]]</f>
        <v>1</v>
      </c>
    </row>
    <row r="231" spans="1:48" hidden="1" x14ac:dyDescent="0.25">
      <c r="A231" s="65">
        <v>229</v>
      </c>
      <c r="B231" s="2">
        <f>_xlfn.XLOOKUP(наценка7[[#This Row],[№]],Д402[№],Д402[Секция],"-",0)</f>
        <v>3</v>
      </c>
      <c r="C231" s="2">
        <f>_xlfn.XLOOKUP(наценка7[[#This Row],[№]],Д402[№],Д402[Этаж],"-",0)</f>
        <v>10</v>
      </c>
      <c r="D231" s="2">
        <f>_xlfn.XLOOKUP(наценка7[[#This Row],[№]],Д402[№],Д402[№ на этаже],"-",0)</f>
        <v>1</v>
      </c>
      <c r="E231" s="2">
        <f>_xlfn.XLOOKUP(наценка7[[#This Row],[№]],Д402[№],Д402[Тип кв],"-",0)</f>
        <v>1</v>
      </c>
      <c r="F231" s="51">
        <f>_xlfn.XLOOKUP(наценка7[[#This Row],[№]],Д402[№],Д402[Кухня],"-",0)</f>
        <v>16.11</v>
      </c>
      <c r="G231" s="51">
        <f>_xlfn.XLOOKUP(наценка7[[#This Row],[№]],Д402[№],Д402[Ванная],"-",0)</f>
        <v>4.09</v>
      </c>
      <c r="H231" s="51" t="s">
        <v>84</v>
      </c>
      <c r="I231" s="51"/>
      <c r="J231" s="51" t="s">
        <v>101</v>
      </c>
      <c r="K231" s="51" t="s">
        <v>101</v>
      </c>
      <c r="L231" s="51"/>
      <c r="M231" s="51" t="s">
        <v>83</v>
      </c>
      <c r="N231" s="51" t="s">
        <v>101</v>
      </c>
      <c r="O231" s="51" t="s">
        <v>119</v>
      </c>
      <c r="P231" s="51" t="s">
        <v>101</v>
      </c>
      <c r="Q231" s="129"/>
      <c r="R231" s="129"/>
      <c r="S231" s="51"/>
      <c r="T231" s="51">
        <f>_xlfn.XLOOKUP(наценка7[[#This Row],[№]],Д402[№],Д402[Расчетная проектная площадь],"-",0)</f>
        <v>44.16</v>
      </c>
      <c r="U231" s="17">
        <f t="shared" si="4"/>
        <v>89000</v>
      </c>
      <c r="V23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31" s="18">
        <f>наценка7[[#This Row],[Цена м2 базовая]]*наценка7[[#This Row],[Базовой K]]</f>
        <v>119260</v>
      </c>
      <c r="X23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3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3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1" s="55" t="str">
        <f>IF(наценка7[[#This Row],[Потолок ]]="ДА",коэффициенты!$C$13,"")</f>
        <v/>
      </c>
      <c r="AG23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3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3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1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3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1" s="52">
        <f>SUM(наценка7[[#This Row],[еврокухня]:[Лифт]])*наценка7[[#This Row],[Цена м2 с БK]]+наценка7[[#This Row],[Цена м2 с БK]]</f>
        <v>122837.8</v>
      </c>
      <c r="AQ231" s="51">
        <f>VLOOKUP(наценка7[[#This Row],[№]],Д402[],COLUMN(Д402[[#This Row],[утв цена м2]]),0)</f>
        <v>127159.69</v>
      </c>
      <c r="AR231" s="3">
        <f>наценка7[[#This Row],[утв цена м2]]*наценка7[[#This Row],[Расчетная проектная площадь]]</f>
        <v>5615371.9103999995</v>
      </c>
      <c r="AS231" s="27" t="str">
        <f>VLOOKUP(наценка7[[#This Row],[№]],Д402[],COLUMN('Реестр ОН'!$BA$1),0)</f>
        <v>Продажа</v>
      </c>
      <c r="AT231" s="281">
        <f>ROUND(наценка7[[#This Row],[Цена м2 с учетом всех K]]*наценка7[[#This Row],[Расчетная проектная площадь]],0)</f>
        <v>5424517</v>
      </c>
      <c r="AU231" s="286">
        <v>5424517</v>
      </c>
      <c r="AV231" s="286" t="b">
        <f>наценка7[[#This Row],[Аллио]]=наценка7[[#This Row],[Первичка тест]]</f>
        <v>1</v>
      </c>
    </row>
    <row r="232" spans="1:48" hidden="1" x14ac:dyDescent="0.25">
      <c r="A232" s="65">
        <v>230</v>
      </c>
      <c r="B232" s="2">
        <f>_xlfn.XLOOKUP(наценка7[[#This Row],[№]],Д402[№],Д402[Секция],"-",0)</f>
        <v>3</v>
      </c>
      <c r="C232" s="2">
        <f>_xlfn.XLOOKUP(наценка7[[#This Row],[№]],Д402[№],Д402[Этаж],"-",0)</f>
        <v>10</v>
      </c>
      <c r="D232" s="2">
        <f>_xlfn.XLOOKUP(наценка7[[#This Row],[№]],Д402[№],Д402[№ на этаже],"-",0)</f>
        <v>2</v>
      </c>
      <c r="E232" s="2">
        <f>_xlfn.XLOOKUP(наценка7[[#This Row],[№]],Д402[№],Д402[Тип кв],"-",0)</f>
        <v>1</v>
      </c>
      <c r="F232" s="51">
        <f>_xlfn.XLOOKUP(наценка7[[#This Row],[№]],Д402[№],Д402[Кухня],"-",0)</f>
        <v>15.01</v>
      </c>
      <c r="G232" s="51">
        <f>_xlfn.XLOOKUP(наценка7[[#This Row],[№]],Д402[№],Д402[Ванная],"-",0)</f>
        <v>4.22</v>
      </c>
      <c r="H232" s="51" t="s">
        <v>87</v>
      </c>
      <c r="I232" s="51"/>
      <c r="J232" s="51" t="s">
        <v>101</v>
      </c>
      <c r="K232" s="51" t="s">
        <v>101</v>
      </c>
      <c r="L232" s="51"/>
      <c r="M232" s="51" t="s">
        <v>83</v>
      </c>
      <c r="N232" s="51"/>
      <c r="O232" s="51" t="s">
        <v>119</v>
      </c>
      <c r="P232" s="51"/>
      <c r="Q232" s="129"/>
      <c r="R232" s="129"/>
      <c r="S232" s="51"/>
      <c r="T232" s="51">
        <f>_xlfn.XLOOKUP(наценка7[[#This Row],[№]],Д402[№],Д402[Расчетная проектная площадь],"-",0)</f>
        <v>36.549999999999997</v>
      </c>
      <c r="U232" s="17">
        <f t="shared" si="4"/>
        <v>89000</v>
      </c>
      <c r="V23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32" s="18">
        <f>наценка7[[#This Row],[Цена м2 базовая]]*наценка7[[#This Row],[Базовой K]]</f>
        <v>119260</v>
      </c>
      <c r="X23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3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3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3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2" s="55" t="str">
        <f>IF(наценка7[[#This Row],[Потолок ]]="ДА",коэффициенты!$C$13,"")</f>
        <v/>
      </c>
      <c r="AG23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3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3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2" s="52">
        <f>SUM(наценка7[[#This Row],[еврокухня]:[Лифт]])*наценка7[[#This Row],[Цена м2 с БK]]+наценка7[[#This Row],[Цена м2 с БK]]</f>
        <v>124030.39999999999</v>
      </c>
      <c r="AQ232" s="51">
        <f>VLOOKUP(наценка7[[#This Row],[№]],Д402[],COLUMN(Д402[[#This Row],[утв цена м2]]),0)</f>
        <v>126511.01</v>
      </c>
      <c r="AR232" s="3">
        <f>наценка7[[#This Row],[утв цена м2]]*наценка7[[#This Row],[Расчетная проектная площадь]]</f>
        <v>4623977.4154999992</v>
      </c>
      <c r="AS232" s="27" t="str">
        <f>VLOOKUP(наценка7[[#This Row],[№]],Д402[],COLUMN('Реестр ОН'!$BA$1),0)</f>
        <v>Продажа</v>
      </c>
      <c r="AT232" s="281">
        <f>ROUND(наценка7[[#This Row],[Цена м2 с учетом всех K]]*наценка7[[#This Row],[Расчетная проектная площадь]],0)</f>
        <v>4533311</v>
      </c>
      <c r="AU232" s="286">
        <v>4533311</v>
      </c>
      <c r="AV232" s="286" t="b">
        <f>наценка7[[#This Row],[Аллио]]=наценка7[[#This Row],[Первичка тест]]</f>
        <v>1</v>
      </c>
    </row>
    <row r="233" spans="1:48" hidden="1" x14ac:dyDescent="0.25">
      <c r="A233" s="65">
        <v>231</v>
      </c>
      <c r="B233" s="2">
        <f>_xlfn.XLOOKUP(наценка7[[#This Row],[№]],Д402[№],Д402[Секция],"-",0)</f>
        <v>3</v>
      </c>
      <c r="C233" s="2">
        <f>_xlfn.XLOOKUP(наценка7[[#This Row],[№]],Д402[№],Д402[Этаж],"-",0)</f>
        <v>10</v>
      </c>
      <c r="D233" s="2">
        <f>_xlfn.XLOOKUP(наценка7[[#This Row],[№]],Д402[№],Д402[№ на этаже],"-",0)</f>
        <v>3</v>
      </c>
      <c r="E233" s="2">
        <f>_xlfn.XLOOKUP(наценка7[[#This Row],[№]],Д402[№],Д402[Тип кв],"-",0)</f>
        <v>2</v>
      </c>
      <c r="F233" s="51">
        <f>_xlfn.XLOOKUP(наценка7[[#This Row],[№]],Д402[№],Д402[Кухня],"-",0)</f>
        <v>14.61</v>
      </c>
      <c r="G233" s="51">
        <f>_xlfn.XLOOKUP(наценка7[[#This Row],[№]],Д402[№],Д402[Ванная],"-",0)</f>
        <v>4.21</v>
      </c>
      <c r="H233" s="51" t="s">
        <v>87</v>
      </c>
      <c r="I233" s="51"/>
      <c r="J233" s="51" t="s">
        <v>101</v>
      </c>
      <c r="K233" s="51"/>
      <c r="L233" s="51"/>
      <c r="M233" s="51" t="s">
        <v>83</v>
      </c>
      <c r="N233" s="51"/>
      <c r="O233" s="51" t="s">
        <v>119</v>
      </c>
      <c r="P233" s="51"/>
      <c r="Q233" s="129"/>
      <c r="R233" s="129"/>
      <c r="S233" s="51"/>
      <c r="T233" s="51">
        <f>_xlfn.XLOOKUP(наценка7[[#This Row],[№]],Д402[№],Д402[Расчетная проектная площадь],"-",0)</f>
        <v>54.35</v>
      </c>
      <c r="U233" s="17">
        <f t="shared" si="4"/>
        <v>89000</v>
      </c>
      <c r="V23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33" s="18">
        <f>наценка7[[#This Row],[Цена м2 базовая]]*наценка7[[#This Row],[Базовой K]]</f>
        <v>113030</v>
      </c>
      <c r="X23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3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3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3" s="55" t="str">
        <f>IF(наценка7[[#This Row],[Потолок ]]="ДА",коэффициенты!$C$13,"")</f>
        <v/>
      </c>
      <c r="AG23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3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3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3" s="52">
        <f>SUM(наценка7[[#This Row],[еврокухня]:[Лифт]])*наценка7[[#This Row],[Цена м2 с БK]]+наценка7[[#This Row],[Цена м2 с БK]]</f>
        <v>117551.2</v>
      </c>
      <c r="AQ233" s="51">
        <f>VLOOKUP(наценка7[[#This Row],[№]],Д402[],COLUMN(Д402[[#This Row],[утв цена м2]]),0)</f>
        <v>121858.54</v>
      </c>
      <c r="AR233" s="3">
        <f>наценка7[[#This Row],[утв цена м2]]*наценка7[[#This Row],[Расчетная проектная площадь]]</f>
        <v>6623011.6490000002</v>
      </c>
      <c r="AS233" s="27" t="str">
        <f>VLOOKUP(наценка7[[#This Row],[№]],Д402[],COLUMN('Реестр ОН'!$BA$1),0)</f>
        <v>Стр. Резерв</v>
      </c>
      <c r="AT233" s="281">
        <f>ROUND(наценка7[[#This Row],[Цена м2 с учетом всех K]]*наценка7[[#This Row],[Расчетная проектная площадь]],0)</f>
        <v>6388908</v>
      </c>
      <c r="AU233" s="286">
        <v>6388908</v>
      </c>
      <c r="AV233" s="286" t="b">
        <f>наценка7[[#This Row],[Аллио]]=наценка7[[#This Row],[Первичка тест]]</f>
        <v>1</v>
      </c>
    </row>
    <row r="234" spans="1:48" hidden="1" x14ac:dyDescent="0.25">
      <c r="A234" s="65">
        <v>232</v>
      </c>
      <c r="B234" s="2">
        <f>_xlfn.XLOOKUP(наценка7[[#This Row],[№]],Д402[№],Д402[Секция],"-",0)</f>
        <v>3</v>
      </c>
      <c r="C234" s="2">
        <f>_xlfn.XLOOKUP(наценка7[[#This Row],[№]],Д402[№],Д402[Этаж],"-",0)</f>
        <v>10</v>
      </c>
      <c r="D234" s="2">
        <f>_xlfn.XLOOKUP(наценка7[[#This Row],[№]],Д402[№],Д402[№ на этаже],"-",0)</f>
        <v>4</v>
      </c>
      <c r="E234" s="2">
        <f>_xlfn.XLOOKUP(наценка7[[#This Row],[№]],Д402[№],Д402[Тип кв],"-",0)</f>
        <v>2</v>
      </c>
      <c r="F234" s="51">
        <f>_xlfn.XLOOKUP(наценка7[[#This Row],[№]],Д402[№],Д402[Кухня],"-",0)</f>
        <v>13.91</v>
      </c>
      <c r="G234" s="51">
        <f>_xlfn.XLOOKUP(наценка7[[#This Row],[№]],Д402[№],Д402[Ванная],"-",0)</f>
        <v>4.16</v>
      </c>
      <c r="H234" s="51" t="s">
        <v>87</v>
      </c>
      <c r="I234" s="51"/>
      <c r="J234" s="51" t="s">
        <v>101</v>
      </c>
      <c r="K234" s="51"/>
      <c r="L234" s="51"/>
      <c r="M234" s="51" t="s">
        <v>83</v>
      </c>
      <c r="N234" s="51"/>
      <c r="O234" s="51" t="s">
        <v>101</v>
      </c>
      <c r="P234" s="51"/>
      <c r="Q234" s="129"/>
      <c r="R234" s="129"/>
      <c r="S234" s="51"/>
      <c r="T234" s="51">
        <f>_xlfn.XLOOKUP(наценка7[[#This Row],[№]],Д402[№],Д402[Расчетная проектная площадь],"-",0)</f>
        <v>56</v>
      </c>
      <c r="U234" s="17">
        <f t="shared" si="4"/>
        <v>89000</v>
      </c>
      <c r="V23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34" s="18">
        <f>наценка7[[#This Row],[Цена м2 базовая]]*наценка7[[#This Row],[Базовой K]]</f>
        <v>113030</v>
      </c>
      <c r="X23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34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3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3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3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4" s="55" t="str">
        <f>IF(наценка7[[#This Row],[Потолок ]]="ДА",коэффициенты!$C$13,"")</f>
        <v/>
      </c>
      <c r="AG23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3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3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4" s="52">
        <f>SUM(наценка7[[#This Row],[еврокухня]:[Лифт]])*наценка7[[#This Row],[Цена м2 с БK]]+наценка7[[#This Row],[Цена м2 с БK]]</f>
        <v>117551.2</v>
      </c>
      <c r="AQ234" s="51">
        <f>VLOOKUP(наценка7[[#This Row],[№]],Д402[],COLUMN(Д402[[#This Row],[утв цена м2]]),0)</f>
        <v>124175.21</v>
      </c>
      <c r="AR234" s="3">
        <f>наценка7[[#This Row],[утв цена м2]]*наценка7[[#This Row],[Расчетная проектная площадь]]</f>
        <v>6953811.7600000007</v>
      </c>
      <c r="AS234" s="27" t="str">
        <f>VLOOKUP(наценка7[[#This Row],[№]],Д402[],COLUMN('Реестр ОН'!$BA$1),0)</f>
        <v>Свободно</v>
      </c>
      <c r="AT234" s="281">
        <f>ROUND(наценка7[[#This Row],[Цена м2 с учетом всех K]]*наценка7[[#This Row],[Расчетная проектная площадь]],0)</f>
        <v>6582867</v>
      </c>
      <c r="AU234" s="286">
        <v>6582867</v>
      </c>
      <c r="AV234" s="286" t="b">
        <f>наценка7[[#This Row],[Аллио]]=наценка7[[#This Row],[Первичка тест]]</f>
        <v>1</v>
      </c>
    </row>
    <row r="235" spans="1:48" hidden="1" x14ac:dyDescent="0.25">
      <c r="A235" s="65">
        <v>233</v>
      </c>
      <c r="B235" s="2">
        <f>_xlfn.XLOOKUP(наценка7[[#This Row],[№]],Д402[№],Д402[Секция],"-",0)</f>
        <v>3</v>
      </c>
      <c r="C235" s="2">
        <f>_xlfn.XLOOKUP(наценка7[[#This Row],[№]],Д402[№],Д402[Этаж],"-",0)</f>
        <v>10</v>
      </c>
      <c r="D235" s="2">
        <f>_xlfn.XLOOKUP(наценка7[[#This Row],[№]],Д402[№],Д402[№ на этаже],"-",0)</f>
        <v>5</v>
      </c>
      <c r="E235" s="2">
        <f>_xlfn.XLOOKUP(наценка7[[#This Row],[№]],Д402[№],Д402[Тип кв],"-",0)</f>
        <v>2</v>
      </c>
      <c r="F235" s="51">
        <f>_xlfn.XLOOKUP(наценка7[[#This Row],[№]],Д402[№],Д402[Кухня],"-",0)</f>
        <v>11.33</v>
      </c>
      <c r="G235" s="51">
        <f>_xlfn.XLOOKUP(наценка7[[#This Row],[№]],Д402[№],Д402[Ванная],"-",0)</f>
        <v>4.41</v>
      </c>
      <c r="H235" s="51" t="s">
        <v>85</v>
      </c>
      <c r="I235" s="51"/>
      <c r="J235" s="51" t="s">
        <v>101</v>
      </c>
      <c r="K235" s="51"/>
      <c r="L235" s="51"/>
      <c r="M235" s="51" t="s">
        <v>83</v>
      </c>
      <c r="N235" s="51"/>
      <c r="O235" s="51" t="s">
        <v>101</v>
      </c>
      <c r="P235" s="51" t="s">
        <v>101</v>
      </c>
      <c r="Q235" s="129"/>
      <c r="R235" s="51" t="s">
        <v>101</v>
      </c>
      <c r="S235" s="51"/>
      <c r="T235" s="51">
        <f>_xlfn.XLOOKUP(наценка7[[#This Row],[№]],Д402[№],Д402[Расчетная проектная площадь],"-",0)</f>
        <v>59.17</v>
      </c>
      <c r="U235" s="17">
        <f t="shared" si="4"/>
        <v>89000</v>
      </c>
      <c r="V23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35" s="18">
        <f>наценка7[[#This Row],[Цена м2 базовая]]*наценка7[[#This Row],[Базовой K]]</f>
        <v>113030</v>
      </c>
      <c r="X23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3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3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3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5" s="55" t="str">
        <f>IF(наценка7[[#This Row],[Потолок ]]="ДА",коэффициенты!$C$13,"")</f>
        <v/>
      </c>
      <c r="AG23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35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3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3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5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3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5" s="52">
        <f>SUM(наценка7[[#This Row],[еврокухня]:[Лифт]])*наценка7[[#This Row],[Цена м2 с БK]]+наценка7[[#This Row],[Цена м2 с БK]]</f>
        <v>118681.5</v>
      </c>
      <c r="AQ235" s="51">
        <f>VLOOKUP(наценка7[[#This Row],[№]],Д402[],COLUMN(Д402[[#This Row],[утв цена м2]]),0)</f>
        <v>124128.98</v>
      </c>
      <c r="AR235" s="3">
        <f>наценка7[[#This Row],[утв цена м2]]*наценка7[[#This Row],[Расчетная проектная площадь]]</f>
        <v>7344711.7466000002</v>
      </c>
      <c r="AS235" s="27" t="str">
        <f>VLOOKUP(наценка7[[#This Row],[№]],Д402[],COLUMN('Реестр ОН'!$BA$1),0)</f>
        <v>Стр. Резерв</v>
      </c>
      <c r="AT235" s="281">
        <f>ROUND(наценка7[[#This Row],[Цена м2 с учетом всех K]]*наценка7[[#This Row],[Расчетная проектная площадь]],0)</f>
        <v>7022384</v>
      </c>
      <c r="AU235" s="286">
        <v>7022384</v>
      </c>
      <c r="AV235" s="286" t="b">
        <f>наценка7[[#This Row],[Аллио]]=наценка7[[#This Row],[Первичка тест]]</f>
        <v>1</v>
      </c>
    </row>
    <row r="236" spans="1:48" hidden="1" x14ac:dyDescent="0.25">
      <c r="A236" s="65">
        <v>234</v>
      </c>
      <c r="B236" s="2">
        <f>_xlfn.XLOOKUP(наценка7[[#This Row],[№]],Д402[№],Д402[Секция],"-",0)</f>
        <v>3</v>
      </c>
      <c r="C236" s="2">
        <f>_xlfn.XLOOKUP(наценка7[[#This Row],[№]],Д402[№],Д402[Этаж],"-",0)</f>
        <v>10</v>
      </c>
      <c r="D236" s="2">
        <f>_xlfn.XLOOKUP(наценка7[[#This Row],[№]],Д402[№],Д402[№ на этаже],"-",0)</f>
        <v>6</v>
      </c>
      <c r="E236" s="2">
        <f>_xlfn.XLOOKUP(наценка7[[#This Row],[№]],Д402[№],Д402[Тип кв],"-",0)</f>
        <v>0</v>
      </c>
      <c r="F236" s="51">
        <f>_xlfn.XLOOKUP(наценка7[[#This Row],[№]],Д402[№],Д402[Кухня],"-",0)</f>
        <v>5</v>
      </c>
      <c r="G236" s="51">
        <f>_xlfn.XLOOKUP(наценка7[[#This Row],[№]],Д402[№],Д402[Ванная],"-",0)</f>
        <v>4.2</v>
      </c>
      <c r="H236" s="51" t="s">
        <v>84</v>
      </c>
      <c r="I236" s="51"/>
      <c r="J236" s="51"/>
      <c r="K236" s="51" t="s">
        <v>101</v>
      </c>
      <c r="L236" s="51" t="s">
        <v>119</v>
      </c>
      <c r="M236" s="51" t="s">
        <v>83</v>
      </c>
      <c r="N236" s="51"/>
      <c r="O236" s="51" t="s">
        <v>119</v>
      </c>
      <c r="P236" s="51"/>
      <c r="Q236" s="51"/>
      <c r="R236" s="51" t="s">
        <v>101</v>
      </c>
      <c r="S236" s="51" t="s">
        <v>101</v>
      </c>
      <c r="T236" s="51">
        <f>_xlfn.XLOOKUP(наценка7[[#This Row],[№]],Д402[№],Д402[Расчетная проектная площадь],"-",0)</f>
        <v>29.66</v>
      </c>
      <c r="U236" s="17">
        <f t="shared" si="4"/>
        <v>89000</v>
      </c>
      <c r="V23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36" s="18">
        <f>наценка7[[#This Row],[Цена м2 базовая]]*наценка7[[#This Row],[Базовой K]]</f>
        <v>139730</v>
      </c>
      <c r="X23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3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3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3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6" s="55" t="str">
        <f>IF(наценка7[[#This Row],[Потолок ]]="ДА",коэффициенты!$C$13,"")</f>
        <v/>
      </c>
      <c r="AG23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3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3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6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3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3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6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36" s="52">
        <f>SUM(наценка7[[#This Row],[еврокухня]:[Лифт]])*наценка7[[#This Row],[Цена м2 с БK]]+наценка7[[#This Row],[Цена м2 с БK]]</f>
        <v>138332.70000000001</v>
      </c>
      <c r="AQ236" s="51">
        <f>VLOOKUP(наценка7[[#This Row],[№]],Д402[],COLUMN(Д402[[#This Row],[утв цена м2]]),0)</f>
        <v>139565.20000000001</v>
      </c>
      <c r="AR236" s="3">
        <f>наценка7[[#This Row],[утв цена м2]]*наценка7[[#This Row],[Расчетная проектная площадь]]</f>
        <v>4139503.8320000004</v>
      </c>
      <c r="AS236" s="27" t="str">
        <f>VLOOKUP(наценка7[[#This Row],[№]],Д402[],COLUMN('Реестр ОН'!$BA$1),0)</f>
        <v>Стр. Резерв</v>
      </c>
      <c r="AT236" s="281">
        <f>ROUND(наценка7[[#This Row],[Цена м2 с учетом всех K]]*наценка7[[#This Row],[Расчетная проектная площадь]],0)</f>
        <v>4102948</v>
      </c>
      <c r="AU236" s="286">
        <v>4102948</v>
      </c>
      <c r="AV236" s="286" t="b">
        <f>наценка7[[#This Row],[Аллио]]=наценка7[[#This Row],[Первичка тест]]</f>
        <v>1</v>
      </c>
    </row>
    <row r="237" spans="1:48" hidden="1" x14ac:dyDescent="0.25">
      <c r="A237" s="65">
        <v>235</v>
      </c>
      <c r="B237" s="2">
        <f>_xlfn.XLOOKUP(наценка7[[#This Row],[№]],Д402[№],Д402[Секция],"-",0)</f>
        <v>3</v>
      </c>
      <c r="C237" s="2">
        <f>_xlfn.XLOOKUP(наценка7[[#This Row],[№]],Д402[№],Д402[Этаж],"-",0)</f>
        <v>11</v>
      </c>
      <c r="D237" s="2">
        <f>_xlfn.XLOOKUP(наценка7[[#This Row],[№]],Д402[№],Д402[№ на этаже],"-",0)</f>
        <v>1</v>
      </c>
      <c r="E237" s="2">
        <f>_xlfn.XLOOKUP(наценка7[[#This Row],[№]],Д402[№],Д402[Тип кв],"-",0)</f>
        <v>1</v>
      </c>
      <c r="F237" s="51">
        <f>_xlfn.XLOOKUP(наценка7[[#This Row],[№]],Д402[№],Д402[Кухня],"-",0)</f>
        <v>16.11</v>
      </c>
      <c r="G237" s="51">
        <f>_xlfn.XLOOKUP(наценка7[[#This Row],[№]],Д402[№],Д402[Ванная],"-",0)</f>
        <v>4.09</v>
      </c>
      <c r="H237" s="51" t="s">
        <v>84</v>
      </c>
      <c r="I237" s="51"/>
      <c r="J237" s="51" t="s">
        <v>101</v>
      </c>
      <c r="K237" s="51" t="s">
        <v>101</v>
      </c>
      <c r="L237" s="51"/>
      <c r="M237" s="51" t="s">
        <v>83</v>
      </c>
      <c r="N237" s="51" t="s">
        <v>101</v>
      </c>
      <c r="O237" s="51" t="s">
        <v>119</v>
      </c>
      <c r="P237" s="51" t="s">
        <v>101</v>
      </c>
      <c r="Q237" s="129"/>
      <c r="R237" s="129"/>
      <c r="S237" s="51"/>
      <c r="T237" s="51">
        <f>_xlfn.XLOOKUP(наценка7[[#This Row],[№]],Д402[№],Д402[Расчетная проектная площадь],"-",0)</f>
        <v>44.16</v>
      </c>
      <c r="U237" s="17">
        <f t="shared" si="4"/>
        <v>89000</v>
      </c>
      <c r="V23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37" s="18">
        <f>наценка7[[#This Row],[Цена м2 базовая]]*наценка7[[#This Row],[Базовой K]]</f>
        <v>119260</v>
      </c>
      <c r="X23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3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3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7" s="55" t="str">
        <f>IF(наценка7[[#This Row],[Потолок ]]="ДА",коэффициенты!$C$13,"")</f>
        <v/>
      </c>
      <c r="AG23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3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3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7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3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7" s="52">
        <f>SUM(наценка7[[#This Row],[еврокухня]:[Лифт]])*наценка7[[#This Row],[Цена м2 с БK]]+наценка7[[#This Row],[Цена м2 с БK]]</f>
        <v>122837.8</v>
      </c>
      <c r="AQ237" s="51">
        <f>VLOOKUP(наценка7[[#This Row],[№]],Д402[],COLUMN(Д402[[#This Row],[утв цена м2]]),0)</f>
        <v>126294.56</v>
      </c>
      <c r="AR237" s="3">
        <f>наценка7[[#This Row],[утв цена м2]]*наценка7[[#This Row],[Расчетная проектная площадь]]</f>
        <v>5577167.7695999993</v>
      </c>
      <c r="AS237" s="27" t="str">
        <f>VLOOKUP(наценка7[[#This Row],[№]],Д402[],COLUMN('Реестр ОН'!$BA$1),0)</f>
        <v>Продажа</v>
      </c>
      <c r="AT237" s="281">
        <f>ROUND(наценка7[[#This Row],[Цена м2 с учетом всех K]]*наценка7[[#This Row],[Расчетная проектная площадь]],0)</f>
        <v>5424517</v>
      </c>
      <c r="AU237" s="286">
        <v>5424517</v>
      </c>
      <c r="AV237" s="286" t="b">
        <f>наценка7[[#This Row],[Аллио]]=наценка7[[#This Row],[Первичка тест]]</f>
        <v>1</v>
      </c>
    </row>
    <row r="238" spans="1:48" hidden="1" x14ac:dyDescent="0.25">
      <c r="A238" s="65">
        <v>236</v>
      </c>
      <c r="B238" s="2">
        <f>_xlfn.XLOOKUP(наценка7[[#This Row],[№]],Д402[№],Д402[Секция],"-",0)</f>
        <v>3</v>
      </c>
      <c r="C238" s="2">
        <f>_xlfn.XLOOKUP(наценка7[[#This Row],[№]],Д402[№],Д402[Этаж],"-",0)</f>
        <v>11</v>
      </c>
      <c r="D238" s="2">
        <f>_xlfn.XLOOKUP(наценка7[[#This Row],[№]],Д402[№],Д402[№ на этаже],"-",0)</f>
        <v>2</v>
      </c>
      <c r="E238" s="2">
        <f>_xlfn.XLOOKUP(наценка7[[#This Row],[№]],Д402[№],Д402[Тип кв],"-",0)</f>
        <v>1</v>
      </c>
      <c r="F238" s="51">
        <f>_xlfn.XLOOKUP(наценка7[[#This Row],[№]],Д402[№],Д402[Кухня],"-",0)</f>
        <v>15.01</v>
      </c>
      <c r="G238" s="51">
        <f>_xlfn.XLOOKUP(наценка7[[#This Row],[№]],Д402[№],Д402[Ванная],"-",0)</f>
        <v>4.22</v>
      </c>
      <c r="H238" s="51" t="s">
        <v>87</v>
      </c>
      <c r="I238" s="51"/>
      <c r="J238" s="51" t="s">
        <v>101</v>
      </c>
      <c r="K238" s="51" t="s">
        <v>101</v>
      </c>
      <c r="L238" s="51"/>
      <c r="M238" s="51" t="s">
        <v>83</v>
      </c>
      <c r="N238" s="51"/>
      <c r="O238" s="51" t="s">
        <v>119</v>
      </c>
      <c r="P238" s="51" t="s">
        <v>101</v>
      </c>
      <c r="Q238" s="129"/>
      <c r="R238" s="129"/>
      <c r="S238" s="51"/>
      <c r="T238" s="51">
        <f>_xlfn.XLOOKUP(наценка7[[#This Row],[№]],Д402[№],Д402[Расчетная проектная площадь],"-",0)</f>
        <v>36.549999999999997</v>
      </c>
      <c r="U238" s="17">
        <f t="shared" si="4"/>
        <v>89000</v>
      </c>
      <c r="V23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38" s="18">
        <f>наценка7[[#This Row],[Цена м2 базовая]]*наценка7[[#This Row],[Базовой K]]</f>
        <v>119260</v>
      </c>
      <c r="X23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3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3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3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8" s="55" t="str">
        <f>IF(наценка7[[#This Row],[Потолок ]]="ДА",коэффициенты!$C$13,"")</f>
        <v/>
      </c>
      <c r="AG23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3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3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8" s="52">
        <f>SUM(наценка7[[#This Row],[еврокухня]:[Лифт]])*наценка7[[#This Row],[Цена м2 с БK]]+наценка7[[#This Row],[Цена м2 с БK]]</f>
        <v>126415.6</v>
      </c>
      <c r="AQ238" s="51">
        <f>VLOOKUP(наценка7[[#This Row],[№]],Д402[],COLUMN(Д402[[#This Row],[утв цена м2]]),0)</f>
        <v>132129.06</v>
      </c>
      <c r="AR238" s="3">
        <f>наценка7[[#This Row],[утв цена м2]]*наценка7[[#This Row],[Расчетная проектная площадь]]</f>
        <v>4829317.1429999992</v>
      </c>
      <c r="AS238" s="27" t="str">
        <f>VLOOKUP(наценка7[[#This Row],[№]],Д402[],COLUMN('Реестр ОН'!$BA$1),0)</f>
        <v>Продажа</v>
      </c>
      <c r="AT238" s="281">
        <f>ROUND(наценка7[[#This Row],[Цена м2 с учетом всех K]]*наценка7[[#This Row],[Расчетная проектная площадь]],0)</f>
        <v>4620490</v>
      </c>
      <c r="AU238" s="286">
        <v>4620490</v>
      </c>
      <c r="AV238" s="286" t="b">
        <f>наценка7[[#This Row],[Аллио]]=наценка7[[#This Row],[Первичка тест]]</f>
        <v>1</v>
      </c>
    </row>
    <row r="239" spans="1:48" hidden="1" x14ac:dyDescent="0.25">
      <c r="A239" s="65">
        <v>237</v>
      </c>
      <c r="B239" s="2">
        <f>_xlfn.XLOOKUP(наценка7[[#This Row],[№]],Д402[№],Д402[Секция],"-",0)</f>
        <v>3</v>
      </c>
      <c r="C239" s="2">
        <f>_xlfn.XLOOKUP(наценка7[[#This Row],[№]],Д402[№],Д402[Этаж],"-",0)</f>
        <v>11</v>
      </c>
      <c r="D239" s="2">
        <f>_xlfn.XLOOKUP(наценка7[[#This Row],[№]],Д402[№],Д402[№ на этаже],"-",0)</f>
        <v>3</v>
      </c>
      <c r="E239" s="2">
        <f>_xlfn.XLOOKUP(наценка7[[#This Row],[№]],Д402[№],Д402[Тип кв],"-",0)</f>
        <v>2</v>
      </c>
      <c r="F239" s="51">
        <f>_xlfn.XLOOKUP(наценка7[[#This Row],[№]],Д402[№],Д402[Кухня],"-",0)</f>
        <v>14.61</v>
      </c>
      <c r="G239" s="51">
        <f>_xlfn.XLOOKUP(наценка7[[#This Row],[№]],Д402[№],Д402[Ванная],"-",0)</f>
        <v>4.21</v>
      </c>
      <c r="H239" s="51" t="s">
        <v>87</v>
      </c>
      <c r="I239" s="51"/>
      <c r="J239" s="51" t="s">
        <v>101</v>
      </c>
      <c r="K239" s="51"/>
      <c r="L239" s="51"/>
      <c r="M239" s="51" t="s">
        <v>83</v>
      </c>
      <c r="N239" s="51"/>
      <c r="O239" s="51" t="s">
        <v>119</v>
      </c>
      <c r="P239" s="51" t="s">
        <v>101</v>
      </c>
      <c r="Q239" s="129"/>
      <c r="R239" s="129"/>
      <c r="S239" s="51"/>
      <c r="T239" s="51">
        <f>_xlfn.XLOOKUP(наценка7[[#This Row],[№]],Д402[№],Д402[Расчетная проектная площадь],"-",0)</f>
        <v>54.35</v>
      </c>
      <c r="U239" s="17">
        <f t="shared" si="4"/>
        <v>89000</v>
      </c>
      <c r="V23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39" s="18">
        <f>наценка7[[#This Row],[Цена м2 базовая]]*наценка7[[#This Row],[Базовой K]]</f>
        <v>113030</v>
      </c>
      <c r="X23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3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3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3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3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3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3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3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39" s="55" t="str">
        <f>IF(наценка7[[#This Row],[Потолок ]]="ДА",коэффициенты!$C$13,"")</f>
        <v/>
      </c>
      <c r="AG23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3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3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3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3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3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3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3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3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39" s="52">
        <f>SUM(наценка7[[#This Row],[еврокухня]:[Лифт]])*наценка7[[#This Row],[Цена м2 с БK]]+наценка7[[#This Row],[Цена м2 с БK]]</f>
        <v>119811.8</v>
      </c>
      <c r="AQ239" s="51">
        <f>VLOOKUP(наценка7[[#This Row],[№]],Д402[],COLUMN(Д402[[#This Row],[утв цена м2]]),0)</f>
        <v>123560.35</v>
      </c>
      <c r="AR239" s="3">
        <f>наценка7[[#This Row],[утв цена м2]]*наценка7[[#This Row],[Расчетная проектная площадь]]</f>
        <v>6715505.0225000009</v>
      </c>
      <c r="AS239" s="27" t="str">
        <f>VLOOKUP(наценка7[[#This Row],[№]],Д402[],COLUMN('Реестр ОН'!$BA$1),0)</f>
        <v>Продажа</v>
      </c>
      <c r="AT239" s="281">
        <f>ROUND(наценка7[[#This Row],[Цена м2 с учетом всех K]]*наценка7[[#This Row],[Расчетная проектная площадь]],0)</f>
        <v>6511771</v>
      </c>
      <c r="AU239" s="286">
        <v>6511771</v>
      </c>
      <c r="AV239" s="286" t="b">
        <f>наценка7[[#This Row],[Аллио]]=наценка7[[#This Row],[Первичка тест]]</f>
        <v>1</v>
      </c>
    </row>
    <row r="240" spans="1:48" hidden="1" x14ac:dyDescent="0.25">
      <c r="A240" s="65">
        <v>238</v>
      </c>
      <c r="B240" s="2">
        <f>_xlfn.XLOOKUP(наценка7[[#This Row],[№]],Д402[№],Д402[Секция],"-",0)</f>
        <v>3</v>
      </c>
      <c r="C240" s="2">
        <f>_xlfn.XLOOKUP(наценка7[[#This Row],[№]],Д402[№],Д402[Этаж],"-",0)</f>
        <v>11</v>
      </c>
      <c r="D240" s="2">
        <f>_xlfn.XLOOKUP(наценка7[[#This Row],[№]],Д402[№],Д402[№ на этаже],"-",0)</f>
        <v>4</v>
      </c>
      <c r="E240" s="2">
        <f>_xlfn.XLOOKUP(наценка7[[#This Row],[№]],Д402[№],Д402[Тип кв],"-",0)</f>
        <v>2</v>
      </c>
      <c r="F240" s="51">
        <f>_xlfn.XLOOKUP(наценка7[[#This Row],[№]],Д402[№],Д402[Кухня],"-",0)</f>
        <v>13.91</v>
      </c>
      <c r="G240" s="51">
        <f>_xlfn.XLOOKUP(наценка7[[#This Row],[№]],Д402[№],Д402[Ванная],"-",0)</f>
        <v>4.16</v>
      </c>
      <c r="H240" s="51" t="s">
        <v>87</v>
      </c>
      <c r="I240" s="51"/>
      <c r="J240" s="51" t="s">
        <v>101</v>
      </c>
      <c r="K240" s="51"/>
      <c r="L240" s="51"/>
      <c r="M240" s="51" t="s">
        <v>83</v>
      </c>
      <c r="N240" s="51"/>
      <c r="O240" s="51" t="s">
        <v>101</v>
      </c>
      <c r="P240" s="51" t="s">
        <v>101</v>
      </c>
      <c r="Q240" s="129"/>
      <c r="R240" s="129"/>
      <c r="S240" s="51"/>
      <c r="T240" s="51">
        <f>_xlfn.XLOOKUP(наценка7[[#This Row],[№]],Д402[№],Д402[Расчетная проектная площадь],"-",0)</f>
        <v>56</v>
      </c>
      <c r="U240" s="17">
        <f t="shared" si="4"/>
        <v>89000</v>
      </c>
      <c r="V24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40" s="18">
        <f>наценка7[[#This Row],[Цена м2 базовая]]*наценка7[[#This Row],[Базовой K]]</f>
        <v>113030</v>
      </c>
      <c r="X24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40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4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4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0" s="55" t="str">
        <f>IF(наценка7[[#This Row],[Потолок ]]="ДА",коэффициенты!$C$13,"")</f>
        <v/>
      </c>
      <c r="AG24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4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4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0" s="52">
        <f>SUM(наценка7[[#This Row],[еврокухня]:[Лифт]])*наценка7[[#This Row],[Цена м2 с БK]]+наценка7[[#This Row],[Цена м2 с БK]]</f>
        <v>119811.8</v>
      </c>
      <c r="AQ240" s="51">
        <f>VLOOKUP(наценка7[[#This Row],[№]],Д402[],COLUMN(Д402[[#This Row],[утв цена м2]]),0)</f>
        <v>126538.89</v>
      </c>
      <c r="AR240" s="3">
        <f>наценка7[[#This Row],[утв цена м2]]*наценка7[[#This Row],[Расчетная проектная площадь]]</f>
        <v>7086177.8399999999</v>
      </c>
      <c r="AS240" s="27" t="str">
        <f>VLOOKUP(наценка7[[#This Row],[№]],Д402[],COLUMN('Реестр ОН'!$BA$1),0)</f>
        <v>Стр. Резерв</v>
      </c>
      <c r="AT240" s="281">
        <f>ROUND(наценка7[[#This Row],[Цена м2 с учетом всех K]]*наценка7[[#This Row],[Расчетная проектная площадь]],0)</f>
        <v>6709461</v>
      </c>
      <c r="AU240" s="286">
        <v>6709461</v>
      </c>
      <c r="AV240" s="286" t="b">
        <f>наценка7[[#This Row],[Аллио]]=наценка7[[#This Row],[Первичка тест]]</f>
        <v>1</v>
      </c>
    </row>
    <row r="241" spans="1:48" hidden="1" x14ac:dyDescent="0.25">
      <c r="A241" s="65">
        <v>239</v>
      </c>
      <c r="B241" s="2">
        <f>_xlfn.XLOOKUP(наценка7[[#This Row],[№]],Д402[№],Д402[Секция],"-",0)</f>
        <v>3</v>
      </c>
      <c r="C241" s="2">
        <f>_xlfn.XLOOKUP(наценка7[[#This Row],[№]],Д402[№],Д402[Этаж],"-",0)</f>
        <v>11</v>
      </c>
      <c r="D241" s="2">
        <f>_xlfn.XLOOKUP(наценка7[[#This Row],[№]],Д402[№],Д402[№ на этаже],"-",0)</f>
        <v>5</v>
      </c>
      <c r="E241" s="2">
        <f>_xlfn.XLOOKUP(наценка7[[#This Row],[№]],Д402[№],Д402[Тип кв],"-",0)</f>
        <v>2</v>
      </c>
      <c r="F241" s="51">
        <f>_xlfn.XLOOKUP(наценка7[[#This Row],[№]],Д402[№],Д402[Кухня],"-",0)</f>
        <v>11.33</v>
      </c>
      <c r="G241" s="51">
        <f>_xlfn.XLOOKUP(наценка7[[#This Row],[№]],Д402[№],Д402[Ванная],"-",0)</f>
        <v>4.41</v>
      </c>
      <c r="H241" s="51" t="s">
        <v>85</v>
      </c>
      <c r="I241" s="51"/>
      <c r="J241" s="51" t="s">
        <v>101</v>
      </c>
      <c r="K241" s="51"/>
      <c r="L241" s="51"/>
      <c r="M241" s="51" t="s">
        <v>83</v>
      </c>
      <c r="N241" s="51"/>
      <c r="O241" s="51" t="s">
        <v>101</v>
      </c>
      <c r="P241" s="51" t="s">
        <v>101</v>
      </c>
      <c r="Q241" s="129"/>
      <c r="R241" s="51" t="s">
        <v>101</v>
      </c>
      <c r="S241" s="51"/>
      <c r="T241" s="51">
        <f>_xlfn.XLOOKUP(наценка7[[#This Row],[№]],Д402[№],Д402[Расчетная проектная площадь],"-",0)</f>
        <v>59.17</v>
      </c>
      <c r="U241" s="17">
        <f t="shared" si="4"/>
        <v>89000</v>
      </c>
      <c r="V24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41" s="18">
        <f>наценка7[[#This Row],[Цена м2 базовая]]*наценка7[[#This Row],[Базовой K]]</f>
        <v>113030</v>
      </c>
      <c r="X24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4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4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1" s="55" t="str">
        <f>IF(наценка7[[#This Row],[Потолок ]]="ДА",коэффициенты!$C$13,"")</f>
        <v/>
      </c>
      <c r="AG24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41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4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4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1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4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1" s="52">
        <f>SUM(наценка7[[#This Row],[еврокухня]:[Лифт]])*наценка7[[#This Row],[Цена м2 с БK]]+наценка7[[#This Row],[Цена м2 с БK]]</f>
        <v>118681.5</v>
      </c>
      <c r="AQ241" s="51">
        <f>VLOOKUP(наценка7[[#This Row],[№]],Д402[],COLUMN(Д402[[#This Row],[утв цена м2]]),0)</f>
        <v>124128.98</v>
      </c>
      <c r="AR241" s="3">
        <f>наценка7[[#This Row],[утв цена м2]]*наценка7[[#This Row],[Расчетная проектная площадь]]</f>
        <v>7344711.7466000002</v>
      </c>
      <c r="AS241" s="27" t="str">
        <f>VLOOKUP(наценка7[[#This Row],[№]],Д402[],COLUMN('Реестр ОН'!$BA$1),0)</f>
        <v>Свободно</v>
      </c>
      <c r="AT241" s="281">
        <f>ROUND(наценка7[[#This Row],[Цена м2 с учетом всех K]]*наценка7[[#This Row],[Расчетная проектная площадь]],0)</f>
        <v>7022384</v>
      </c>
      <c r="AU241" s="286">
        <v>7022384</v>
      </c>
      <c r="AV241" s="286" t="b">
        <f>наценка7[[#This Row],[Аллио]]=наценка7[[#This Row],[Первичка тест]]</f>
        <v>1</v>
      </c>
    </row>
    <row r="242" spans="1:48" hidden="1" x14ac:dyDescent="0.25">
      <c r="A242" s="65">
        <v>240</v>
      </c>
      <c r="B242" s="2">
        <f>_xlfn.XLOOKUP(наценка7[[#This Row],[№]],Д402[№],Д402[Секция],"-",0)</f>
        <v>3</v>
      </c>
      <c r="C242" s="2">
        <f>_xlfn.XLOOKUP(наценка7[[#This Row],[№]],Д402[№],Д402[Этаж],"-",0)</f>
        <v>11</v>
      </c>
      <c r="D242" s="2">
        <f>_xlfn.XLOOKUP(наценка7[[#This Row],[№]],Д402[№],Д402[№ на этаже],"-",0)</f>
        <v>6</v>
      </c>
      <c r="E242" s="2">
        <f>_xlfn.XLOOKUP(наценка7[[#This Row],[№]],Д402[№],Д402[Тип кв],"-",0)</f>
        <v>0</v>
      </c>
      <c r="F242" s="51">
        <f>_xlfn.XLOOKUP(наценка7[[#This Row],[№]],Д402[№],Д402[Кухня],"-",0)</f>
        <v>5</v>
      </c>
      <c r="G242" s="51">
        <f>_xlfn.XLOOKUP(наценка7[[#This Row],[№]],Д402[№],Д402[Ванная],"-",0)</f>
        <v>4.2</v>
      </c>
      <c r="H242" s="51" t="s">
        <v>84</v>
      </c>
      <c r="I242" s="51"/>
      <c r="J242" s="51"/>
      <c r="K242" s="51" t="s">
        <v>101</v>
      </c>
      <c r="L242" s="51" t="s">
        <v>119</v>
      </c>
      <c r="M242" s="51" t="s">
        <v>83</v>
      </c>
      <c r="N242" s="51"/>
      <c r="O242" s="51" t="s">
        <v>119</v>
      </c>
      <c r="P242" s="51"/>
      <c r="Q242" s="129"/>
      <c r="R242" s="129"/>
      <c r="S242" s="51" t="s">
        <v>101</v>
      </c>
      <c r="T242" s="51">
        <f>_xlfn.XLOOKUP(наценка7[[#This Row],[№]],Д402[№],Д402[Расчетная проектная площадь],"-",0)</f>
        <v>29.66</v>
      </c>
      <c r="U242" s="17">
        <f t="shared" si="4"/>
        <v>89000</v>
      </c>
      <c r="V24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42" s="18">
        <f>наценка7[[#This Row],[Цена м2 базовая]]*наценка7[[#This Row],[Базовой K]]</f>
        <v>139730</v>
      </c>
      <c r="X24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4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4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4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2" s="55" t="str">
        <f>IF(наценка7[[#This Row],[Потолок ]]="ДА",коэффициенты!$C$13,"")</f>
        <v/>
      </c>
      <c r="AG24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4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4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2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4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2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42" s="52">
        <f>SUM(наценка7[[#This Row],[еврокухня]:[Лифт]])*наценка7[[#This Row],[Цена м2 с БK]]+наценка7[[#This Row],[Цена м2 с БK]]</f>
        <v>139730</v>
      </c>
      <c r="AQ242" s="51">
        <f>VLOOKUP(наценка7[[#This Row],[№]],Д402[],COLUMN(Д402[[#This Row],[утв цена м2]]),0)</f>
        <v>140962.5</v>
      </c>
      <c r="AR242" s="3">
        <f>наценка7[[#This Row],[утв цена м2]]*наценка7[[#This Row],[Расчетная проектная площадь]]</f>
        <v>4180947.75</v>
      </c>
      <c r="AS242" s="27" t="str">
        <f>VLOOKUP(наценка7[[#This Row],[№]],Д402[],COLUMN('Реестр ОН'!$BA$1),0)</f>
        <v>Стр. Резерв</v>
      </c>
      <c r="AT242" s="281">
        <f>ROUND(наценка7[[#This Row],[Цена м2 с учетом всех K]]*наценка7[[#This Row],[Расчетная проектная площадь]],0)</f>
        <v>4144392</v>
      </c>
      <c r="AU242" s="286">
        <v>4144392</v>
      </c>
      <c r="AV242" s="286" t="b">
        <f>наценка7[[#This Row],[Аллио]]=наценка7[[#This Row],[Первичка тест]]</f>
        <v>1</v>
      </c>
    </row>
    <row r="243" spans="1:48" hidden="1" x14ac:dyDescent="0.25">
      <c r="A243" s="65">
        <v>241</v>
      </c>
      <c r="B243" s="2">
        <f>_xlfn.XLOOKUP(наценка7[[#This Row],[№]],Д402[№],Д402[Секция],"-",0)</f>
        <v>3</v>
      </c>
      <c r="C243" s="2">
        <f>_xlfn.XLOOKUP(наценка7[[#This Row],[№]],Д402[№],Д402[Этаж],"-",0)</f>
        <v>12</v>
      </c>
      <c r="D243" s="2">
        <f>_xlfn.XLOOKUP(наценка7[[#This Row],[№]],Д402[№],Д402[№ на этаже],"-",0)</f>
        <v>1</v>
      </c>
      <c r="E243" s="2">
        <f>_xlfn.XLOOKUP(наценка7[[#This Row],[№]],Д402[№],Д402[Тип кв],"-",0)</f>
        <v>1</v>
      </c>
      <c r="F243" s="51">
        <f>_xlfn.XLOOKUP(наценка7[[#This Row],[№]],Д402[№],Д402[Кухня],"-",0)</f>
        <v>16.11</v>
      </c>
      <c r="G243" s="51">
        <f>_xlfn.XLOOKUP(наценка7[[#This Row],[№]],Д402[№],Д402[Ванная],"-",0)</f>
        <v>4.09</v>
      </c>
      <c r="H243" s="51" t="s">
        <v>84</v>
      </c>
      <c r="I243" s="51"/>
      <c r="J243" s="51" t="s">
        <v>101</v>
      </c>
      <c r="K243" s="51" t="s">
        <v>101</v>
      </c>
      <c r="L243" s="51"/>
      <c r="M243" s="51" t="s">
        <v>83</v>
      </c>
      <c r="N243" s="51" t="s">
        <v>101</v>
      </c>
      <c r="O243" s="51" t="s">
        <v>119</v>
      </c>
      <c r="P243" s="51" t="s">
        <v>101</v>
      </c>
      <c r="Q243" s="129"/>
      <c r="R243" s="129"/>
      <c r="S243" s="51"/>
      <c r="T243" s="51">
        <f>_xlfn.XLOOKUP(наценка7[[#This Row],[№]],Д402[№],Д402[Расчетная проектная площадь],"-",0)</f>
        <v>44.16</v>
      </c>
      <c r="U243" s="17">
        <f t="shared" si="4"/>
        <v>89000</v>
      </c>
      <c r="V24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43" s="18">
        <f>наценка7[[#This Row],[Цена м2 базовая]]*наценка7[[#This Row],[Базовой K]]</f>
        <v>119260</v>
      </c>
      <c r="X24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4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4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3" s="55" t="str">
        <f>IF(наценка7[[#This Row],[Потолок ]]="ДА",коэффициенты!$C$13,"")</f>
        <v/>
      </c>
      <c r="AG24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4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4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3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4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3" s="52">
        <f>SUM(наценка7[[#This Row],[еврокухня]:[Лифт]])*наценка7[[#This Row],[Цена м2 с БK]]+наценка7[[#This Row],[Цена м2 с БK]]</f>
        <v>122837.8</v>
      </c>
      <c r="AQ243" s="51">
        <f>VLOOKUP(наценка7[[#This Row],[№]],Д402[],COLUMN(Д402[[#This Row],[утв цена м2]]),0)</f>
        <v>132309.91</v>
      </c>
      <c r="AR243" s="3">
        <f>наценка7[[#This Row],[утв цена м2]]*наценка7[[#This Row],[Расчетная проектная площадь]]</f>
        <v>5842805.6255999999</v>
      </c>
      <c r="AS243" s="27" t="str">
        <f>VLOOKUP(наценка7[[#This Row],[№]],Д402[],COLUMN('Реестр ОН'!$BA$1),0)</f>
        <v>Стр. Резерв</v>
      </c>
      <c r="AT243" s="281">
        <f>ROUND(наценка7[[#This Row],[Цена м2 с учетом всех K]]*наценка7[[#This Row],[Расчетная проектная площадь]],0)</f>
        <v>5424517</v>
      </c>
      <c r="AU243" s="286">
        <v>5424517</v>
      </c>
      <c r="AV243" s="286" t="b">
        <f>наценка7[[#This Row],[Аллио]]=наценка7[[#This Row],[Первичка тест]]</f>
        <v>1</v>
      </c>
    </row>
    <row r="244" spans="1:48" hidden="1" x14ac:dyDescent="0.25">
      <c r="A244" s="65">
        <v>242</v>
      </c>
      <c r="B244" s="2">
        <f>_xlfn.XLOOKUP(наценка7[[#This Row],[№]],Д402[№],Д402[Секция],"-",0)</f>
        <v>3</v>
      </c>
      <c r="C244" s="2">
        <f>_xlfn.XLOOKUP(наценка7[[#This Row],[№]],Д402[№],Д402[Этаж],"-",0)</f>
        <v>12</v>
      </c>
      <c r="D244" s="2">
        <f>_xlfn.XLOOKUP(наценка7[[#This Row],[№]],Д402[№],Д402[№ на этаже],"-",0)</f>
        <v>2</v>
      </c>
      <c r="E244" s="2">
        <f>_xlfn.XLOOKUP(наценка7[[#This Row],[№]],Д402[№],Д402[Тип кв],"-",0)</f>
        <v>1</v>
      </c>
      <c r="F244" s="51">
        <f>_xlfn.XLOOKUP(наценка7[[#This Row],[№]],Д402[№],Д402[Кухня],"-",0)</f>
        <v>15.01</v>
      </c>
      <c r="G244" s="51">
        <f>_xlfn.XLOOKUP(наценка7[[#This Row],[№]],Д402[№],Д402[Ванная],"-",0)</f>
        <v>4.22</v>
      </c>
      <c r="H244" s="51" t="s">
        <v>87</v>
      </c>
      <c r="I244" s="51"/>
      <c r="J244" s="51" t="s">
        <v>101</v>
      </c>
      <c r="K244" s="51" t="s">
        <v>101</v>
      </c>
      <c r="L244" s="51"/>
      <c r="M244" s="51" t="s">
        <v>83</v>
      </c>
      <c r="N244" s="51"/>
      <c r="O244" s="51" t="s">
        <v>119</v>
      </c>
      <c r="P244" s="51" t="s">
        <v>101</v>
      </c>
      <c r="Q244" s="129"/>
      <c r="R244" s="129"/>
      <c r="S244" s="51"/>
      <c r="T244" s="51">
        <f>_xlfn.XLOOKUP(наценка7[[#This Row],[№]],Д402[№],Д402[Расчетная проектная площадь],"-",0)</f>
        <v>36.549999999999997</v>
      </c>
      <c r="U244" s="17">
        <f t="shared" si="4"/>
        <v>89000</v>
      </c>
      <c r="V24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44" s="18">
        <f>наценка7[[#This Row],[Цена м2 базовая]]*наценка7[[#This Row],[Базовой K]]</f>
        <v>119260</v>
      </c>
      <c r="X24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4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4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4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4" s="55" t="str">
        <f>IF(наценка7[[#This Row],[Потолок ]]="ДА",коэффициенты!$C$13,"")</f>
        <v/>
      </c>
      <c r="AG24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4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4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4" s="52">
        <f>SUM(наценка7[[#This Row],[еврокухня]:[Лифт]])*наценка7[[#This Row],[Цена м2 с БK]]+наценка7[[#This Row],[Цена м2 с БK]]</f>
        <v>126415.6</v>
      </c>
      <c r="AQ244" s="51">
        <f>VLOOKUP(наценка7[[#This Row],[№]],Д402[],COLUMN(Д402[[#This Row],[утв цена м2]]),0)</f>
        <v>129943.91</v>
      </c>
      <c r="AR244" s="3">
        <f>наценка7[[#This Row],[утв цена м2]]*наценка7[[#This Row],[Расчетная проектная площадь]]</f>
        <v>4749449.9104999993</v>
      </c>
      <c r="AS244" s="27" t="str">
        <f>VLOOKUP(наценка7[[#This Row],[№]],Д402[],COLUMN('Реестр ОН'!$BA$1),0)</f>
        <v>Продажа</v>
      </c>
      <c r="AT244" s="281">
        <f>ROUND(наценка7[[#This Row],[Цена м2 с учетом всех K]]*наценка7[[#This Row],[Расчетная проектная площадь]],0)</f>
        <v>4620490</v>
      </c>
      <c r="AU244" s="286">
        <v>4620490</v>
      </c>
      <c r="AV244" s="286" t="b">
        <f>наценка7[[#This Row],[Аллио]]=наценка7[[#This Row],[Первичка тест]]</f>
        <v>1</v>
      </c>
    </row>
    <row r="245" spans="1:48" hidden="1" x14ac:dyDescent="0.25">
      <c r="A245" s="65">
        <v>243</v>
      </c>
      <c r="B245" s="2">
        <f>_xlfn.XLOOKUP(наценка7[[#This Row],[№]],Д402[№],Д402[Секция],"-",0)</f>
        <v>3</v>
      </c>
      <c r="C245" s="2">
        <f>_xlfn.XLOOKUP(наценка7[[#This Row],[№]],Д402[№],Д402[Этаж],"-",0)</f>
        <v>12</v>
      </c>
      <c r="D245" s="2">
        <f>_xlfn.XLOOKUP(наценка7[[#This Row],[№]],Д402[№],Д402[№ на этаже],"-",0)</f>
        <v>3</v>
      </c>
      <c r="E245" s="2">
        <f>_xlfn.XLOOKUP(наценка7[[#This Row],[№]],Д402[№],Д402[Тип кв],"-",0)</f>
        <v>2</v>
      </c>
      <c r="F245" s="51">
        <f>_xlfn.XLOOKUP(наценка7[[#This Row],[№]],Д402[№],Д402[Кухня],"-",0)</f>
        <v>14.61</v>
      </c>
      <c r="G245" s="51">
        <f>_xlfn.XLOOKUP(наценка7[[#This Row],[№]],Д402[№],Д402[Ванная],"-",0)</f>
        <v>4.21</v>
      </c>
      <c r="H245" s="51" t="s">
        <v>87</v>
      </c>
      <c r="I245" s="51"/>
      <c r="J245" s="51" t="s">
        <v>101</v>
      </c>
      <c r="K245" s="51"/>
      <c r="L245" s="51"/>
      <c r="M245" s="51" t="s">
        <v>83</v>
      </c>
      <c r="N245" s="51"/>
      <c r="O245" s="51" t="s">
        <v>119</v>
      </c>
      <c r="P245" s="51" t="s">
        <v>101</v>
      </c>
      <c r="Q245" s="129"/>
      <c r="R245" s="129"/>
      <c r="S245" s="51"/>
      <c r="T245" s="51">
        <f>_xlfn.XLOOKUP(наценка7[[#This Row],[№]],Д402[№],Д402[Расчетная проектная площадь],"-",0)</f>
        <v>54.35</v>
      </c>
      <c r="U245" s="17">
        <f t="shared" si="4"/>
        <v>89000</v>
      </c>
      <c r="V24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45" s="18">
        <f>наценка7[[#This Row],[Цена м2 базовая]]*наценка7[[#This Row],[Базовой K]]</f>
        <v>113030</v>
      </c>
      <c r="X24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4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4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5" s="55" t="str">
        <f>IF(наценка7[[#This Row],[Потолок ]]="ДА",коэффициенты!$C$13,"")</f>
        <v/>
      </c>
      <c r="AG24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4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4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5" s="52">
        <f>SUM(наценка7[[#This Row],[еврокухня]:[Лифт]])*наценка7[[#This Row],[Цена м2 с БK]]+наценка7[[#This Row],[Цена м2 с БK]]</f>
        <v>119811.8</v>
      </c>
      <c r="AQ245" s="51">
        <f>VLOOKUP(наценка7[[#This Row],[№]],Д402[],COLUMN(Д402[[#This Row],[утв цена м2]]),0)</f>
        <v>124178.15</v>
      </c>
      <c r="AR245" s="3">
        <f>наценка7[[#This Row],[утв цена м2]]*наценка7[[#This Row],[Расчетная проектная площадь]]</f>
        <v>6749082.4524999997</v>
      </c>
      <c r="AS245" s="27" t="str">
        <f>VLOOKUP(наценка7[[#This Row],[№]],Д402[],COLUMN('Реестр ОН'!$BA$1),0)</f>
        <v>Стр. Резерв</v>
      </c>
      <c r="AT245" s="281">
        <f>ROUND(наценка7[[#This Row],[Цена м2 с учетом всех K]]*наценка7[[#This Row],[Расчетная проектная площадь]],0)</f>
        <v>6511771</v>
      </c>
      <c r="AU245" s="286">
        <v>6511771</v>
      </c>
      <c r="AV245" s="286" t="b">
        <f>наценка7[[#This Row],[Аллио]]=наценка7[[#This Row],[Первичка тест]]</f>
        <v>1</v>
      </c>
    </row>
    <row r="246" spans="1:48" hidden="1" x14ac:dyDescent="0.25">
      <c r="A246" s="65">
        <v>244</v>
      </c>
      <c r="B246" s="2">
        <f>_xlfn.XLOOKUP(наценка7[[#This Row],[№]],Д402[№],Д402[Секция],"-",0)</f>
        <v>3</v>
      </c>
      <c r="C246" s="2">
        <f>_xlfn.XLOOKUP(наценка7[[#This Row],[№]],Д402[№],Д402[Этаж],"-",0)</f>
        <v>12</v>
      </c>
      <c r="D246" s="2">
        <f>_xlfn.XLOOKUP(наценка7[[#This Row],[№]],Д402[№],Д402[№ на этаже],"-",0)</f>
        <v>4</v>
      </c>
      <c r="E246" s="2">
        <f>_xlfn.XLOOKUP(наценка7[[#This Row],[№]],Д402[№],Д402[Тип кв],"-",0)</f>
        <v>2</v>
      </c>
      <c r="F246" s="51">
        <f>_xlfn.XLOOKUP(наценка7[[#This Row],[№]],Д402[№],Д402[Кухня],"-",0)</f>
        <v>13.91</v>
      </c>
      <c r="G246" s="51">
        <f>_xlfn.XLOOKUP(наценка7[[#This Row],[№]],Д402[№],Д402[Ванная],"-",0)</f>
        <v>4.16</v>
      </c>
      <c r="H246" s="51" t="s">
        <v>87</v>
      </c>
      <c r="I246" s="51"/>
      <c r="J246" s="51" t="s">
        <v>101</v>
      </c>
      <c r="K246" s="51"/>
      <c r="L246" s="51"/>
      <c r="M246" s="51" t="s">
        <v>83</v>
      </c>
      <c r="N246" s="51"/>
      <c r="O246" s="51" t="s">
        <v>101</v>
      </c>
      <c r="P246" s="51" t="s">
        <v>101</v>
      </c>
      <c r="Q246" s="129"/>
      <c r="R246" s="129"/>
      <c r="S246" s="51"/>
      <c r="T246" s="51">
        <f>_xlfn.XLOOKUP(наценка7[[#This Row],[№]],Д402[№],Д402[Расчетная проектная площадь],"-",0)</f>
        <v>56</v>
      </c>
      <c r="U246" s="17">
        <f t="shared" si="4"/>
        <v>89000</v>
      </c>
      <c r="V24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46" s="18">
        <f>наценка7[[#This Row],[Цена м2 базовая]]*наценка7[[#This Row],[Базовой K]]</f>
        <v>113030</v>
      </c>
      <c r="X24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4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4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4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6" s="55" t="str">
        <f>IF(наценка7[[#This Row],[Потолок ]]="ДА",коэффициенты!$C$13,"")</f>
        <v/>
      </c>
      <c r="AG24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4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4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6" s="52">
        <f>SUM(наценка7[[#This Row],[еврокухня]:[Лифт]])*наценка7[[#This Row],[Цена м2 с БK]]+наценка7[[#This Row],[Цена м2 с БK]]</f>
        <v>119811.8</v>
      </c>
      <c r="AQ246" s="51">
        <f>VLOOKUP(наценка7[[#This Row],[№]],Д402[],COLUMN(Д402[[#This Row],[утв цена м2]]),0)</f>
        <v>126538.89</v>
      </c>
      <c r="AR246" s="3">
        <f>наценка7[[#This Row],[утв цена м2]]*наценка7[[#This Row],[Расчетная проектная площадь]]</f>
        <v>7086177.8399999999</v>
      </c>
      <c r="AS246" s="27" t="str">
        <f>VLOOKUP(наценка7[[#This Row],[№]],Д402[],COLUMN('Реестр ОН'!$BA$1),0)</f>
        <v>Свободно</v>
      </c>
      <c r="AT246" s="281">
        <f>ROUND(наценка7[[#This Row],[Цена м2 с учетом всех K]]*наценка7[[#This Row],[Расчетная проектная площадь]],0)</f>
        <v>6709461</v>
      </c>
      <c r="AU246" s="286">
        <v>6709461</v>
      </c>
      <c r="AV246" s="286" t="b">
        <f>наценка7[[#This Row],[Аллио]]=наценка7[[#This Row],[Первичка тест]]</f>
        <v>1</v>
      </c>
    </row>
    <row r="247" spans="1:48" hidden="1" x14ac:dyDescent="0.25">
      <c r="A247" s="65">
        <v>245</v>
      </c>
      <c r="B247" s="2">
        <f>_xlfn.XLOOKUP(наценка7[[#This Row],[№]],Д402[№],Д402[Секция],"-",0)</f>
        <v>3</v>
      </c>
      <c r="C247" s="2">
        <f>_xlfn.XLOOKUP(наценка7[[#This Row],[№]],Д402[№],Д402[Этаж],"-",0)</f>
        <v>12</v>
      </c>
      <c r="D247" s="2">
        <f>_xlfn.XLOOKUP(наценка7[[#This Row],[№]],Д402[№],Д402[№ на этаже],"-",0)</f>
        <v>5</v>
      </c>
      <c r="E247" s="2">
        <f>_xlfn.XLOOKUP(наценка7[[#This Row],[№]],Д402[№],Д402[Тип кв],"-",0)</f>
        <v>2</v>
      </c>
      <c r="F247" s="51">
        <f>_xlfn.XLOOKUP(наценка7[[#This Row],[№]],Д402[№],Д402[Кухня],"-",0)</f>
        <v>11.33</v>
      </c>
      <c r="G247" s="51">
        <f>_xlfn.XLOOKUP(наценка7[[#This Row],[№]],Д402[№],Д402[Ванная],"-",0)</f>
        <v>4.41</v>
      </c>
      <c r="H247" s="51" t="s">
        <v>85</v>
      </c>
      <c r="I247" s="51"/>
      <c r="J247" s="51" t="s">
        <v>101</v>
      </c>
      <c r="K247" s="51"/>
      <c r="L247" s="51"/>
      <c r="M247" s="51" t="s">
        <v>83</v>
      </c>
      <c r="N247" s="51"/>
      <c r="O247" s="51" t="s">
        <v>101</v>
      </c>
      <c r="P247" s="51" t="s">
        <v>101</v>
      </c>
      <c r="Q247" s="129"/>
      <c r="R247" s="51" t="s">
        <v>101</v>
      </c>
      <c r="S247" s="51"/>
      <c r="T247" s="51">
        <f>_xlfn.XLOOKUP(наценка7[[#This Row],[№]],Д402[№],Д402[Расчетная проектная площадь],"-",0)</f>
        <v>59.17</v>
      </c>
      <c r="U247" s="17">
        <f t="shared" si="4"/>
        <v>89000</v>
      </c>
      <c r="V24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47" s="18">
        <f>наценка7[[#This Row],[Цена м2 базовая]]*наценка7[[#This Row],[Базовой K]]</f>
        <v>113030</v>
      </c>
      <c r="X24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4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4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4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7" s="55" t="str">
        <f>IF(наценка7[[#This Row],[Потолок ]]="ДА",коэффициенты!$C$13,"")</f>
        <v/>
      </c>
      <c r="AG24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47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4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4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7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4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7" s="52">
        <f>SUM(наценка7[[#This Row],[еврокухня]:[Лифт]])*наценка7[[#This Row],[Цена м2 с БK]]+наценка7[[#This Row],[Цена м2 с БK]]</f>
        <v>118681.5</v>
      </c>
      <c r="AQ247" s="51">
        <f>VLOOKUP(наценка7[[#This Row],[№]],Д402[],COLUMN(Д402[[#This Row],[утв цена м2]]),0)</f>
        <v>124128.98</v>
      </c>
      <c r="AR247" s="3">
        <f>наценка7[[#This Row],[утв цена м2]]*наценка7[[#This Row],[Расчетная проектная площадь]]</f>
        <v>7344711.7466000002</v>
      </c>
      <c r="AS247" s="27" t="str">
        <f>VLOOKUP(наценка7[[#This Row],[№]],Д402[],COLUMN('Реестр ОН'!$BA$1),0)</f>
        <v>Стр. Резерв</v>
      </c>
      <c r="AT247" s="281">
        <f>ROUND(наценка7[[#This Row],[Цена м2 с учетом всех K]]*наценка7[[#This Row],[Расчетная проектная площадь]],0)</f>
        <v>7022384</v>
      </c>
      <c r="AU247" s="286">
        <v>7022384</v>
      </c>
      <c r="AV247" s="286" t="b">
        <f>наценка7[[#This Row],[Аллио]]=наценка7[[#This Row],[Первичка тест]]</f>
        <v>1</v>
      </c>
    </row>
    <row r="248" spans="1:48" hidden="1" x14ac:dyDescent="0.25">
      <c r="A248" s="65">
        <v>246</v>
      </c>
      <c r="B248" s="2">
        <f>_xlfn.XLOOKUP(наценка7[[#This Row],[№]],Д402[№],Д402[Секция],"-",0)</f>
        <v>3</v>
      </c>
      <c r="C248" s="2">
        <f>_xlfn.XLOOKUP(наценка7[[#This Row],[№]],Д402[№],Д402[Этаж],"-",0)</f>
        <v>12</v>
      </c>
      <c r="D248" s="2">
        <f>_xlfn.XLOOKUP(наценка7[[#This Row],[№]],Д402[№],Д402[№ на этаже],"-",0)</f>
        <v>6</v>
      </c>
      <c r="E248" s="2">
        <f>_xlfn.XLOOKUP(наценка7[[#This Row],[№]],Д402[№],Д402[Тип кв],"-",0)</f>
        <v>0</v>
      </c>
      <c r="F248" s="51">
        <f>_xlfn.XLOOKUP(наценка7[[#This Row],[№]],Д402[№],Д402[Кухня],"-",0)</f>
        <v>5</v>
      </c>
      <c r="G248" s="51">
        <f>_xlfn.XLOOKUP(наценка7[[#This Row],[№]],Д402[№],Д402[Ванная],"-",0)</f>
        <v>4.2</v>
      </c>
      <c r="H248" s="51" t="s">
        <v>84</v>
      </c>
      <c r="I248" s="51"/>
      <c r="J248" s="51"/>
      <c r="K248" s="51" t="s">
        <v>101</v>
      </c>
      <c r="L248" s="51" t="s">
        <v>119</v>
      </c>
      <c r="M248" s="51" t="s">
        <v>83</v>
      </c>
      <c r="N248" s="51"/>
      <c r="O248" s="51" t="s">
        <v>119</v>
      </c>
      <c r="P248" s="51"/>
      <c r="Q248" s="51"/>
      <c r="R248" s="51" t="s">
        <v>101</v>
      </c>
      <c r="S248" s="51" t="s">
        <v>101</v>
      </c>
      <c r="T248" s="51">
        <f>_xlfn.XLOOKUP(наценка7[[#This Row],[№]],Д402[№],Д402[Расчетная проектная площадь],"-",0)</f>
        <v>29.66</v>
      </c>
      <c r="U248" s="17">
        <f t="shared" si="4"/>
        <v>89000</v>
      </c>
      <c r="V24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48" s="18">
        <f>наценка7[[#This Row],[Цена м2 базовая]]*наценка7[[#This Row],[Базовой K]]</f>
        <v>139730</v>
      </c>
      <c r="X24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4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4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4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8" s="55" t="str">
        <f>IF(наценка7[[#This Row],[Потолок ]]="ДА",коэффициенты!$C$13,"")</f>
        <v/>
      </c>
      <c r="AG24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4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4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8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48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4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48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48" s="52">
        <f>SUM(наценка7[[#This Row],[еврокухня]:[Лифт]])*наценка7[[#This Row],[Цена м2 с БK]]+наценка7[[#This Row],[Цена м2 с БK]]</f>
        <v>138332.70000000001</v>
      </c>
      <c r="AQ248" s="51">
        <f>VLOOKUP(наценка7[[#This Row],[№]],Д402[],COLUMN(Д402[[#This Row],[утв цена м2]]),0)</f>
        <v>139565.20000000001</v>
      </c>
      <c r="AR248" s="3">
        <f>наценка7[[#This Row],[утв цена м2]]*наценка7[[#This Row],[Расчетная проектная площадь]]</f>
        <v>4139503.8320000004</v>
      </c>
      <c r="AS248" s="27" t="str">
        <f>VLOOKUP(наценка7[[#This Row],[№]],Д402[],COLUMN('Реестр ОН'!$BA$1),0)</f>
        <v>Стр. Резерв</v>
      </c>
      <c r="AT248" s="281">
        <f>ROUND(наценка7[[#This Row],[Цена м2 с учетом всех K]]*наценка7[[#This Row],[Расчетная проектная площадь]],0)</f>
        <v>4102948</v>
      </c>
      <c r="AU248" s="286">
        <v>4102948</v>
      </c>
      <c r="AV248" s="286" t="b">
        <f>наценка7[[#This Row],[Аллио]]=наценка7[[#This Row],[Первичка тест]]</f>
        <v>1</v>
      </c>
    </row>
    <row r="249" spans="1:48" hidden="1" x14ac:dyDescent="0.25">
      <c r="A249" s="65">
        <v>247</v>
      </c>
      <c r="B249" s="2">
        <f>_xlfn.XLOOKUP(наценка7[[#This Row],[№]],Д402[№],Д402[Секция],"-",0)</f>
        <v>3</v>
      </c>
      <c r="C249" s="2">
        <f>_xlfn.XLOOKUP(наценка7[[#This Row],[№]],Д402[№],Д402[Этаж],"-",0)</f>
        <v>13</v>
      </c>
      <c r="D249" s="2">
        <f>_xlfn.XLOOKUP(наценка7[[#This Row],[№]],Д402[№],Д402[№ на этаже],"-",0)</f>
        <v>1</v>
      </c>
      <c r="E249" s="2">
        <f>_xlfn.XLOOKUP(наценка7[[#This Row],[№]],Д402[№],Д402[Тип кв],"-",0)</f>
        <v>1</v>
      </c>
      <c r="F249" s="51">
        <f>_xlfn.XLOOKUP(наценка7[[#This Row],[№]],Д402[№],Д402[Кухня],"-",0)</f>
        <v>16.11</v>
      </c>
      <c r="G249" s="51">
        <f>_xlfn.XLOOKUP(наценка7[[#This Row],[№]],Д402[№],Д402[Ванная],"-",0)</f>
        <v>4.09</v>
      </c>
      <c r="H249" s="51" t="s">
        <v>84</v>
      </c>
      <c r="I249" s="51"/>
      <c r="J249" s="51" t="s">
        <v>101</v>
      </c>
      <c r="K249" s="51" t="s">
        <v>101</v>
      </c>
      <c r="L249" s="51"/>
      <c r="M249" s="51" t="s">
        <v>83</v>
      </c>
      <c r="N249" s="51" t="s">
        <v>101</v>
      </c>
      <c r="O249" s="51" t="s">
        <v>119</v>
      </c>
      <c r="P249" s="51"/>
      <c r="Q249" s="129"/>
      <c r="R249" s="129"/>
      <c r="S249" s="51"/>
      <c r="T249" s="51">
        <f>_xlfn.XLOOKUP(наценка7[[#This Row],[№]],Д402[№],Д402[Расчетная проектная площадь],"-",0)</f>
        <v>44.16</v>
      </c>
      <c r="U249" s="17">
        <f t="shared" si="4"/>
        <v>89000</v>
      </c>
      <c r="V24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49" s="18">
        <f>наценка7[[#This Row],[Цена м2 базовая]]*наценка7[[#This Row],[Базовой K]]</f>
        <v>119260</v>
      </c>
      <c r="X24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4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4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4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4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49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4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4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49" s="55" t="str">
        <f>IF(наценка7[[#This Row],[Потолок ]]="ДА",коэффициенты!$C$13,"")</f>
        <v/>
      </c>
      <c r="AG24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4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4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4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4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4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4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49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4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49" s="52">
        <f>SUM(наценка7[[#This Row],[еврокухня]:[Лифт]])*наценка7[[#This Row],[Цена м2 с БK]]+наценка7[[#This Row],[Цена м2 с БK]]</f>
        <v>120452.6</v>
      </c>
      <c r="AQ249" s="51">
        <f>VLOOKUP(наценка7[[#This Row],[№]],Д402[],COLUMN(Д402[[#This Row],[утв цена м2]]),0)</f>
        <v>124094.15</v>
      </c>
      <c r="AR249" s="3">
        <f>наценка7[[#This Row],[утв цена м2]]*наценка7[[#This Row],[Расчетная проектная площадь]]</f>
        <v>5479997.6639999989</v>
      </c>
      <c r="AS249" s="27" t="str">
        <f>VLOOKUP(наценка7[[#This Row],[№]],Д402[],COLUMN('Реестр ОН'!$BA$1),0)</f>
        <v>Продажа</v>
      </c>
      <c r="AT249" s="281">
        <f>ROUND(наценка7[[#This Row],[Цена м2 с учетом всех K]]*наценка7[[#This Row],[Расчетная проектная площадь]],0)</f>
        <v>5319187</v>
      </c>
      <c r="AU249" s="286">
        <v>5319187</v>
      </c>
      <c r="AV249" s="286" t="b">
        <f>наценка7[[#This Row],[Аллио]]=наценка7[[#This Row],[Первичка тест]]</f>
        <v>1</v>
      </c>
    </row>
    <row r="250" spans="1:48" hidden="1" x14ac:dyDescent="0.25">
      <c r="A250" s="65">
        <v>248</v>
      </c>
      <c r="B250" s="2">
        <f>_xlfn.XLOOKUP(наценка7[[#This Row],[№]],Д402[№],Д402[Секция],"-",0)</f>
        <v>3</v>
      </c>
      <c r="C250" s="2">
        <f>_xlfn.XLOOKUP(наценка7[[#This Row],[№]],Д402[№],Д402[Этаж],"-",0)</f>
        <v>13</v>
      </c>
      <c r="D250" s="2">
        <f>_xlfn.XLOOKUP(наценка7[[#This Row],[№]],Д402[№],Д402[№ на этаже],"-",0)</f>
        <v>2</v>
      </c>
      <c r="E250" s="2">
        <f>_xlfn.XLOOKUP(наценка7[[#This Row],[№]],Д402[№],Д402[Тип кв],"-",0)</f>
        <v>1</v>
      </c>
      <c r="F250" s="51">
        <f>_xlfn.XLOOKUP(наценка7[[#This Row],[№]],Д402[№],Д402[Кухня],"-",0)</f>
        <v>15.01</v>
      </c>
      <c r="G250" s="51">
        <f>_xlfn.XLOOKUP(наценка7[[#This Row],[№]],Д402[№],Д402[Ванная],"-",0)</f>
        <v>4.22</v>
      </c>
      <c r="H250" s="51" t="s">
        <v>87</v>
      </c>
      <c r="I250" s="51"/>
      <c r="J250" s="51" t="s">
        <v>101</v>
      </c>
      <c r="K250" s="51" t="s">
        <v>101</v>
      </c>
      <c r="L250" s="51"/>
      <c r="M250" s="51" t="s">
        <v>83</v>
      </c>
      <c r="N250" s="51"/>
      <c r="O250" s="51" t="s">
        <v>119</v>
      </c>
      <c r="P250" s="51"/>
      <c r="Q250" s="129"/>
      <c r="R250" s="129"/>
      <c r="S250" s="51"/>
      <c r="T250" s="51">
        <f>_xlfn.XLOOKUP(наценка7[[#This Row],[№]],Д402[№],Д402[Расчетная проектная площадь],"-",0)</f>
        <v>36.549999999999997</v>
      </c>
      <c r="U250" s="17">
        <f t="shared" si="4"/>
        <v>89000</v>
      </c>
      <c r="V25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50" s="18">
        <f>наценка7[[#This Row],[Цена м2 базовая]]*наценка7[[#This Row],[Базовой K]]</f>
        <v>119260</v>
      </c>
      <c r="X25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5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5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5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5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0" s="55" t="str">
        <f>IF(наценка7[[#This Row],[Потолок ]]="ДА",коэффициенты!$C$13,"")</f>
        <v/>
      </c>
      <c r="AG25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5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5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0" s="52">
        <f>SUM(наценка7[[#This Row],[еврокухня]:[Лифт]])*наценка7[[#This Row],[Цена м2 с БK]]+наценка7[[#This Row],[Цена м2 с БK]]</f>
        <v>124030.39999999999</v>
      </c>
      <c r="AQ250" s="51">
        <f>VLOOKUP(наценка7[[#This Row],[№]],Д402[],COLUMN(Д402[[#This Row],[утв цена м2]]),0)</f>
        <v>132265.82</v>
      </c>
      <c r="AR250" s="3">
        <f>наценка7[[#This Row],[утв цена м2]]*наценка7[[#This Row],[Расчетная проектная площадь]]</f>
        <v>4834315.7209999999</v>
      </c>
      <c r="AS250" s="27" t="str">
        <f>VLOOKUP(наценка7[[#This Row],[№]],Д402[],COLUMN('Реестр ОН'!$BA$1),0)</f>
        <v>Продажа</v>
      </c>
      <c r="AT250" s="281">
        <f>ROUND(наценка7[[#This Row],[Цена м2 с учетом всех K]]*наценка7[[#This Row],[Расчетная проектная площадь]],0)</f>
        <v>4533311</v>
      </c>
      <c r="AU250" s="286">
        <v>4533311</v>
      </c>
      <c r="AV250" s="286" t="b">
        <f>наценка7[[#This Row],[Аллио]]=наценка7[[#This Row],[Первичка тест]]</f>
        <v>1</v>
      </c>
    </row>
    <row r="251" spans="1:48" hidden="1" x14ac:dyDescent="0.25">
      <c r="A251" s="65">
        <v>249</v>
      </c>
      <c r="B251" s="2">
        <f>_xlfn.XLOOKUP(наценка7[[#This Row],[№]],Д402[№],Д402[Секция],"-",0)</f>
        <v>3</v>
      </c>
      <c r="C251" s="2">
        <f>_xlfn.XLOOKUP(наценка7[[#This Row],[№]],Д402[№],Д402[Этаж],"-",0)</f>
        <v>13</v>
      </c>
      <c r="D251" s="2">
        <f>_xlfn.XLOOKUP(наценка7[[#This Row],[№]],Д402[№],Д402[№ на этаже],"-",0)</f>
        <v>3</v>
      </c>
      <c r="E251" s="2">
        <f>_xlfn.XLOOKUP(наценка7[[#This Row],[№]],Д402[№],Д402[Тип кв],"-",0)</f>
        <v>2</v>
      </c>
      <c r="F251" s="51">
        <f>_xlfn.XLOOKUP(наценка7[[#This Row],[№]],Д402[№],Д402[Кухня],"-",0)</f>
        <v>14.61</v>
      </c>
      <c r="G251" s="51">
        <f>_xlfn.XLOOKUP(наценка7[[#This Row],[№]],Д402[№],Д402[Ванная],"-",0)</f>
        <v>4.21</v>
      </c>
      <c r="H251" s="51" t="s">
        <v>87</v>
      </c>
      <c r="I251" s="51"/>
      <c r="J251" s="51" t="s">
        <v>101</v>
      </c>
      <c r="K251" s="51"/>
      <c r="L251" s="51"/>
      <c r="M251" s="51" t="s">
        <v>83</v>
      </c>
      <c r="N251" s="51"/>
      <c r="O251" s="51" t="s">
        <v>119</v>
      </c>
      <c r="P251" s="51" t="s">
        <v>101</v>
      </c>
      <c r="Q251" s="129"/>
      <c r="R251" s="129"/>
      <c r="S251" s="51"/>
      <c r="T251" s="51">
        <f>_xlfn.XLOOKUP(наценка7[[#This Row],[№]],Д402[№],Д402[Расчетная проектная площадь],"-",0)</f>
        <v>54.35</v>
      </c>
      <c r="U251" s="17">
        <f t="shared" si="4"/>
        <v>89000</v>
      </c>
      <c r="V25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51" s="18">
        <f>наценка7[[#This Row],[Цена м2 базовая]]*наценка7[[#This Row],[Базовой K]]</f>
        <v>113030</v>
      </c>
      <c r="X25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5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5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5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1" s="55" t="str">
        <f>IF(наценка7[[#This Row],[Потолок ]]="ДА",коэффициенты!$C$13,"")</f>
        <v/>
      </c>
      <c r="AG25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5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5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1" s="52">
        <f>SUM(наценка7[[#This Row],[еврокухня]:[Лифт]])*наценка7[[#This Row],[Цена м2 с БK]]+наценка7[[#This Row],[Цена м2 с БK]]</f>
        <v>119811.8</v>
      </c>
      <c r="AQ251" s="51">
        <f>VLOOKUP(наценка7[[#This Row],[№]],Д402[],COLUMN(Д402[[#This Row],[утв цена м2]]),0)</f>
        <v>124178.15</v>
      </c>
      <c r="AR251" s="3">
        <f>наценка7[[#This Row],[утв цена м2]]*наценка7[[#This Row],[Расчетная проектная площадь]]</f>
        <v>6749082.4524999997</v>
      </c>
      <c r="AS251" s="27" t="str">
        <f>VLOOKUP(наценка7[[#This Row],[№]],Д402[],COLUMN('Реестр ОН'!$BA$1),0)</f>
        <v>Продажа</v>
      </c>
      <c r="AT251" s="281">
        <f>ROUND(наценка7[[#This Row],[Цена м2 с учетом всех K]]*наценка7[[#This Row],[Расчетная проектная площадь]],0)</f>
        <v>6511771</v>
      </c>
      <c r="AU251" s="286">
        <v>6511771</v>
      </c>
      <c r="AV251" s="286" t="b">
        <f>наценка7[[#This Row],[Аллио]]=наценка7[[#This Row],[Первичка тест]]</f>
        <v>1</v>
      </c>
    </row>
    <row r="252" spans="1:48" hidden="1" x14ac:dyDescent="0.25">
      <c r="A252" s="65">
        <v>250</v>
      </c>
      <c r="B252" s="2">
        <f>_xlfn.XLOOKUP(наценка7[[#This Row],[№]],Д402[№],Д402[Секция],"-",0)</f>
        <v>3</v>
      </c>
      <c r="C252" s="2">
        <f>_xlfn.XLOOKUP(наценка7[[#This Row],[№]],Д402[№],Д402[Этаж],"-",0)</f>
        <v>13</v>
      </c>
      <c r="D252" s="2">
        <f>_xlfn.XLOOKUP(наценка7[[#This Row],[№]],Д402[№],Д402[№ на этаже],"-",0)</f>
        <v>4</v>
      </c>
      <c r="E252" s="2">
        <f>_xlfn.XLOOKUP(наценка7[[#This Row],[№]],Д402[№],Д402[Тип кв],"-",0)</f>
        <v>2</v>
      </c>
      <c r="F252" s="51">
        <f>_xlfn.XLOOKUP(наценка7[[#This Row],[№]],Д402[№],Д402[Кухня],"-",0)</f>
        <v>13.91</v>
      </c>
      <c r="G252" s="51">
        <f>_xlfn.XLOOKUP(наценка7[[#This Row],[№]],Д402[№],Д402[Ванная],"-",0)</f>
        <v>4.16</v>
      </c>
      <c r="H252" s="51" t="s">
        <v>87</v>
      </c>
      <c r="I252" s="51"/>
      <c r="J252" s="51" t="s">
        <v>101</v>
      </c>
      <c r="K252" s="51"/>
      <c r="L252" s="51"/>
      <c r="M252" s="51" t="s">
        <v>83</v>
      </c>
      <c r="N252" s="51"/>
      <c r="O252" s="51" t="s">
        <v>101</v>
      </c>
      <c r="P252" s="51" t="s">
        <v>101</v>
      </c>
      <c r="Q252" s="129"/>
      <c r="R252" s="129"/>
      <c r="S252" s="51"/>
      <c r="T252" s="51">
        <f>_xlfn.XLOOKUP(наценка7[[#This Row],[№]],Д402[№],Д402[Расчетная проектная площадь],"-",0)</f>
        <v>56</v>
      </c>
      <c r="U252" s="17">
        <f t="shared" si="4"/>
        <v>89000</v>
      </c>
      <c r="V25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52" s="18">
        <f>наценка7[[#This Row],[Цена м2 базовая]]*наценка7[[#This Row],[Базовой K]]</f>
        <v>113030</v>
      </c>
      <c r="X25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5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5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5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5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2" s="55" t="str">
        <f>IF(наценка7[[#This Row],[Потолок ]]="ДА",коэффициенты!$C$13,"")</f>
        <v/>
      </c>
      <c r="AG25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5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5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2" s="52">
        <f>SUM(наценка7[[#This Row],[еврокухня]:[Лифт]])*наценка7[[#This Row],[Цена м2 с БK]]+наценка7[[#This Row],[Цена м2 с БK]]</f>
        <v>119811.8</v>
      </c>
      <c r="AQ252" s="51">
        <f>VLOOKUP(наценка7[[#This Row],[№]],Д402[],COLUMN(Д402[[#This Row],[утв цена м2]]),0)</f>
        <v>126538.89</v>
      </c>
      <c r="AR252" s="3">
        <f>наценка7[[#This Row],[утв цена м2]]*наценка7[[#This Row],[Расчетная проектная площадь]]</f>
        <v>7086177.8399999999</v>
      </c>
      <c r="AS252" s="27" t="str">
        <f>VLOOKUP(наценка7[[#This Row],[№]],Д402[],COLUMN('Реестр ОН'!$BA$1),0)</f>
        <v>Стр. Резерв</v>
      </c>
      <c r="AT252" s="281">
        <f>ROUND(наценка7[[#This Row],[Цена м2 с учетом всех K]]*наценка7[[#This Row],[Расчетная проектная площадь]],0)</f>
        <v>6709461</v>
      </c>
      <c r="AU252" s="286">
        <v>6709461</v>
      </c>
      <c r="AV252" s="286" t="b">
        <f>наценка7[[#This Row],[Аллио]]=наценка7[[#This Row],[Первичка тест]]</f>
        <v>1</v>
      </c>
    </row>
    <row r="253" spans="1:48" hidden="1" x14ac:dyDescent="0.25">
      <c r="A253" s="65">
        <v>251</v>
      </c>
      <c r="B253" s="2">
        <f>_xlfn.XLOOKUP(наценка7[[#This Row],[№]],Д402[№],Д402[Секция],"-",0)</f>
        <v>3</v>
      </c>
      <c r="C253" s="2">
        <f>_xlfn.XLOOKUP(наценка7[[#This Row],[№]],Д402[№],Д402[Этаж],"-",0)</f>
        <v>13</v>
      </c>
      <c r="D253" s="2">
        <f>_xlfn.XLOOKUP(наценка7[[#This Row],[№]],Д402[№],Д402[№ на этаже],"-",0)</f>
        <v>5</v>
      </c>
      <c r="E253" s="2">
        <f>_xlfn.XLOOKUP(наценка7[[#This Row],[№]],Д402[№],Д402[Тип кв],"-",0)</f>
        <v>2</v>
      </c>
      <c r="F253" s="51">
        <f>_xlfn.XLOOKUP(наценка7[[#This Row],[№]],Д402[№],Д402[Кухня],"-",0)</f>
        <v>11.33</v>
      </c>
      <c r="G253" s="51">
        <f>_xlfn.XLOOKUP(наценка7[[#This Row],[№]],Д402[№],Д402[Ванная],"-",0)</f>
        <v>4.41</v>
      </c>
      <c r="H253" s="51" t="s">
        <v>85</v>
      </c>
      <c r="I253" s="51"/>
      <c r="J253" s="51" t="s">
        <v>101</v>
      </c>
      <c r="K253" s="51"/>
      <c r="L253" s="51"/>
      <c r="M253" s="51" t="s">
        <v>83</v>
      </c>
      <c r="N253" s="51"/>
      <c r="O253" s="51" t="s">
        <v>101</v>
      </c>
      <c r="P253" s="51"/>
      <c r="Q253" s="129"/>
      <c r="R253" s="51" t="s">
        <v>101</v>
      </c>
      <c r="S253" s="51"/>
      <c r="T253" s="51">
        <f>_xlfn.XLOOKUP(наценка7[[#This Row],[№]],Д402[№],Д402[Расчетная проектная площадь],"-",0)</f>
        <v>59.17</v>
      </c>
      <c r="U253" s="17">
        <f t="shared" si="4"/>
        <v>89000</v>
      </c>
      <c r="V25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53" s="18">
        <f>наценка7[[#This Row],[Цена м2 базовая]]*наценка7[[#This Row],[Базовой K]]</f>
        <v>113030</v>
      </c>
      <c r="X25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5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5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5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3" s="55" t="str">
        <f>IF(наценка7[[#This Row],[Потолок ]]="ДА",коэффициенты!$C$13,"")</f>
        <v/>
      </c>
      <c r="AG25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53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5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5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3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5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3" s="52">
        <f>SUM(наценка7[[#This Row],[еврокухня]:[Лифт]])*наценка7[[#This Row],[Цена м2 с БK]]+наценка7[[#This Row],[Цена м2 с БK]]</f>
        <v>116420.9</v>
      </c>
      <c r="AQ253" s="51">
        <f>VLOOKUP(наценка7[[#This Row],[№]],Д402[],COLUMN(Д402[[#This Row],[утв цена м2]]),0)</f>
        <v>121788.92</v>
      </c>
      <c r="AR253" s="3">
        <f>наценка7[[#This Row],[утв цена м2]]*наценка7[[#This Row],[Расчетная проектная площадь]]</f>
        <v>7206250.3964</v>
      </c>
      <c r="AS253" s="27" t="str">
        <f>VLOOKUP(наценка7[[#This Row],[№]],Д402[],COLUMN('Реестр ОН'!$BA$1),0)</f>
        <v>Стр. Резерв</v>
      </c>
      <c r="AT253" s="281">
        <f>ROUND(наценка7[[#This Row],[Цена м2 с учетом всех K]]*наценка7[[#This Row],[Расчетная проектная площадь]],0)</f>
        <v>6888625</v>
      </c>
      <c r="AU253" s="286">
        <v>6888625</v>
      </c>
      <c r="AV253" s="286" t="b">
        <f>наценка7[[#This Row],[Аллио]]=наценка7[[#This Row],[Первичка тест]]</f>
        <v>1</v>
      </c>
    </row>
    <row r="254" spans="1:48" hidden="1" x14ac:dyDescent="0.25">
      <c r="A254" s="65">
        <v>252</v>
      </c>
      <c r="B254" s="2">
        <f>_xlfn.XLOOKUP(наценка7[[#This Row],[№]],Д402[№],Д402[Секция],"-",0)</f>
        <v>3</v>
      </c>
      <c r="C254" s="2">
        <f>_xlfn.XLOOKUP(наценка7[[#This Row],[№]],Д402[№],Д402[Этаж],"-",0)</f>
        <v>13</v>
      </c>
      <c r="D254" s="2">
        <f>_xlfn.XLOOKUP(наценка7[[#This Row],[№]],Д402[№],Д402[№ на этаже],"-",0)</f>
        <v>6</v>
      </c>
      <c r="E254" s="2">
        <f>_xlfn.XLOOKUP(наценка7[[#This Row],[№]],Д402[№],Д402[Тип кв],"-",0)</f>
        <v>0</v>
      </c>
      <c r="F254" s="51">
        <f>_xlfn.XLOOKUP(наценка7[[#This Row],[№]],Д402[№],Д402[Кухня],"-",0)</f>
        <v>5</v>
      </c>
      <c r="G254" s="51">
        <f>_xlfn.XLOOKUP(наценка7[[#This Row],[№]],Д402[№],Д402[Ванная],"-",0)</f>
        <v>4.2</v>
      </c>
      <c r="H254" s="51" t="s">
        <v>84</v>
      </c>
      <c r="I254" s="51"/>
      <c r="J254" s="51"/>
      <c r="K254" s="51" t="s">
        <v>101</v>
      </c>
      <c r="L254" s="51" t="s">
        <v>119</v>
      </c>
      <c r="M254" s="51" t="s">
        <v>83</v>
      </c>
      <c r="N254" s="51"/>
      <c r="O254" s="51" t="s">
        <v>119</v>
      </c>
      <c r="P254" s="51"/>
      <c r="Q254" s="51"/>
      <c r="R254" s="51" t="s">
        <v>101</v>
      </c>
      <c r="S254" s="51" t="s">
        <v>101</v>
      </c>
      <c r="T254" s="51">
        <f>_xlfn.XLOOKUP(наценка7[[#This Row],[№]],Д402[№],Д402[Расчетная проектная площадь],"-",0)</f>
        <v>29.66</v>
      </c>
      <c r="U254" s="17">
        <f t="shared" si="4"/>
        <v>89000</v>
      </c>
      <c r="V25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54" s="18">
        <f>наценка7[[#This Row],[Цена м2 базовая]]*наценка7[[#This Row],[Базовой K]]</f>
        <v>139730</v>
      </c>
      <c r="X25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5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5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5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4" s="55" t="str">
        <f>IF(наценка7[[#This Row],[Потолок ]]="ДА",коэффициенты!$C$13,"")</f>
        <v/>
      </c>
      <c r="AG25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5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5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5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5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4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54" s="52">
        <f>SUM(наценка7[[#This Row],[еврокухня]:[Лифт]])*наценка7[[#This Row],[Цена м2 с БK]]+наценка7[[#This Row],[Цена м2 с БK]]</f>
        <v>138332.70000000001</v>
      </c>
      <c r="AQ254" s="51">
        <f>VLOOKUP(наценка7[[#This Row],[№]],Д402[],COLUMN(Д402[[#This Row],[утв цена м2]]),0)</f>
        <v>139565.20000000001</v>
      </c>
      <c r="AR254" s="3">
        <f>наценка7[[#This Row],[утв цена м2]]*наценка7[[#This Row],[Расчетная проектная площадь]]</f>
        <v>4139503.8320000004</v>
      </c>
      <c r="AS254" s="27" t="str">
        <f>VLOOKUP(наценка7[[#This Row],[№]],Д402[],COLUMN('Реестр ОН'!$BA$1),0)</f>
        <v>Стр. Резерв</v>
      </c>
      <c r="AT254" s="281">
        <f>ROUND(наценка7[[#This Row],[Цена м2 с учетом всех K]]*наценка7[[#This Row],[Расчетная проектная площадь]],0)</f>
        <v>4102948</v>
      </c>
      <c r="AU254" s="286">
        <v>4102948</v>
      </c>
      <c r="AV254" s="286" t="b">
        <f>наценка7[[#This Row],[Аллио]]=наценка7[[#This Row],[Первичка тест]]</f>
        <v>1</v>
      </c>
    </row>
    <row r="255" spans="1:48" hidden="1" x14ac:dyDescent="0.25">
      <c r="A255" s="65">
        <v>253</v>
      </c>
      <c r="B255" s="2">
        <f>_xlfn.XLOOKUP(наценка7[[#This Row],[№]],Д402[№],Д402[Секция],"-",0)</f>
        <v>3</v>
      </c>
      <c r="C255" s="2">
        <f>_xlfn.XLOOKUP(наценка7[[#This Row],[№]],Д402[№],Д402[Этаж],"-",0)</f>
        <v>14</v>
      </c>
      <c r="D255" s="2">
        <f>_xlfn.XLOOKUP(наценка7[[#This Row],[№]],Д402[№],Д402[№ на этаже],"-",0)</f>
        <v>1</v>
      </c>
      <c r="E255" s="2">
        <f>_xlfn.XLOOKUP(наценка7[[#This Row],[№]],Д402[№],Д402[Тип кв],"-",0)</f>
        <v>1</v>
      </c>
      <c r="F255" s="51">
        <f>_xlfn.XLOOKUP(наценка7[[#This Row],[№]],Д402[№],Д402[Кухня],"-",0)</f>
        <v>15.83</v>
      </c>
      <c r="G255" s="51">
        <f>_xlfn.XLOOKUP(наценка7[[#This Row],[№]],Д402[№],Д402[Ванная],"-",0)</f>
        <v>4.09</v>
      </c>
      <c r="H255" s="51" t="s">
        <v>84</v>
      </c>
      <c r="I255" s="51"/>
      <c r="J255" s="51" t="s">
        <v>101</v>
      </c>
      <c r="K255" s="51" t="s">
        <v>101</v>
      </c>
      <c r="L255" s="51"/>
      <c r="M255" s="51" t="s">
        <v>83</v>
      </c>
      <c r="N255" s="51" t="s">
        <v>101</v>
      </c>
      <c r="O255" s="51" t="s">
        <v>101</v>
      </c>
      <c r="P255" s="51" t="s">
        <v>101</v>
      </c>
      <c r="Q255" s="129"/>
      <c r="R255" s="129"/>
      <c r="S255" s="51"/>
      <c r="T255" s="51">
        <f>_xlfn.XLOOKUP(наценка7[[#This Row],[№]],Д402[№],Д402[Расчетная проектная площадь],"-",0)</f>
        <v>43.88</v>
      </c>
      <c r="U255" s="17">
        <f t="shared" si="4"/>
        <v>89000</v>
      </c>
      <c r="V25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55" s="18">
        <f>наценка7[[#This Row],[Цена м2 базовая]]*наценка7[[#This Row],[Базовой K]]</f>
        <v>119260</v>
      </c>
      <c r="X25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5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5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5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5" s="55" t="str">
        <f>IF(наценка7[[#This Row],[Потолок ]]="ДА",коэффициенты!$C$13,"")</f>
        <v/>
      </c>
      <c r="AG25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5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5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5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5" s="52">
        <f>SUM(наценка7[[#This Row],[еврокухня]:[Лифт]])*наценка7[[#This Row],[Цена м2 с БK]]+наценка7[[#This Row],[Цена м2 с БK]]</f>
        <v>122837.8</v>
      </c>
      <c r="AQ255" s="51">
        <f>VLOOKUP(наценка7[[#This Row],[№]],Д402[],COLUMN(Д402[[#This Row],[утв цена м2]]),0)</f>
        <v>129715.6</v>
      </c>
      <c r="AR255" s="3">
        <f>наценка7[[#This Row],[утв цена м2]]*наценка7[[#This Row],[Расчетная проектная площадь]]</f>
        <v>5691920.5280000009</v>
      </c>
      <c r="AS255" s="27" t="str">
        <f>VLOOKUP(наценка7[[#This Row],[№]],Д402[],COLUMN('Реестр ОН'!$BA$1),0)</f>
        <v>Продажа</v>
      </c>
      <c r="AT255" s="281">
        <f>ROUND(наценка7[[#This Row],[Цена м2 с учетом всех K]]*наценка7[[#This Row],[Расчетная проектная площадь]],0)</f>
        <v>5390123</v>
      </c>
      <c r="AU255" s="286">
        <v>5390123</v>
      </c>
      <c r="AV255" s="286" t="b">
        <f>наценка7[[#This Row],[Аллио]]=наценка7[[#This Row],[Первичка тест]]</f>
        <v>1</v>
      </c>
    </row>
    <row r="256" spans="1:48" hidden="1" x14ac:dyDescent="0.25">
      <c r="A256" s="65">
        <v>254</v>
      </c>
      <c r="B256" s="2">
        <f>_xlfn.XLOOKUP(наценка7[[#This Row],[№]],Д402[№],Д402[Секция],"-",0)</f>
        <v>3</v>
      </c>
      <c r="C256" s="2">
        <f>_xlfn.XLOOKUP(наценка7[[#This Row],[№]],Д402[№],Д402[Этаж],"-",0)</f>
        <v>14</v>
      </c>
      <c r="D256" s="2">
        <f>_xlfn.XLOOKUP(наценка7[[#This Row],[№]],Д402[№],Д402[№ на этаже],"-",0)</f>
        <v>2</v>
      </c>
      <c r="E256" s="2">
        <f>_xlfn.XLOOKUP(наценка7[[#This Row],[№]],Д402[№],Д402[Тип кв],"-",0)</f>
        <v>1</v>
      </c>
      <c r="F256" s="51">
        <f>_xlfn.XLOOKUP(наценка7[[#This Row],[№]],Д402[№],Д402[Кухня],"-",0)</f>
        <v>14.81</v>
      </c>
      <c r="G256" s="51">
        <f>_xlfn.XLOOKUP(наценка7[[#This Row],[№]],Д402[№],Д402[Ванная],"-",0)</f>
        <v>4.22</v>
      </c>
      <c r="H256" s="51" t="s">
        <v>87</v>
      </c>
      <c r="I256" s="51"/>
      <c r="J256" s="51" t="s">
        <v>101</v>
      </c>
      <c r="K256" s="51" t="s">
        <v>101</v>
      </c>
      <c r="L256" s="51"/>
      <c r="M256" s="51" t="s">
        <v>83</v>
      </c>
      <c r="N256" s="51"/>
      <c r="O256" s="51" t="s">
        <v>101</v>
      </c>
      <c r="P256" s="51" t="s">
        <v>101</v>
      </c>
      <c r="Q256" s="129"/>
      <c r="R256" s="129"/>
      <c r="S256" s="51"/>
      <c r="T256" s="51">
        <f>_xlfn.XLOOKUP(наценка7[[#This Row],[№]],Д402[№],Д402[Расчетная проектная площадь],"-",0)</f>
        <v>36.35</v>
      </c>
      <c r="U256" s="17">
        <f t="shared" si="4"/>
        <v>89000</v>
      </c>
      <c r="V25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56" s="18">
        <f>наценка7[[#This Row],[Цена м2 базовая]]*наценка7[[#This Row],[Базовой K]]</f>
        <v>119260</v>
      </c>
      <c r="X25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5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5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5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5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6" s="55" t="str">
        <f>IF(наценка7[[#This Row],[Потолок ]]="ДА",коэффициенты!$C$13,"")</f>
        <v/>
      </c>
      <c r="AG25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5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5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6" s="52">
        <f>SUM(наценка7[[#This Row],[еврокухня]:[Лифт]])*наценка7[[#This Row],[Цена м2 с БK]]+наценка7[[#This Row],[Цена м2 с БK]]</f>
        <v>126415.6</v>
      </c>
      <c r="AQ256" s="51">
        <f>VLOOKUP(наценка7[[#This Row],[№]],Д402[],COLUMN(Д402[[#This Row],[утв цена м2]]),0)</f>
        <v>130176.41</v>
      </c>
      <c r="AR256" s="3">
        <f>наценка7[[#This Row],[утв цена м2]]*наценка7[[#This Row],[Расчетная проектная площадь]]</f>
        <v>4731912.5035000006</v>
      </c>
      <c r="AS256" s="27" t="str">
        <f>VLOOKUP(наценка7[[#This Row],[№]],Д402[],COLUMN('Реестр ОН'!$BA$1),0)</f>
        <v>Продажа</v>
      </c>
      <c r="AT256" s="281">
        <f>ROUND(наценка7[[#This Row],[Цена м2 с учетом всех K]]*наценка7[[#This Row],[Расчетная проектная площадь]],0)</f>
        <v>4595207</v>
      </c>
      <c r="AU256" s="286">
        <v>4595207</v>
      </c>
      <c r="AV256" s="286" t="b">
        <f>наценка7[[#This Row],[Аллио]]=наценка7[[#This Row],[Первичка тест]]</f>
        <v>1</v>
      </c>
    </row>
    <row r="257" spans="1:48" hidden="1" x14ac:dyDescent="0.25">
      <c r="A257" s="65">
        <v>255</v>
      </c>
      <c r="B257" s="2">
        <f>_xlfn.XLOOKUP(наценка7[[#This Row],[№]],Д402[№],Д402[Секция],"-",0)</f>
        <v>3</v>
      </c>
      <c r="C257" s="2">
        <f>_xlfn.XLOOKUP(наценка7[[#This Row],[№]],Д402[№],Д402[Этаж],"-",0)</f>
        <v>14</v>
      </c>
      <c r="D257" s="2">
        <f>_xlfn.XLOOKUP(наценка7[[#This Row],[№]],Д402[№],Д402[№ на этаже],"-",0)</f>
        <v>3</v>
      </c>
      <c r="E257" s="2">
        <f>_xlfn.XLOOKUP(наценка7[[#This Row],[№]],Д402[№],Д402[Тип кв],"-",0)</f>
        <v>2</v>
      </c>
      <c r="F257" s="51">
        <f>_xlfn.XLOOKUP(наценка7[[#This Row],[№]],Д402[№],Д402[Кухня],"-",0)</f>
        <v>14.34</v>
      </c>
      <c r="G257" s="51">
        <f>_xlfn.XLOOKUP(наценка7[[#This Row],[№]],Д402[№],Д402[Ванная],"-",0)</f>
        <v>4.21</v>
      </c>
      <c r="H257" s="51" t="s">
        <v>87</v>
      </c>
      <c r="I257" s="51"/>
      <c r="J257" s="51" t="s">
        <v>101</v>
      </c>
      <c r="K257" s="51"/>
      <c r="L257" s="51"/>
      <c r="M257" s="51" t="s">
        <v>83</v>
      </c>
      <c r="N257" s="51"/>
      <c r="O257" s="51" t="s">
        <v>119</v>
      </c>
      <c r="P257" s="51"/>
      <c r="Q257" s="129"/>
      <c r="R257" s="129"/>
      <c r="S257" s="51"/>
      <c r="T257" s="51">
        <f>_xlfn.XLOOKUP(наценка7[[#This Row],[№]],Д402[№],Д402[Расчетная проектная площадь],"-",0)</f>
        <v>54.08</v>
      </c>
      <c r="U257" s="17">
        <f t="shared" si="4"/>
        <v>89000</v>
      </c>
      <c r="V25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57" s="18">
        <f>наценка7[[#This Row],[Цена м2 базовая]]*наценка7[[#This Row],[Базовой K]]</f>
        <v>113030</v>
      </c>
      <c r="X25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5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57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5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7" s="55" t="str">
        <f>IF(наценка7[[#This Row],[Потолок ]]="ДА",коэффициенты!$C$13,"")</f>
        <v/>
      </c>
      <c r="AG25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5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5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7" s="52">
        <f>SUM(наценка7[[#This Row],[еврокухня]:[Лифт]])*наценка7[[#This Row],[Цена м2 с БK]]+наценка7[[#This Row],[Цена м2 с БK]]</f>
        <v>117551.2</v>
      </c>
      <c r="AQ257" s="51">
        <f>VLOOKUP(наценка7[[#This Row],[№]],Д402[],COLUMN(Д402[[#This Row],[утв цена м2]]),0)</f>
        <v>120019.78</v>
      </c>
      <c r="AR257" s="3">
        <f>наценка7[[#This Row],[утв цена м2]]*наценка7[[#This Row],[Расчетная проектная площадь]]</f>
        <v>6490669.7023999998</v>
      </c>
      <c r="AS257" s="27" t="str">
        <f>VLOOKUP(наценка7[[#This Row],[№]],Д402[],COLUMN('Реестр ОН'!$BA$1),0)</f>
        <v>Продажа</v>
      </c>
      <c r="AT257" s="281">
        <f>ROUND(наценка7[[#This Row],[Цена м2 с учетом всех K]]*наценка7[[#This Row],[Расчетная проектная площадь]],0)</f>
        <v>6357169</v>
      </c>
      <c r="AU257" s="286">
        <v>6357169</v>
      </c>
      <c r="AV257" s="286" t="b">
        <f>наценка7[[#This Row],[Аллио]]=наценка7[[#This Row],[Первичка тест]]</f>
        <v>1</v>
      </c>
    </row>
    <row r="258" spans="1:48" hidden="1" x14ac:dyDescent="0.25">
      <c r="A258" s="65">
        <v>256</v>
      </c>
      <c r="B258" s="2">
        <f>_xlfn.XLOOKUP(наценка7[[#This Row],[№]],Д402[№],Д402[Секция],"-",0)</f>
        <v>3</v>
      </c>
      <c r="C258" s="2">
        <f>_xlfn.XLOOKUP(наценка7[[#This Row],[№]],Д402[№],Д402[Этаж],"-",0)</f>
        <v>14</v>
      </c>
      <c r="D258" s="2">
        <f>_xlfn.XLOOKUP(наценка7[[#This Row],[№]],Д402[№],Д402[№ на этаже],"-",0)</f>
        <v>4</v>
      </c>
      <c r="E258" s="2">
        <f>_xlfn.XLOOKUP(наценка7[[#This Row],[№]],Д402[№],Д402[Тип кв],"-",0)</f>
        <v>2</v>
      </c>
      <c r="F258" s="51">
        <f>_xlfn.XLOOKUP(наценка7[[#This Row],[№]],Д402[№],Д402[Кухня],"-",0)</f>
        <v>13.64</v>
      </c>
      <c r="G258" s="51">
        <f>_xlfn.XLOOKUP(наценка7[[#This Row],[№]],Д402[№],Д402[Ванная],"-",0)</f>
        <v>4.16</v>
      </c>
      <c r="H258" s="51" t="s">
        <v>87</v>
      </c>
      <c r="I258" s="51"/>
      <c r="J258" s="51" t="s">
        <v>101</v>
      </c>
      <c r="K258" s="51"/>
      <c r="L258" s="51"/>
      <c r="M258" s="51" t="s">
        <v>83</v>
      </c>
      <c r="N258" s="51"/>
      <c r="O258" s="51" t="s">
        <v>101</v>
      </c>
      <c r="P258" s="51"/>
      <c r="Q258" s="129"/>
      <c r="R258" s="129"/>
      <c r="S258" s="51"/>
      <c r="T258" s="51">
        <f>_xlfn.XLOOKUP(наценка7[[#This Row],[№]],Д402[№],Д402[Расчетная проектная площадь],"-",0)</f>
        <v>55.73</v>
      </c>
      <c r="U258" s="17">
        <f t="shared" si="4"/>
        <v>89000</v>
      </c>
      <c r="V25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58" s="18">
        <f>наценка7[[#This Row],[Цена м2 базовая]]*наценка7[[#This Row],[Базовой K]]</f>
        <v>113030</v>
      </c>
      <c r="X25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58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5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5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5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8" s="55" t="str">
        <f>IF(наценка7[[#This Row],[Потолок ]]="ДА",коэффициенты!$C$13,"")</f>
        <v/>
      </c>
      <c r="AG25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5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5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5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5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8" s="52">
        <f>SUM(наценка7[[#This Row],[еврокухня]:[Лифт]])*наценка7[[#This Row],[Цена м2 с БK]]+наценка7[[#This Row],[Цена м2 с БK]]</f>
        <v>117551.2</v>
      </c>
      <c r="AQ258" s="51">
        <f>VLOOKUP(наценка7[[#This Row],[№]],Д402[],COLUMN(Д402[[#This Row],[утв цена м2]]),0)</f>
        <v>121740.4</v>
      </c>
      <c r="AR258" s="3">
        <f>наценка7[[#This Row],[утв цена м2]]*наценка7[[#This Row],[Расчетная проектная площадь]]</f>
        <v>6784592.4919999996</v>
      </c>
      <c r="AS258" s="27" t="str">
        <f>VLOOKUP(наценка7[[#This Row],[№]],Д402[],COLUMN('Реестр ОН'!$BA$1),0)</f>
        <v>Продажа</v>
      </c>
      <c r="AT258" s="281">
        <f>ROUND(наценка7[[#This Row],[Цена м2 с учетом всех K]]*наценка7[[#This Row],[Расчетная проектная площадь]],0)</f>
        <v>6551128</v>
      </c>
      <c r="AU258" s="286">
        <v>6551128</v>
      </c>
      <c r="AV258" s="286" t="b">
        <f>наценка7[[#This Row],[Аллио]]=наценка7[[#This Row],[Первичка тест]]</f>
        <v>1</v>
      </c>
    </row>
    <row r="259" spans="1:48" hidden="1" x14ac:dyDescent="0.25">
      <c r="A259" s="65">
        <v>257</v>
      </c>
      <c r="B259" s="2">
        <f>_xlfn.XLOOKUP(наценка7[[#This Row],[№]],Д402[№],Д402[Секция],"-",0)</f>
        <v>3</v>
      </c>
      <c r="C259" s="2">
        <f>_xlfn.XLOOKUP(наценка7[[#This Row],[№]],Д402[№],Д402[Этаж],"-",0)</f>
        <v>14</v>
      </c>
      <c r="D259" s="2">
        <f>_xlfn.XLOOKUP(наценка7[[#This Row],[№]],Д402[№],Д402[№ на этаже],"-",0)</f>
        <v>5</v>
      </c>
      <c r="E259" s="2">
        <f>_xlfn.XLOOKUP(наценка7[[#This Row],[№]],Д402[№],Д402[Тип кв],"-",0)</f>
        <v>2</v>
      </c>
      <c r="F259" s="51">
        <f>_xlfn.XLOOKUP(наценка7[[#This Row],[№]],Д402[№],Д402[Кухня],"-",0)</f>
        <v>11.11</v>
      </c>
      <c r="G259" s="51">
        <f>_xlfn.XLOOKUP(наценка7[[#This Row],[№]],Д402[№],Д402[Ванная],"-",0)</f>
        <v>4.41</v>
      </c>
      <c r="H259" s="51" t="s">
        <v>85</v>
      </c>
      <c r="I259" s="51"/>
      <c r="J259" s="51" t="s">
        <v>101</v>
      </c>
      <c r="K259" s="51"/>
      <c r="L259" s="51"/>
      <c r="M259" s="51" t="s">
        <v>83</v>
      </c>
      <c r="N259" s="51"/>
      <c r="O259" s="51" t="s">
        <v>101</v>
      </c>
      <c r="P259" s="51" t="s">
        <v>101</v>
      </c>
      <c r="Q259" s="129"/>
      <c r="R259" s="51" t="s">
        <v>101</v>
      </c>
      <c r="S259" s="51"/>
      <c r="T259" s="51">
        <f>_xlfn.XLOOKUP(наценка7[[#This Row],[№]],Д402[№],Д402[Расчетная проектная площадь],"-",0)</f>
        <v>59.03</v>
      </c>
      <c r="U259" s="17">
        <f t="shared" si="4"/>
        <v>89000</v>
      </c>
      <c r="V25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59" s="18">
        <f>наценка7[[#This Row],[Цена м2 базовая]]*наценка7[[#This Row],[Базовой K]]</f>
        <v>113030</v>
      </c>
      <c r="X25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5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5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5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5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5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5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5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59" s="55" t="str">
        <f>IF(наценка7[[#This Row],[Потолок ]]="ДА",коэффициенты!$C$13,"")</f>
        <v/>
      </c>
      <c r="AG25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59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5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5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5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5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59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5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5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59" s="52">
        <f>SUM(наценка7[[#This Row],[еврокухня]:[Лифт]])*наценка7[[#This Row],[Цена м2 с БK]]+наценка7[[#This Row],[Цена м2 с БK]]</f>
        <v>118681.5</v>
      </c>
      <c r="AQ259" s="51">
        <f>VLOOKUP(наценка7[[#This Row],[№]],Д402[],COLUMN(Д402[[#This Row],[утв цена м2]]),0)</f>
        <v>124128.98</v>
      </c>
      <c r="AR259" s="3">
        <f>наценка7[[#This Row],[утв цена м2]]*наценка7[[#This Row],[Расчетная проектная площадь]]</f>
        <v>7327333.6893999996</v>
      </c>
      <c r="AS259" s="27" t="str">
        <f>VLOOKUP(наценка7[[#This Row],[№]],Д402[],COLUMN('Реестр ОН'!$BA$1),0)</f>
        <v>Стр. Резерв</v>
      </c>
      <c r="AT259" s="281">
        <f>ROUND(наценка7[[#This Row],[Цена м2 с учетом всех K]]*наценка7[[#This Row],[Расчетная проектная площадь]],0)</f>
        <v>7005769</v>
      </c>
      <c r="AU259" s="286">
        <v>7005769</v>
      </c>
      <c r="AV259" s="286" t="b">
        <f>наценка7[[#This Row],[Аллио]]=наценка7[[#This Row],[Первичка тест]]</f>
        <v>1</v>
      </c>
    </row>
    <row r="260" spans="1:48" hidden="1" x14ac:dyDescent="0.25">
      <c r="A260" s="65">
        <v>258</v>
      </c>
      <c r="B260" s="2">
        <f>_xlfn.XLOOKUP(наценка7[[#This Row],[№]],Д402[№],Д402[Секция],"-",0)</f>
        <v>3</v>
      </c>
      <c r="C260" s="2">
        <f>_xlfn.XLOOKUP(наценка7[[#This Row],[№]],Д402[№],Д402[Этаж],"-",0)</f>
        <v>14</v>
      </c>
      <c r="D260" s="2">
        <f>_xlfn.XLOOKUP(наценка7[[#This Row],[№]],Д402[№],Д402[№ на этаже],"-",0)</f>
        <v>6</v>
      </c>
      <c r="E260" s="2">
        <f>_xlfn.XLOOKUP(наценка7[[#This Row],[№]],Д402[№],Д402[Тип кв],"-",0)</f>
        <v>0</v>
      </c>
      <c r="F260" s="51">
        <f>_xlfn.XLOOKUP(наценка7[[#This Row],[№]],Д402[№],Д402[Кухня],"-",0)</f>
        <v>5</v>
      </c>
      <c r="G260" s="51">
        <f>_xlfn.XLOOKUP(наценка7[[#This Row],[№]],Д402[№],Д402[Ванная],"-",0)</f>
        <v>3.97</v>
      </c>
      <c r="H260" s="51" t="s">
        <v>84</v>
      </c>
      <c r="I260" s="51"/>
      <c r="J260" s="51"/>
      <c r="K260" s="51" t="s">
        <v>101</v>
      </c>
      <c r="L260" s="51" t="s">
        <v>119</v>
      </c>
      <c r="M260" s="51" t="s">
        <v>83</v>
      </c>
      <c r="N260" s="51"/>
      <c r="O260" s="51" t="s">
        <v>119</v>
      </c>
      <c r="P260" s="51"/>
      <c r="Q260" s="129"/>
      <c r="R260" s="129"/>
      <c r="S260" s="51" t="s">
        <v>101</v>
      </c>
      <c r="T260" s="51">
        <f>_xlfn.XLOOKUP(наценка7[[#This Row],[№]],Д402[№],Д402[Расчетная проектная площадь],"-",0)</f>
        <v>29.43</v>
      </c>
      <c r="U260" s="17">
        <f t="shared" si="4"/>
        <v>89000</v>
      </c>
      <c r="V26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60" s="18">
        <f>наценка7[[#This Row],[Цена м2 базовая]]*наценка7[[#This Row],[Базовой K]]</f>
        <v>139730</v>
      </c>
      <c r="X26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6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0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6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6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0" s="55" t="str">
        <f>IF(наценка7[[#This Row],[Потолок ]]="ДА",коэффициенты!$C$13,"")</f>
        <v/>
      </c>
      <c r="AG26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6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6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6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0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60" s="52">
        <f>SUM(наценка7[[#This Row],[еврокухня]:[Лифт]])*наценка7[[#This Row],[Цена м2 с БK]]+наценка7[[#This Row],[Цена м2 с БK]]</f>
        <v>138332.70000000001</v>
      </c>
      <c r="AQ260" s="51">
        <f>VLOOKUP(наценка7[[#This Row],[№]],Д402[],COLUMN(Д402[[#This Row],[утв цена м2]]),0)</f>
        <v>139565.20000000001</v>
      </c>
      <c r="AR260" s="3">
        <f>наценка7[[#This Row],[утв цена м2]]*наценка7[[#This Row],[Расчетная проектная площадь]]</f>
        <v>4107403.8360000001</v>
      </c>
      <c r="AS260" s="27" t="str">
        <f>VLOOKUP(наценка7[[#This Row],[№]],Д402[],COLUMN('Реестр ОН'!$BA$1),0)</f>
        <v>Стр. Резерв</v>
      </c>
      <c r="AT260" s="281">
        <f>ROUND(наценка7[[#This Row],[Цена м2 с учетом всех K]]*наценка7[[#This Row],[Расчетная проектная площадь]],0)</f>
        <v>4071131</v>
      </c>
      <c r="AU260" s="286">
        <v>4071131</v>
      </c>
      <c r="AV260" s="286" t="b">
        <f>наценка7[[#This Row],[Аллио]]=наценка7[[#This Row],[Первичка тест]]</f>
        <v>1</v>
      </c>
    </row>
    <row r="261" spans="1:48" hidden="1" x14ac:dyDescent="0.25">
      <c r="A261" s="65">
        <v>259</v>
      </c>
      <c r="B261" s="2">
        <f>_xlfn.XLOOKUP(наценка7[[#This Row],[№]],Д402[№],Д402[Секция],"-",0)</f>
        <v>3</v>
      </c>
      <c r="C261" s="2">
        <f>_xlfn.XLOOKUP(наценка7[[#This Row],[№]],Д402[№],Д402[Этаж],"-",0)</f>
        <v>15</v>
      </c>
      <c r="D261" s="2">
        <f>_xlfn.XLOOKUP(наценка7[[#This Row],[№]],Д402[№],Д402[№ на этаже],"-",0)</f>
        <v>1</v>
      </c>
      <c r="E261" s="2">
        <f>_xlfn.XLOOKUP(наценка7[[#This Row],[№]],Д402[№],Д402[Тип кв],"-",0)</f>
        <v>1</v>
      </c>
      <c r="F261" s="51">
        <f>_xlfn.XLOOKUP(наценка7[[#This Row],[№]],Д402[№],Д402[Кухня],"-",0)</f>
        <v>15.83</v>
      </c>
      <c r="G261" s="51">
        <f>_xlfn.XLOOKUP(наценка7[[#This Row],[№]],Д402[№],Д402[Ванная],"-",0)</f>
        <v>4.09</v>
      </c>
      <c r="H261" s="51" t="s">
        <v>84</v>
      </c>
      <c r="I261" s="51"/>
      <c r="J261" s="51" t="s">
        <v>101</v>
      </c>
      <c r="K261" s="51" t="s">
        <v>101</v>
      </c>
      <c r="L261" s="51"/>
      <c r="M261" s="51" t="s">
        <v>83</v>
      </c>
      <c r="N261" s="51" t="s">
        <v>101</v>
      </c>
      <c r="O261" s="51" t="s">
        <v>101</v>
      </c>
      <c r="P261" s="51" t="s">
        <v>101</v>
      </c>
      <c r="Q261" s="129"/>
      <c r="R261" s="129"/>
      <c r="S261" s="51"/>
      <c r="T261" s="51">
        <f>_xlfn.XLOOKUP(наценка7[[#This Row],[№]],Д402[№],Д402[Расчетная проектная площадь],"-",0)</f>
        <v>43.88</v>
      </c>
      <c r="U261" s="17">
        <f t="shared" si="4"/>
        <v>89000</v>
      </c>
      <c r="V26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61" s="18">
        <f>наценка7[[#This Row],[Цена м2 базовая]]*наценка7[[#This Row],[Базовой K]]</f>
        <v>119260</v>
      </c>
      <c r="X26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1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1" s="55" t="str">
        <f>IF(наценка7[[#This Row],[Потолок ]]="ДА",коэффициенты!$C$13,"")</f>
        <v/>
      </c>
      <c r="AG26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6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6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1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6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1" s="52">
        <f>SUM(наценка7[[#This Row],[еврокухня]:[Лифт]])*наценка7[[#This Row],[Цена м2 с БK]]+наценка7[[#This Row],[Цена м2 с БK]]</f>
        <v>122837.8</v>
      </c>
      <c r="AQ261" s="51">
        <f>VLOOKUP(наценка7[[#This Row],[№]],Д402[],COLUMN(Д402[[#This Row],[утв цена м2]]),0)</f>
        <v>127159.69</v>
      </c>
      <c r="AR261" s="3">
        <f>наценка7[[#This Row],[утв цена м2]]*наценка7[[#This Row],[Расчетная проектная площадь]]</f>
        <v>5579767.1972000003</v>
      </c>
      <c r="AS261" s="27" t="str">
        <f>VLOOKUP(наценка7[[#This Row],[№]],Д402[],COLUMN('Реестр ОН'!$BA$1),0)</f>
        <v>Продажа</v>
      </c>
      <c r="AT261" s="281">
        <f>ROUND(наценка7[[#This Row],[Цена м2 с учетом всех K]]*наценка7[[#This Row],[Расчетная проектная площадь]],0)</f>
        <v>5390123</v>
      </c>
      <c r="AU261" s="286">
        <v>5390123</v>
      </c>
      <c r="AV261" s="286" t="b">
        <f>наценка7[[#This Row],[Аллио]]=наценка7[[#This Row],[Первичка тест]]</f>
        <v>1</v>
      </c>
    </row>
    <row r="262" spans="1:48" hidden="1" x14ac:dyDescent="0.25">
      <c r="A262" s="65">
        <v>260</v>
      </c>
      <c r="B262" s="2">
        <f>_xlfn.XLOOKUP(наценка7[[#This Row],[№]],Д402[№],Д402[Секция],"-",0)</f>
        <v>3</v>
      </c>
      <c r="C262" s="2">
        <f>_xlfn.XLOOKUP(наценка7[[#This Row],[№]],Д402[№],Д402[Этаж],"-",0)</f>
        <v>15</v>
      </c>
      <c r="D262" s="2">
        <f>_xlfn.XLOOKUP(наценка7[[#This Row],[№]],Д402[№],Д402[№ на этаже],"-",0)</f>
        <v>2</v>
      </c>
      <c r="E262" s="2">
        <f>_xlfn.XLOOKUP(наценка7[[#This Row],[№]],Д402[№],Д402[Тип кв],"-",0)</f>
        <v>1</v>
      </c>
      <c r="F262" s="51">
        <f>_xlfn.XLOOKUP(наценка7[[#This Row],[№]],Д402[№],Д402[Кухня],"-",0)</f>
        <v>14.81</v>
      </c>
      <c r="G262" s="51">
        <f>_xlfn.XLOOKUP(наценка7[[#This Row],[№]],Д402[№],Д402[Ванная],"-",0)</f>
        <v>4.22</v>
      </c>
      <c r="H262" s="51" t="s">
        <v>87</v>
      </c>
      <c r="I262" s="51"/>
      <c r="J262" s="51" t="s">
        <v>101</v>
      </c>
      <c r="K262" s="51" t="s">
        <v>101</v>
      </c>
      <c r="L262" s="51"/>
      <c r="M262" s="51" t="s">
        <v>83</v>
      </c>
      <c r="N262" s="51"/>
      <c r="O262" s="51" t="s">
        <v>101</v>
      </c>
      <c r="P262" s="51" t="s">
        <v>101</v>
      </c>
      <c r="Q262" s="129"/>
      <c r="R262" s="129"/>
      <c r="S262" s="51"/>
      <c r="T262" s="51">
        <f>_xlfn.XLOOKUP(наценка7[[#This Row],[№]],Д402[№],Д402[Расчетная проектная площадь],"-",0)</f>
        <v>36.35</v>
      </c>
      <c r="U262" s="17">
        <f t="shared" si="4"/>
        <v>89000</v>
      </c>
      <c r="V26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62" s="18">
        <f>наценка7[[#This Row],[Цена м2 базовая]]*наценка7[[#This Row],[Базовой K]]</f>
        <v>119260</v>
      </c>
      <c r="X262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2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6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2" s="55" t="str">
        <f>IF(наценка7[[#This Row],[Потолок ]]="ДА",коэффициенты!$C$13,"")</f>
        <v/>
      </c>
      <c r="AG26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6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6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2" s="52">
        <f>SUM(наценка7[[#This Row],[еврокухня]:[Лифт]])*наценка7[[#This Row],[Цена м2 с БK]]+наценка7[[#This Row],[Цена м2 с БK]]</f>
        <v>126415.6</v>
      </c>
      <c r="AQ262" s="51">
        <f>VLOOKUP(наценка7[[#This Row],[№]],Д402[],COLUMN(Д402[[#This Row],[утв цена м2]]),0)</f>
        <v>133450.35</v>
      </c>
      <c r="AR262" s="3">
        <f>наценка7[[#This Row],[утв цена м2]]*наценка7[[#This Row],[Расчетная проектная площадь]]</f>
        <v>4850920.2225000001</v>
      </c>
      <c r="AS262" s="27" t="str">
        <f>VLOOKUP(наценка7[[#This Row],[№]],Д402[],COLUMN('Реестр ОН'!$BA$1),0)</f>
        <v>Продажа</v>
      </c>
      <c r="AT262" s="281">
        <f>ROUND(наценка7[[#This Row],[Цена м2 с учетом всех K]]*наценка7[[#This Row],[Расчетная проектная площадь]],0)</f>
        <v>4595207</v>
      </c>
      <c r="AU262" s="286">
        <v>4595207</v>
      </c>
      <c r="AV262" s="286" t="b">
        <f>наценка7[[#This Row],[Аллио]]=наценка7[[#This Row],[Первичка тест]]</f>
        <v>1</v>
      </c>
    </row>
    <row r="263" spans="1:48" hidden="1" x14ac:dyDescent="0.25">
      <c r="A263" s="65">
        <v>261</v>
      </c>
      <c r="B263" s="2">
        <f>_xlfn.XLOOKUP(наценка7[[#This Row],[№]],Д402[№],Д402[Секция],"-",0)</f>
        <v>3</v>
      </c>
      <c r="C263" s="2">
        <f>_xlfn.XLOOKUP(наценка7[[#This Row],[№]],Д402[№],Д402[Этаж],"-",0)</f>
        <v>15</v>
      </c>
      <c r="D263" s="2">
        <f>_xlfn.XLOOKUP(наценка7[[#This Row],[№]],Д402[№],Д402[№ на этаже],"-",0)</f>
        <v>3</v>
      </c>
      <c r="E263" s="2">
        <f>_xlfn.XLOOKUP(наценка7[[#This Row],[№]],Д402[№],Д402[Тип кв],"-",0)</f>
        <v>2</v>
      </c>
      <c r="F263" s="51">
        <f>_xlfn.XLOOKUP(наценка7[[#This Row],[№]],Д402[№],Д402[Кухня],"-",0)</f>
        <v>14.34</v>
      </c>
      <c r="G263" s="51">
        <f>_xlfn.XLOOKUP(наценка7[[#This Row],[№]],Д402[№],Д402[Ванная],"-",0)</f>
        <v>4.21</v>
      </c>
      <c r="H263" s="51" t="s">
        <v>87</v>
      </c>
      <c r="I263" s="51"/>
      <c r="J263" s="51" t="s">
        <v>101</v>
      </c>
      <c r="K263" s="51"/>
      <c r="L263" s="51"/>
      <c r="M263" s="51" t="s">
        <v>83</v>
      </c>
      <c r="N263" s="51"/>
      <c r="O263" s="51" t="s">
        <v>119</v>
      </c>
      <c r="P263" s="51" t="s">
        <v>101</v>
      </c>
      <c r="Q263" s="129"/>
      <c r="R263" s="129"/>
      <c r="S263" s="51"/>
      <c r="T263" s="51">
        <f>_xlfn.XLOOKUP(наценка7[[#This Row],[№]],Д402[№],Д402[Расчетная проектная площадь],"-",0)</f>
        <v>54.08</v>
      </c>
      <c r="U263" s="17">
        <f t="shared" si="4"/>
        <v>89000</v>
      </c>
      <c r="V26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63" s="18">
        <f>наценка7[[#This Row],[Цена м2 базовая]]*наценка7[[#This Row],[Базовой K]]</f>
        <v>113030</v>
      </c>
      <c r="X26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6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3" s="55" t="str">
        <f>IF(наценка7[[#This Row],[Потолок ]]="ДА",коэффициенты!$C$13,"")</f>
        <v/>
      </c>
      <c r="AG26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6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3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6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3" s="52">
        <f>SUM(наценка7[[#This Row],[еврокухня]:[Лифт]])*наценка7[[#This Row],[Цена м2 с БK]]+наценка7[[#This Row],[Цена м2 с БK]]</f>
        <v>119811.8</v>
      </c>
      <c r="AQ263" s="51">
        <f>VLOOKUP(наценка7[[#This Row],[№]],Д402[],COLUMN(Д402[[#This Row],[утв цена м2]]),0)</f>
        <v>123327.85</v>
      </c>
      <c r="AR263" s="3">
        <f>наценка7[[#This Row],[утв цена м2]]*наценка7[[#This Row],[Расчетная проектная площадь]]</f>
        <v>6669570.1280000005</v>
      </c>
      <c r="AS263" s="27" t="str">
        <f>VLOOKUP(наценка7[[#This Row],[№]],Д402[],COLUMN('Реестр ОН'!$BA$1),0)</f>
        <v>Продажа</v>
      </c>
      <c r="AT263" s="281">
        <f>ROUND(наценка7[[#This Row],[Цена м2 с учетом всех K]]*наценка7[[#This Row],[Расчетная проектная площадь]],0)</f>
        <v>6479422</v>
      </c>
      <c r="AU263" s="286">
        <v>6479422</v>
      </c>
      <c r="AV263" s="286" t="b">
        <f>наценка7[[#This Row],[Аллио]]=наценка7[[#This Row],[Первичка тест]]</f>
        <v>1</v>
      </c>
    </row>
    <row r="264" spans="1:48" hidden="1" x14ac:dyDescent="0.25">
      <c r="A264" s="65">
        <v>262</v>
      </c>
      <c r="B264" s="2">
        <f>_xlfn.XLOOKUP(наценка7[[#This Row],[№]],Д402[№],Д402[Секция],"-",0)</f>
        <v>3</v>
      </c>
      <c r="C264" s="2">
        <f>_xlfn.XLOOKUP(наценка7[[#This Row],[№]],Д402[№],Д402[Этаж],"-",0)</f>
        <v>15</v>
      </c>
      <c r="D264" s="2">
        <f>_xlfn.XLOOKUP(наценка7[[#This Row],[№]],Д402[№],Д402[№ на этаже],"-",0)</f>
        <v>4</v>
      </c>
      <c r="E264" s="2">
        <f>_xlfn.XLOOKUP(наценка7[[#This Row],[№]],Д402[№],Д402[Тип кв],"-",0)</f>
        <v>2</v>
      </c>
      <c r="F264" s="51">
        <f>_xlfn.XLOOKUP(наценка7[[#This Row],[№]],Д402[№],Д402[Кухня],"-",0)</f>
        <v>13.64</v>
      </c>
      <c r="G264" s="51">
        <f>_xlfn.XLOOKUP(наценка7[[#This Row],[№]],Д402[№],Д402[Ванная],"-",0)</f>
        <v>4.16</v>
      </c>
      <c r="H264" s="51" t="s">
        <v>87</v>
      </c>
      <c r="I264" s="51"/>
      <c r="J264" s="51" t="s">
        <v>101</v>
      </c>
      <c r="K264" s="51"/>
      <c r="L264" s="51"/>
      <c r="M264" s="51" t="s">
        <v>83</v>
      </c>
      <c r="N264" s="51"/>
      <c r="O264" s="51" t="s">
        <v>101</v>
      </c>
      <c r="P264" s="51" t="s">
        <v>101</v>
      </c>
      <c r="Q264" s="129"/>
      <c r="R264" s="129"/>
      <c r="S264" s="51"/>
      <c r="T264" s="51">
        <f>_xlfn.XLOOKUP(наценка7[[#This Row],[№]],Д402[№],Д402[Расчетная проектная площадь],"-",0)</f>
        <v>55.73</v>
      </c>
      <c r="U264" s="17">
        <f t="shared" si="4"/>
        <v>89000</v>
      </c>
      <c r="V26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64" s="18">
        <f>наценка7[[#This Row],[Цена м2 базовая]]*наценка7[[#This Row],[Базовой K]]</f>
        <v>113030</v>
      </c>
      <c r="X26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64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6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4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64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4" s="55" t="str">
        <f>IF(наценка7[[#This Row],[Потолок ]]="ДА",коэффициенты!$C$13,"")</f>
        <v/>
      </c>
      <c r="AG26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6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6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4" s="52">
        <f>SUM(наценка7[[#This Row],[еврокухня]:[Лифт]])*наценка7[[#This Row],[Цена м2 с БK]]+наценка7[[#This Row],[Цена м2 с БK]]</f>
        <v>119811.8</v>
      </c>
      <c r="AQ264" s="51">
        <f>VLOOKUP(наценка7[[#This Row],[№]],Д402[],COLUMN(Д402[[#This Row],[утв цена м2]]),0)</f>
        <v>126538.89</v>
      </c>
      <c r="AR264" s="3">
        <f>наценка7[[#This Row],[утв цена м2]]*наценка7[[#This Row],[Расчетная проектная площадь]]</f>
        <v>7052012.3396999994</v>
      </c>
      <c r="AS264" s="27" t="str">
        <f>VLOOKUP(наценка7[[#This Row],[№]],Д402[],COLUMN('Реестр ОН'!$BA$1),0)</f>
        <v>Стр. Резерв</v>
      </c>
      <c r="AT264" s="281">
        <f>ROUND(наценка7[[#This Row],[Цена м2 с учетом всех K]]*наценка7[[#This Row],[Расчетная проектная площадь]],0)</f>
        <v>6677112</v>
      </c>
      <c r="AU264" s="286">
        <v>6677112</v>
      </c>
      <c r="AV264" s="286" t="b">
        <f>наценка7[[#This Row],[Аллио]]=наценка7[[#This Row],[Первичка тест]]</f>
        <v>1</v>
      </c>
    </row>
    <row r="265" spans="1:48" hidden="1" x14ac:dyDescent="0.25">
      <c r="A265" s="65">
        <v>263</v>
      </c>
      <c r="B265" s="2">
        <f>_xlfn.XLOOKUP(наценка7[[#This Row],[№]],Д402[№],Д402[Секция],"-",0)</f>
        <v>3</v>
      </c>
      <c r="C265" s="2">
        <f>_xlfn.XLOOKUP(наценка7[[#This Row],[№]],Д402[№],Д402[Этаж],"-",0)</f>
        <v>15</v>
      </c>
      <c r="D265" s="2">
        <f>_xlfn.XLOOKUP(наценка7[[#This Row],[№]],Д402[№],Д402[№ на этаже],"-",0)</f>
        <v>5</v>
      </c>
      <c r="E265" s="2">
        <f>_xlfn.XLOOKUP(наценка7[[#This Row],[№]],Д402[№],Д402[Тип кв],"-",0)</f>
        <v>2</v>
      </c>
      <c r="F265" s="51">
        <f>_xlfn.XLOOKUP(наценка7[[#This Row],[№]],Д402[№],Д402[Кухня],"-",0)</f>
        <v>11.11</v>
      </c>
      <c r="G265" s="51">
        <f>_xlfn.XLOOKUP(наценка7[[#This Row],[№]],Д402[№],Д402[Ванная],"-",0)</f>
        <v>4.41</v>
      </c>
      <c r="H265" s="51" t="s">
        <v>85</v>
      </c>
      <c r="I265" s="51"/>
      <c r="J265" s="51" t="s">
        <v>101</v>
      </c>
      <c r="K265" s="51"/>
      <c r="L265" s="51"/>
      <c r="M265" s="51" t="s">
        <v>83</v>
      </c>
      <c r="N265" s="51"/>
      <c r="O265" s="51" t="s">
        <v>101</v>
      </c>
      <c r="P265" s="51" t="s">
        <v>101</v>
      </c>
      <c r="Q265" s="129"/>
      <c r="R265" s="51" t="s">
        <v>101</v>
      </c>
      <c r="S265" s="51"/>
      <c r="T265" s="51">
        <f>_xlfn.XLOOKUP(наценка7[[#This Row],[№]],Д402[№],Д402[Расчетная проектная площадь],"-",0)</f>
        <v>59.03</v>
      </c>
      <c r="U265" s="17">
        <f t="shared" ref="U265:U290" si="5">$U$1</f>
        <v>89000</v>
      </c>
      <c r="V26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65" s="18">
        <f>наценка7[[#This Row],[Цена м2 базовая]]*наценка7[[#This Row],[Базовой K]]</f>
        <v>113030</v>
      </c>
      <c r="X265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6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6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5" s="55" t="str">
        <f>IF(наценка7[[#This Row],[Потолок ]]="ДА",коэффициенты!$C$13,"")</f>
        <v/>
      </c>
      <c r="AG26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65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6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6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5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6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5" s="52">
        <f>SUM(наценка7[[#This Row],[еврокухня]:[Лифт]])*наценка7[[#This Row],[Цена м2 с БK]]+наценка7[[#This Row],[Цена м2 с БK]]</f>
        <v>118681.5</v>
      </c>
      <c r="AQ265" s="51">
        <f>VLOOKUP(наценка7[[#This Row],[№]],Д402[],COLUMN(Д402[[#This Row],[утв цена м2]]),0)</f>
        <v>124128.98</v>
      </c>
      <c r="AR265" s="3">
        <f>наценка7[[#This Row],[утв цена м2]]*наценка7[[#This Row],[Расчетная проектная площадь]]</f>
        <v>7327333.6893999996</v>
      </c>
      <c r="AS265" s="27" t="str">
        <f>VLOOKUP(наценка7[[#This Row],[№]],Д402[],COLUMN('Реестр ОН'!$BA$1),0)</f>
        <v>Стр. Резерв</v>
      </c>
      <c r="AT265" s="281">
        <f>ROUND(наценка7[[#This Row],[Цена м2 с учетом всех K]]*наценка7[[#This Row],[Расчетная проектная площадь]],0)</f>
        <v>7005769</v>
      </c>
      <c r="AU265" s="286">
        <v>7005769</v>
      </c>
      <c r="AV265" s="286" t="b">
        <f>наценка7[[#This Row],[Аллио]]=наценка7[[#This Row],[Первичка тест]]</f>
        <v>1</v>
      </c>
    </row>
    <row r="266" spans="1:48" hidden="1" x14ac:dyDescent="0.25">
      <c r="A266" s="65">
        <v>264</v>
      </c>
      <c r="B266" s="2">
        <f>_xlfn.XLOOKUP(наценка7[[#This Row],[№]],Д402[№],Д402[Секция],"-",0)</f>
        <v>3</v>
      </c>
      <c r="C266" s="2">
        <f>_xlfn.XLOOKUP(наценка7[[#This Row],[№]],Д402[№],Д402[Этаж],"-",0)</f>
        <v>15</v>
      </c>
      <c r="D266" s="2">
        <f>_xlfn.XLOOKUP(наценка7[[#This Row],[№]],Д402[№],Д402[№ на этаже],"-",0)</f>
        <v>6</v>
      </c>
      <c r="E266" s="2">
        <f>_xlfn.XLOOKUP(наценка7[[#This Row],[№]],Д402[№],Д402[Тип кв],"-",0)</f>
        <v>0</v>
      </c>
      <c r="F266" s="51">
        <f>_xlfn.XLOOKUP(наценка7[[#This Row],[№]],Д402[№],Д402[Кухня],"-",0)</f>
        <v>5</v>
      </c>
      <c r="G266" s="51">
        <f>_xlfn.XLOOKUP(наценка7[[#This Row],[№]],Д402[№],Д402[Ванная],"-",0)</f>
        <v>3.97</v>
      </c>
      <c r="H266" s="51" t="s">
        <v>84</v>
      </c>
      <c r="I266" s="51"/>
      <c r="J266" s="51"/>
      <c r="K266" s="51" t="s">
        <v>101</v>
      </c>
      <c r="L266" s="51" t="s">
        <v>119</v>
      </c>
      <c r="M266" s="51" t="s">
        <v>83</v>
      </c>
      <c r="N266" s="51"/>
      <c r="O266" s="51" t="s">
        <v>119</v>
      </c>
      <c r="P266" s="51"/>
      <c r="Q266" s="51"/>
      <c r="R266" s="51" t="s">
        <v>101</v>
      </c>
      <c r="S266" s="51" t="s">
        <v>101</v>
      </c>
      <c r="T266" s="51">
        <f>_xlfn.XLOOKUP(наценка7[[#This Row],[№]],Д402[№],Д402[Расчетная проектная площадь],"-",0)</f>
        <v>29.43</v>
      </c>
      <c r="U266" s="17">
        <f t="shared" si="5"/>
        <v>89000</v>
      </c>
      <c r="V26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66" s="18">
        <f>наценка7[[#This Row],[Цена м2 базовая]]*наценка7[[#This Row],[Базовой K]]</f>
        <v>139730</v>
      </c>
      <c r="X26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6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6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6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6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6" s="55" t="str">
        <f>IF(наценка7[[#This Row],[Потолок ]]="ДА",коэффициенты!$C$13,"")</f>
        <v/>
      </c>
      <c r="AG266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6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6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6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6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66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6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6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66" s="52">
        <f>SUM(наценка7[[#This Row],[еврокухня]:[Лифт]])*наценка7[[#This Row],[Цена м2 с БK]]+наценка7[[#This Row],[Цена м2 с БK]]</f>
        <v>136935.4</v>
      </c>
      <c r="AQ266" s="51">
        <f>VLOOKUP(наценка7[[#This Row],[№]],Д402[],COLUMN(Д402[[#This Row],[утв цена м2]]),0)</f>
        <v>138167.9</v>
      </c>
      <c r="AR266" s="3">
        <f>наценка7[[#This Row],[утв цена м2]]*наценка7[[#This Row],[Расчетная проектная площадь]]</f>
        <v>4066281.2969999998</v>
      </c>
      <c r="AS266" s="27" t="str">
        <f>VLOOKUP(наценка7[[#This Row],[№]],Д402[],COLUMN('Реестр ОН'!$BA$1),0)</f>
        <v>Стр. Резерв</v>
      </c>
      <c r="AT266" s="281">
        <f>ROUND(наценка7[[#This Row],[Цена м2 с учетом всех K]]*наценка7[[#This Row],[Расчетная проектная площадь]],0)</f>
        <v>4030009</v>
      </c>
      <c r="AU266" s="286">
        <v>4030009</v>
      </c>
      <c r="AV266" s="286" t="b">
        <f>наценка7[[#This Row],[Аллио]]=наценка7[[#This Row],[Первичка тест]]</f>
        <v>1</v>
      </c>
    </row>
    <row r="267" spans="1:48" hidden="1" x14ac:dyDescent="0.25">
      <c r="A267" s="65">
        <v>265</v>
      </c>
      <c r="B267" s="2">
        <f>_xlfn.XLOOKUP(наценка7[[#This Row],[№]],Д402[№],Д402[Секция],"-",0)</f>
        <v>3</v>
      </c>
      <c r="C267" s="2">
        <f>_xlfn.XLOOKUP(наценка7[[#This Row],[№]],Д402[№],Д402[Этаж],"-",0)</f>
        <v>16</v>
      </c>
      <c r="D267" s="2">
        <f>_xlfn.XLOOKUP(наценка7[[#This Row],[№]],Д402[№],Д402[№ на этаже],"-",0)</f>
        <v>1</v>
      </c>
      <c r="E267" s="2">
        <f>_xlfn.XLOOKUP(наценка7[[#This Row],[№]],Д402[№],Д402[Тип кв],"-",0)</f>
        <v>1</v>
      </c>
      <c r="F267" s="51">
        <f>_xlfn.XLOOKUP(наценка7[[#This Row],[№]],Д402[№],Д402[Кухня],"-",0)</f>
        <v>15.83</v>
      </c>
      <c r="G267" s="51">
        <f>_xlfn.XLOOKUP(наценка7[[#This Row],[№]],Д402[№],Д402[Ванная],"-",0)</f>
        <v>4.09</v>
      </c>
      <c r="H267" s="51" t="s">
        <v>84</v>
      </c>
      <c r="I267" s="51"/>
      <c r="J267" s="51" t="s">
        <v>101</v>
      </c>
      <c r="K267" s="51" t="s">
        <v>101</v>
      </c>
      <c r="L267" s="51"/>
      <c r="M267" s="51" t="s">
        <v>83</v>
      </c>
      <c r="N267" s="51" t="s">
        <v>101</v>
      </c>
      <c r="O267" s="51" t="s">
        <v>101</v>
      </c>
      <c r="P267" s="51" t="s">
        <v>101</v>
      </c>
      <c r="Q267" s="129"/>
      <c r="R267" s="129"/>
      <c r="S267" s="51"/>
      <c r="T267" s="51">
        <f>_xlfn.XLOOKUP(наценка7[[#This Row],[№]],Д402[№],Д402[Расчетная проектная площадь],"-",0)</f>
        <v>43.88</v>
      </c>
      <c r="U267" s="17">
        <f t="shared" si="5"/>
        <v>89000</v>
      </c>
      <c r="V26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67" s="18">
        <f>наценка7[[#This Row],[Цена м2 базовая]]*наценка7[[#This Row],[Базовой K]]</f>
        <v>119260</v>
      </c>
      <c r="X26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7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7" s="55" t="str">
        <f>IF(наценка7[[#This Row],[Потолок ]]="ДА",коэффициенты!$C$13,"")</f>
        <v/>
      </c>
      <c r="AG26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6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6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7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6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7" s="52">
        <f>SUM(наценка7[[#This Row],[еврокухня]:[Лифт]])*наценка7[[#This Row],[Цена м2 с БK]]+наценка7[[#This Row],[Цена м2 с БK]]</f>
        <v>122837.8</v>
      </c>
      <c r="AQ267" s="51">
        <f>VLOOKUP(наценка7[[#This Row],[№]],Д402[],COLUMN(Д402[[#This Row],[утв цена м2]]),0)</f>
        <v>132309.91</v>
      </c>
      <c r="AR267" s="3">
        <f>наценка7[[#This Row],[утв цена м2]]*наценка7[[#This Row],[Расчетная проектная площадь]]</f>
        <v>5805758.8508000001</v>
      </c>
      <c r="AS267" s="27" t="str">
        <f>VLOOKUP(наценка7[[#This Row],[№]],Д402[],COLUMN('Реестр ОН'!$BA$1),0)</f>
        <v>Стр. Резерв</v>
      </c>
      <c r="AT267" s="281">
        <f>ROUND(наценка7[[#This Row],[Цена м2 с учетом всех K]]*наценка7[[#This Row],[Расчетная проектная площадь]],0)</f>
        <v>5390123</v>
      </c>
      <c r="AU267" s="286">
        <v>5390123</v>
      </c>
      <c r="AV267" s="286" t="b">
        <f>наценка7[[#This Row],[Аллио]]=наценка7[[#This Row],[Первичка тест]]</f>
        <v>1</v>
      </c>
    </row>
    <row r="268" spans="1:48" hidden="1" x14ac:dyDescent="0.25">
      <c r="A268" s="65">
        <v>266</v>
      </c>
      <c r="B268" s="2">
        <f>_xlfn.XLOOKUP(наценка7[[#This Row],[№]],Д402[№],Д402[Секция],"-",0)</f>
        <v>3</v>
      </c>
      <c r="C268" s="2">
        <f>_xlfn.XLOOKUP(наценка7[[#This Row],[№]],Д402[№],Д402[Этаж],"-",0)</f>
        <v>16</v>
      </c>
      <c r="D268" s="2">
        <f>_xlfn.XLOOKUP(наценка7[[#This Row],[№]],Д402[№],Д402[№ на этаже],"-",0)</f>
        <v>2</v>
      </c>
      <c r="E268" s="2">
        <f>_xlfn.XLOOKUP(наценка7[[#This Row],[№]],Д402[№],Д402[Тип кв],"-",0)</f>
        <v>1</v>
      </c>
      <c r="F268" s="51">
        <f>_xlfn.XLOOKUP(наценка7[[#This Row],[№]],Д402[№],Д402[Кухня],"-",0)</f>
        <v>14.81</v>
      </c>
      <c r="G268" s="51">
        <f>_xlfn.XLOOKUP(наценка7[[#This Row],[№]],Д402[№],Д402[Ванная],"-",0)</f>
        <v>4.22</v>
      </c>
      <c r="H268" s="51" t="s">
        <v>87</v>
      </c>
      <c r="I268" s="51"/>
      <c r="J268" s="51" t="s">
        <v>101</v>
      </c>
      <c r="K268" s="51" t="s">
        <v>101</v>
      </c>
      <c r="L268" s="51"/>
      <c r="M268" s="51" t="s">
        <v>83</v>
      </c>
      <c r="N268" s="51"/>
      <c r="O268" s="51" t="s">
        <v>101</v>
      </c>
      <c r="P268" s="51" t="s">
        <v>101</v>
      </c>
      <c r="Q268" s="129"/>
      <c r="R268" s="129"/>
      <c r="S268" s="51"/>
      <c r="T268" s="51">
        <f>_xlfn.XLOOKUP(наценка7[[#This Row],[№]],Д402[№],Д402[Расчетная проектная площадь],"-",0)</f>
        <v>36.35</v>
      </c>
      <c r="U268" s="17">
        <f t="shared" si="5"/>
        <v>89000</v>
      </c>
      <c r="V26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68" s="18">
        <f>наценка7[[#This Row],[Цена м2 базовая]]*наценка7[[#This Row],[Базовой K]]</f>
        <v>119260</v>
      </c>
      <c r="X268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6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8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6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8" s="55" t="str">
        <f>IF(наценка7[[#This Row],[Потолок ]]="ДА",коэффициенты!$C$13,"")</f>
        <v/>
      </c>
      <c r="AG26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6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6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8" s="52">
        <f>SUM(наценка7[[#This Row],[еврокухня]:[Лифт]])*наценка7[[#This Row],[Цена м2 с БK]]+наценка7[[#This Row],[Цена м2 с БK]]</f>
        <v>126415.6</v>
      </c>
      <c r="AQ268" s="51">
        <f>VLOOKUP(наценка7[[#This Row],[№]],Д402[],COLUMN(Д402[[#This Row],[утв цена м2]]),0)</f>
        <v>129943.91</v>
      </c>
      <c r="AR268" s="3">
        <f>наценка7[[#This Row],[утв цена м2]]*наценка7[[#This Row],[Расчетная проектная площадь]]</f>
        <v>4723461.1285000006</v>
      </c>
      <c r="AS268" s="27" t="str">
        <f>VLOOKUP(наценка7[[#This Row],[№]],Д402[],COLUMN('Реестр ОН'!$BA$1),0)</f>
        <v>Продажа</v>
      </c>
      <c r="AT268" s="281">
        <f>ROUND(наценка7[[#This Row],[Цена м2 с учетом всех K]]*наценка7[[#This Row],[Расчетная проектная площадь]],0)</f>
        <v>4595207</v>
      </c>
      <c r="AU268" s="286">
        <v>4595207</v>
      </c>
      <c r="AV268" s="286" t="b">
        <f>наценка7[[#This Row],[Аллио]]=наценка7[[#This Row],[Первичка тест]]</f>
        <v>1</v>
      </c>
    </row>
    <row r="269" spans="1:48" hidden="1" x14ac:dyDescent="0.25">
      <c r="A269" s="65">
        <v>267</v>
      </c>
      <c r="B269" s="2">
        <f>_xlfn.XLOOKUP(наценка7[[#This Row],[№]],Д402[№],Д402[Секция],"-",0)</f>
        <v>3</v>
      </c>
      <c r="C269" s="2">
        <f>_xlfn.XLOOKUP(наценка7[[#This Row],[№]],Д402[№],Д402[Этаж],"-",0)</f>
        <v>16</v>
      </c>
      <c r="D269" s="2">
        <f>_xlfn.XLOOKUP(наценка7[[#This Row],[№]],Д402[№],Д402[№ на этаже],"-",0)</f>
        <v>3</v>
      </c>
      <c r="E269" s="2">
        <f>_xlfn.XLOOKUP(наценка7[[#This Row],[№]],Д402[№],Д402[Тип кв],"-",0)</f>
        <v>2</v>
      </c>
      <c r="F269" s="51">
        <f>_xlfn.XLOOKUP(наценка7[[#This Row],[№]],Д402[№],Д402[Кухня],"-",0)</f>
        <v>14.34</v>
      </c>
      <c r="G269" s="51">
        <f>_xlfn.XLOOKUP(наценка7[[#This Row],[№]],Д402[№],Д402[Ванная],"-",0)</f>
        <v>4.21</v>
      </c>
      <c r="H269" s="51" t="s">
        <v>87</v>
      </c>
      <c r="I269" s="51"/>
      <c r="J269" s="51" t="s">
        <v>101</v>
      </c>
      <c r="K269" s="51"/>
      <c r="L269" s="51"/>
      <c r="M269" s="51" t="s">
        <v>83</v>
      </c>
      <c r="N269" s="51"/>
      <c r="O269" s="51" t="s">
        <v>119</v>
      </c>
      <c r="P269" s="51" t="s">
        <v>101</v>
      </c>
      <c r="Q269" s="129"/>
      <c r="R269" s="129"/>
      <c r="S269" s="51"/>
      <c r="T269" s="51">
        <f>_xlfn.XLOOKUP(наценка7[[#This Row],[№]],Д402[№],Д402[Расчетная проектная площадь],"-",0)</f>
        <v>54.08</v>
      </c>
      <c r="U269" s="17">
        <f t="shared" si="5"/>
        <v>89000</v>
      </c>
      <c r="V26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69" s="18">
        <f>наценка7[[#This Row],[Цена м2 базовая]]*наценка7[[#This Row],[Базовой K]]</f>
        <v>113030</v>
      </c>
      <c r="X26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6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6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6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6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6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6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6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69" s="55" t="str">
        <f>IF(наценка7[[#This Row],[Потолок ]]="ДА",коэффициенты!$C$13,"")</f>
        <v/>
      </c>
      <c r="AG26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6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6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69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6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6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6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6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6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69" s="52">
        <f>SUM(наценка7[[#This Row],[еврокухня]:[Лифт]])*наценка7[[#This Row],[Цена м2 с БK]]+наценка7[[#This Row],[Цена м2 с БK]]</f>
        <v>119811.8</v>
      </c>
      <c r="AQ269" s="51">
        <f>VLOOKUP(наценка7[[#This Row],[№]],Д402[],COLUMN(Д402[[#This Row],[утв цена м2]]),0)</f>
        <v>124178.15</v>
      </c>
      <c r="AR269" s="3">
        <f>наценка7[[#This Row],[утв цена м2]]*наценка7[[#This Row],[Расчетная проектная площадь]]</f>
        <v>6715554.351999999</v>
      </c>
      <c r="AS269" s="27" t="str">
        <f>VLOOKUP(наценка7[[#This Row],[№]],Д402[],COLUMN('Реестр ОН'!$BA$1),0)</f>
        <v>Свободно</v>
      </c>
      <c r="AT269" s="281">
        <f>ROUND(наценка7[[#This Row],[Цена м2 с учетом всех K]]*наценка7[[#This Row],[Расчетная проектная площадь]],0)</f>
        <v>6479422</v>
      </c>
      <c r="AU269" s="286">
        <v>6479422</v>
      </c>
      <c r="AV269" s="286" t="b">
        <f>наценка7[[#This Row],[Аллио]]=наценка7[[#This Row],[Первичка тест]]</f>
        <v>1</v>
      </c>
    </row>
    <row r="270" spans="1:48" hidden="1" x14ac:dyDescent="0.25">
      <c r="A270" s="65">
        <v>268</v>
      </c>
      <c r="B270" s="2">
        <f>_xlfn.XLOOKUP(наценка7[[#This Row],[№]],Д402[№],Д402[Секция],"-",0)</f>
        <v>3</v>
      </c>
      <c r="C270" s="2">
        <f>_xlfn.XLOOKUP(наценка7[[#This Row],[№]],Д402[№],Д402[Этаж],"-",0)</f>
        <v>16</v>
      </c>
      <c r="D270" s="2">
        <f>_xlfn.XLOOKUP(наценка7[[#This Row],[№]],Д402[№],Д402[№ на этаже],"-",0)</f>
        <v>4</v>
      </c>
      <c r="E270" s="2">
        <f>_xlfn.XLOOKUP(наценка7[[#This Row],[№]],Д402[№],Д402[Тип кв],"-",0)</f>
        <v>2</v>
      </c>
      <c r="F270" s="51">
        <f>_xlfn.XLOOKUP(наценка7[[#This Row],[№]],Д402[№],Д402[Кухня],"-",0)</f>
        <v>13.64</v>
      </c>
      <c r="G270" s="51">
        <f>_xlfn.XLOOKUP(наценка7[[#This Row],[№]],Д402[№],Д402[Ванная],"-",0)</f>
        <v>4.16</v>
      </c>
      <c r="H270" s="51" t="s">
        <v>87</v>
      </c>
      <c r="I270" s="51"/>
      <c r="J270" s="51" t="s">
        <v>101</v>
      </c>
      <c r="K270" s="51"/>
      <c r="L270" s="51"/>
      <c r="M270" s="51" t="s">
        <v>83</v>
      </c>
      <c r="N270" s="51"/>
      <c r="O270" s="51" t="s">
        <v>101</v>
      </c>
      <c r="P270" s="51" t="s">
        <v>101</v>
      </c>
      <c r="Q270" s="129"/>
      <c r="R270" s="129"/>
      <c r="S270" s="51"/>
      <c r="T270" s="51">
        <f>_xlfn.XLOOKUP(наценка7[[#This Row],[№]],Д402[№],Д402[Расчетная проектная площадь],"-",0)</f>
        <v>55.73</v>
      </c>
      <c r="U270" s="17">
        <f t="shared" si="5"/>
        <v>89000</v>
      </c>
      <c r="V27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70" s="18">
        <f>наценка7[[#This Row],[Цена м2 базовая]]*наценка7[[#This Row],[Базовой K]]</f>
        <v>113030</v>
      </c>
      <c r="X27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0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7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0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7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7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0" s="55" t="str">
        <f>IF(наценка7[[#This Row],[Потолок ]]="ДА",коэффициенты!$C$13,"")</f>
        <v/>
      </c>
      <c r="AG27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7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0" s="52">
        <f>SUM(наценка7[[#This Row],[еврокухня]:[Лифт]])*наценка7[[#This Row],[Цена м2 с БK]]+наценка7[[#This Row],[Цена м2 с БK]]</f>
        <v>119811.8</v>
      </c>
      <c r="AQ270" s="51">
        <f>VLOOKUP(наценка7[[#This Row],[№]],Д402[],COLUMN(Д402[[#This Row],[утв цена м2]]),0)</f>
        <v>126538.89</v>
      </c>
      <c r="AR270" s="3">
        <f>наценка7[[#This Row],[утв цена м2]]*наценка7[[#This Row],[Расчетная проектная площадь]]</f>
        <v>7052012.3396999994</v>
      </c>
      <c r="AS270" s="27" t="str">
        <f>VLOOKUP(наценка7[[#This Row],[№]],Д402[],COLUMN('Реестр ОН'!$BA$1),0)</f>
        <v>Свободно</v>
      </c>
      <c r="AT270" s="281">
        <f>ROUND(наценка7[[#This Row],[Цена м2 с учетом всех K]]*наценка7[[#This Row],[Расчетная проектная площадь]],0)</f>
        <v>6677112</v>
      </c>
      <c r="AU270" s="286">
        <v>6677112</v>
      </c>
      <c r="AV270" s="286" t="b">
        <f>наценка7[[#This Row],[Аллио]]=наценка7[[#This Row],[Первичка тест]]</f>
        <v>1</v>
      </c>
    </row>
    <row r="271" spans="1:48" hidden="1" x14ac:dyDescent="0.25">
      <c r="A271" s="65">
        <v>269</v>
      </c>
      <c r="B271" s="2">
        <f>_xlfn.XLOOKUP(наценка7[[#This Row],[№]],Д402[№],Д402[Секция],"-",0)</f>
        <v>3</v>
      </c>
      <c r="C271" s="2">
        <f>_xlfn.XLOOKUP(наценка7[[#This Row],[№]],Д402[№],Д402[Этаж],"-",0)</f>
        <v>16</v>
      </c>
      <c r="D271" s="2">
        <f>_xlfn.XLOOKUP(наценка7[[#This Row],[№]],Д402[№],Д402[№ на этаже],"-",0)</f>
        <v>5</v>
      </c>
      <c r="E271" s="2">
        <f>_xlfn.XLOOKUP(наценка7[[#This Row],[№]],Д402[№],Д402[Тип кв],"-",0)</f>
        <v>2</v>
      </c>
      <c r="F271" s="51">
        <f>_xlfn.XLOOKUP(наценка7[[#This Row],[№]],Д402[№],Д402[Кухня],"-",0)</f>
        <v>11.11</v>
      </c>
      <c r="G271" s="51">
        <f>_xlfn.XLOOKUP(наценка7[[#This Row],[№]],Д402[№],Д402[Ванная],"-",0)</f>
        <v>4.41</v>
      </c>
      <c r="H271" s="51" t="s">
        <v>85</v>
      </c>
      <c r="I271" s="51"/>
      <c r="J271" s="51" t="s">
        <v>101</v>
      </c>
      <c r="K271" s="51"/>
      <c r="L271" s="51"/>
      <c r="M271" s="51" t="s">
        <v>83</v>
      </c>
      <c r="N271" s="51"/>
      <c r="O271" s="51" t="s">
        <v>101</v>
      </c>
      <c r="P271" s="51" t="s">
        <v>101</v>
      </c>
      <c r="Q271" s="129"/>
      <c r="R271" s="51" t="s">
        <v>101</v>
      </c>
      <c r="S271" s="51"/>
      <c r="T271" s="51">
        <f>_xlfn.XLOOKUP(наценка7[[#This Row],[№]],Д402[№],Д402[Расчетная проектная площадь],"-",0)</f>
        <v>59.03</v>
      </c>
      <c r="U271" s="17">
        <f t="shared" si="5"/>
        <v>89000</v>
      </c>
      <c r="V27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71" s="18">
        <f>наценка7[[#This Row],[Цена м2 базовая]]*наценка7[[#This Row],[Базовой K]]</f>
        <v>113030</v>
      </c>
      <c r="X271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7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7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1" s="55" t="str">
        <f>IF(наценка7[[#This Row],[Потолок ]]="ДА",коэффициенты!$C$13,"")</f>
        <v/>
      </c>
      <c r="AG27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71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7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1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1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7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1" s="52">
        <f>SUM(наценка7[[#This Row],[еврокухня]:[Лифт]])*наценка7[[#This Row],[Цена м2 с БK]]+наценка7[[#This Row],[Цена м2 с БK]]</f>
        <v>118681.5</v>
      </c>
      <c r="AQ271" s="51">
        <f>VLOOKUP(наценка7[[#This Row],[№]],Д402[],COLUMN(Д402[[#This Row],[утв цена м2]]),0)</f>
        <v>124128.98</v>
      </c>
      <c r="AR271" s="3">
        <f>наценка7[[#This Row],[утв цена м2]]*наценка7[[#This Row],[Расчетная проектная площадь]]</f>
        <v>7327333.6893999996</v>
      </c>
      <c r="AS271" s="27" t="str">
        <f>VLOOKUP(наценка7[[#This Row],[№]],Д402[],COLUMN('Реестр ОН'!$BA$1),0)</f>
        <v>Стр. Резерв</v>
      </c>
      <c r="AT271" s="281">
        <f>ROUND(наценка7[[#This Row],[Цена м2 с учетом всех K]]*наценка7[[#This Row],[Расчетная проектная площадь]],0)</f>
        <v>7005769</v>
      </c>
      <c r="AU271" s="286">
        <v>7005769</v>
      </c>
      <c r="AV271" s="286" t="b">
        <f>наценка7[[#This Row],[Аллио]]=наценка7[[#This Row],[Первичка тест]]</f>
        <v>1</v>
      </c>
    </row>
    <row r="272" spans="1:48" hidden="1" x14ac:dyDescent="0.25">
      <c r="A272" s="65">
        <v>270</v>
      </c>
      <c r="B272" s="2">
        <f>_xlfn.XLOOKUP(наценка7[[#This Row],[№]],Д402[№],Д402[Секция],"-",0)</f>
        <v>3</v>
      </c>
      <c r="C272" s="2">
        <f>_xlfn.XLOOKUP(наценка7[[#This Row],[№]],Д402[№],Д402[Этаж],"-",0)</f>
        <v>16</v>
      </c>
      <c r="D272" s="2">
        <f>_xlfn.XLOOKUP(наценка7[[#This Row],[№]],Д402[№],Д402[№ на этаже],"-",0)</f>
        <v>6</v>
      </c>
      <c r="E272" s="2">
        <f>_xlfn.XLOOKUP(наценка7[[#This Row],[№]],Д402[№],Д402[Тип кв],"-",0)</f>
        <v>0</v>
      </c>
      <c r="F272" s="51">
        <f>_xlfn.XLOOKUP(наценка7[[#This Row],[№]],Д402[№],Д402[Кухня],"-",0)</f>
        <v>5</v>
      </c>
      <c r="G272" s="51">
        <f>_xlfn.XLOOKUP(наценка7[[#This Row],[№]],Д402[№],Д402[Ванная],"-",0)</f>
        <v>3.97</v>
      </c>
      <c r="H272" s="51" t="s">
        <v>84</v>
      </c>
      <c r="I272" s="51"/>
      <c r="J272" s="51"/>
      <c r="K272" s="51" t="s">
        <v>101</v>
      </c>
      <c r="L272" s="51" t="s">
        <v>119</v>
      </c>
      <c r="M272" s="51" t="s">
        <v>83</v>
      </c>
      <c r="N272" s="51"/>
      <c r="O272" s="51" t="s">
        <v>119</v>
      </c>
      <c r="P272" s="51"/>
      <c r="Q272" s="51"/>
      <c r="R272" s="51" t="s">
        <v>101</v>
      </c>
      <c r="S272" s="51" t="s">
        <v>101</v>
      </c>
      <c r="T272" s="51">
        <f>_xlfn.XLOOKUP(наценка7[[#This Row],[№]],Д402[№],Д402[Расчетная проектная площадь],"-",0)</f>
        <v>29.43</v>
      </c>
      <c r="U272" s="17">
        <f t="shared" si="5"/>
        <v>89000</v>
      </c>
      <c r="V27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72" s="18">
        <f>наценка7[[#This Row],[Цена м2 базовая]]*наценка7[[#This Row],[Базовой K]]</f>
        <v>139730</v>
      </c>
      <c r="X27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2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2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7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2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72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2" s="55" t="str">
        <f>IF(наценка7[[#This Row],[Потолок ]]="ДА",коэффициенты!$C$13,"")</f>
        <v/>
      </c>
      <c r="AG272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7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2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7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2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72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7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2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72" s="52">
        <f>SUM(наценка7[[#This Row],[еврокухня]:[Лифт]])*наценка7[[#This Row],[Цена м2 с БK]]+наценка7[[#This Row],[Цена м2 с БK]]</f>
        <v>136935.4</v>
      </c>
      <c r="AQ272" s="51">
        <f>VLOOKUP(наценка7[[#This Row],[№]],Д402[],COLUMN(Д402[[#This Row],[утв цена м2]]),0)</f>
        <v>138167.9</v>
      </c>
      <c r="AR272" s="3">
        <f>наценка7[[#This Row],[утв цена м2]]*наценка7[[#This Row],[Расчетная проектная площадь]]</f>
        <v>4066281.2969999998</v>
      </c>
      <c r="AS272" s="27" t="str">
        <f>VLOOKUP(наценка7[[#This Row],[№]],Д402[],COLUMN('Реестр ОН'!$BA$1),0)</f>
        <v>Стр. Резерв</v>
      </c>
      <c r="AT272" s="281">
        <f>ROUND(наценка7[[#This Row],[Цена м2 с учетом всех K]]*наценка7[[#This Row],[Расчетная проектная площадь]],0)</f>
        <v>4030009</v>
      </c>
      <c r="AU272" s="286">
        <v>4030009</v>
      </c>
      <c r="AV272" s="286" t="b">
        <f>наценка7[[#This Row],[Аллио]]=наценка7[[#This Row],[Первичка тест]]</f>
        <v>1</v>
      </c>
    </row>
    <row r="273" spans="1:48" hidden="1" x14ac:dyDescent="0.25">
      <c r="A273" s="65">
        <v>271</v>
      </c>
      <c r="B273" s="2">
        <f>_xlfn.XLOOKUP(наценка7[[#This Row],[№]],Д402[№],Д402[Секция],"-",0)</f>
        <v>3</v>
      </c>
      <c r="C273" s="2">
        <f>_xlfn.XLOOKUP(наценка7[[#This Row],[№]],Д402[№],Д402[Этаж],"-",0)</f>
        <v>17</v>
      </c>
      <c r="D273" s="2">
        <f>_xlfn.XLOOKUP(наценка7[[#This Row],[№]],Д402[№],Д402[№ на этаже],"-",0)</f>
        <v>1</v>
      </c>
      <c r="E273" s="2">
        <f>_xlfn.XLOOKUP(наценка7[[#This Row],[№]],Д402[№],Д402[Тип кв],"-",0)</f>
        <v>1</v>
      </c>
      <c r="F273" s="51">
        <f>_xlfn.XLOOKUP(наценка7[[#This Row],[№]],Д402[№],Д402[Кухня],"-",0)</f>
        <v>15.83</v>
      </c>
      <c r="G273" s="51">
        <f>_xlfn.XLOOKUP(наценка7[[#This Row],[№]],Д402[№],Д402[Ванная],"-",0)</f>
        <v>4.09</v>
      </c>
      <c r="H273" s="51" t="s">
        <v>84</v>
      </c>
      <c r="I273" s="51"/>
      <c r="J273" s="51" t="s">
        <v>101</v>
      </c>
      <c r="K273" s="51" t="s">
        <v>101</v>
      </c>
      <c r="L273" s="51"/>
      <c r="M273" s="51" t="s">
        <v>83</v>
      </c>
      <c r="N273" s="51" t="s">
        <v>101</v>
      </c>
      <c r="O273" s="51" t="s">
        <v>101</v>
      </c>
      <c r="P273" s="51"/>
      <c r="Q273" s="129"/>
      <c r="R273" s="129"/>
      <c r="S273" s="51"/>
      <c r="T273" s="51">
        <f>_xlfn.XLOOKUP(наценка7[[#This Row],[№]],Д402[№],Д402[Расчетная проектная площадь],"-",0)</f>
        <v>43.88</v>
      </c>
      <c r="U273" s="17">
        <f t="shared" si="5"/>
        <v>89000</v>
      </c>
      <c r="V27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73" s="18">
        <f>наценка7[[#This Row],[Цена м2 базовая]]*наценка7[[#This Row],[Базовой K]]</f>
        <v>119260</v>
      </c>
      <c r="X273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7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3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73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3" s="55" t="str">
        <f>IF(наценка7[[#This Row],[Потолок ]]="ДА",коэффициенты!$C$13,"")</f>
        <v/>
      </c>
      <c r="AG27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73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3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3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7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3" s="52">
        <f>SUM(наценка7[[#This Row],[еврокухня]:[Лифт]])*наценка7[[#This Row],[Цена м2 с БK]]+наценка7[[#This Row],[Цена м2 с БK]]</f>
        <v>120452.6</v>
      </c>
      <c r="AQ273" s="51">
        <f>VLOOKUP(наценка7[[#This Row],[№]],Д402[],COLUMN(Д402[[#This Row],[утв цена м2]]),0)</f>
        <v>122861.65</v>
      </c>
      <c r="AR273" s="3">
        <f>наценка7[[#This Row],[утв цена м2]]*наценка7[[#This Row],[Расчетная проектная площадь]]</f>
        <v>5391169.2020000005</v>
      </c>
      <c r="AS273" s="27" t="str">
        <f>VLOOKUP(наценка7[[#This Row],[№]],Д402[],COLUMN('Реестр ОН'!$BA$1),0)</f>
        <v>Продажа</v>
      </c>
      <c r="AT273" s="281">
        <f>ROUND(наценка7[[#This Row],[Цена м2 с учетом всех K]]*наценка7[[#This Row],[Расчетная проектная площадь]],0)</f>
        <v>5285460</v>
      </c>
      <c r="AU273" s="286">
        <v>5285460</v>
      </c>
      <c r="AV273" s="286" t="b">
        <f>наценка7[[#This Row],[Аллио]]=наценка7[[#This Row],[Первичка тест]]</f>
        <v>1</v>
      </c>
    </row>
    <row r="274" spans="1:48" hidden="1" x14ac:dyDescent="0.25">
      <c r="A274" s="65">
        <v>272</v>
      </c>
      <c r="B274" s="2">
        <f>_xlfn.XLOOKUP(наценка7[[#This Row],[№]],Д402[№],Д402[Секция],"-",0)</f>
        <v>3</v>
      </c>
      <c r="C274" s="2">
        <f>_xlfn.XLOOKUP(наценка7[[#This Row],[№]],Д402[№],Д402[Этаж],"-",0)</f>
        <v>17</v>
      </c>
      <c r="D274" s="2">
        <f>_xlfn.XLOOKUP(наценка7[[#This Row],[№]],Д402[№],Д402[№ на этаже],"-",0)</f>
        <v>2</v>
      </c>
      <c r="E274" s="2">
        <f>_xlfn.XLOOKUP(наценка7[[#This Row],[№]],Д402[№],Д402[Тип кв],"-",0)</f>
        <v>1</v>
      </c>
      <c r="F274" s="51">
        <f>_xlfn.XLOOKUP(наценка7[[#This Row],[№]],Д402[№],Д402[Кухня],"-",0)</f>
        <v>14.81</v>
      </c>
      <c r="G274" s="51">
        <f>_xlfn.XLOOKUP(наценка7[[#This Row],[№]],Д402[№],Д402[Ванная],"-",0)</f>
        <v>4.22</v>
      </c>
      <c r="H274" s="51" t="s">
        <v>87</v>
      </c>
      <c r="I274" s="51"/>
      <c r="J274" s="51" t="s">
        <v>101</v>
      </c>
      <c r="K274" s="51" t="s">
        <v>101</v>
      </c>
      <c r="L274" s="51"/>
      <c r="M274" s="51" t="s">
        <v>83</v>
      </c>
      <c r="N274" s="51"/>
      <c r="O274" s="51" t="s">
        <v>101</v>
      </c>
      <c r="P274" s="51"/>
      <c r="Q274" s="129"/>
      <c r="R274" s="129"/>
      <c r="S274" s="51"/>
      <c r="T274" s="51">
        <f>_xlfn.XLOOKUP(наценка7[[#This Row],[№]],Д402[№],Д402[Расчетная проектная площадь],"-",0)</f>
        <v>36.35</v>
      </c>
      <c r="U274" s="17">
        <f t="shared" si="5"/>
        <v>89000</v>
      </c>
      <c r="V27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74" s="18">
        <f>наценка7[[#This Row],[Цена м2 базовая]]*наценка7[[#This Row],[Базовой K]]</f>
        <v>119260</v>
      </c>
      <c r="X274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7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4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7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4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7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4" s="55" t="str">
        <f>IF(наценка7[[#This Row],[Потолок ]]="ДА",коэффициенты!$C$13,"")</f>
        <v/>
      </c>
      <c r="AG274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7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4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4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4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4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4" s="52">
        <f>SUM(наценка7[[#This Row],[еврокухня]:[Лифт]])*наценка7[[#This Row],[Цена м2 с БK]]+наценка7[[#This Row],[Цена м2 с БK]]</f>
        <v>124030.39999999999</v>
      </c>
      <c r="AQ274" s="51">
        <f>VLOOKUP(наценка7[[#This Row],[№]],Д402[],COLUMN(Д402[[#This Row],[утв цена м2]]),0)</f>
        <v>126511.01</v>
      </c>
      <c r="AR274" s="3">
        <f>наценка7[[#This Row],[утв цена м2]]*наценка7[[#This Row],[Расчетная проектная площадь]]</f>
        <v>4598675.2134999996</v>
      </c>
      <c r="AS274" s="27" t="str">
        <f>VLOOKUP(наценка7[[#This Row],[№]],Д402[],COLUMN('Реестр ОН'!$BA$1),0)</f>
        <v>Продажа</v>
      </c>
      <c r="AT274" s="281">
        <f>ROUND(наценка7[[#This Row],[Цена м2 с учетом всех K]]*наценка7[[#This Row],[Расчетная проектная площадь]],0)</f>
        <v>4508505</v>
      </c>
      <c r="AU274" s="286">
        <v>4508505</v>
      </c>
      <c r="AV274" s="286" t="b">
        <f>наценка7[[#This Row],[Аллио]]=наценка7[[#This Row],[Первичка тест]]</f>
        <v>1</v>
      </c>
    </row>
    <row r="275" spans="1:48" hidden="1" x14ac:dyDescent="0.25">
      <c r="A275" s="65">
        <v>273</v>
      </c>
      <c r="B275" s="2">
        <f>_xlfn.XLOOKUP(наценка7[[#This Row],[№]],Д402[№],Д402[Секция],"-",0)</f>
        <v>3</v>
      </c>
      <c r="C275" s="2">
        <f>_xlfn.XLOOKUP(наценка7[[#This Row],[№]],Д402[№],Д402[Этаж],"-",0)</f>
        <v>17</v>
      </c>
      <c r="D275" s="2">
        <f>_xlfn.XLOOKUP(наценка7[[#This Row],[№]],Д402[№],Д402[№ на этаже],"-",0)</f>
        <v>3</v>
      </c>
      <c r="E275" s="2">
        <f>_xlfn.XLOOKUP(наценка7[[#This Row],[№]],Д402[№],Д402[Тип кв],"-",0)</f>
        <v>2</v>
      </c>
      <c r="F275" s="51">
        <f>_xlfn.XLOOKUP(наценка7[[#This Row],[№]],Д402[№],Д402[Кухня],"-",0)</f>
        <v>14.34</v>
      </c>
      <c r="G275" s="51">
        <f>_xlfn.XLOOKUP(наценка7[[#This Row],[№]],Д402[№],Д402[Ванная],"-",0)</f>
        <v>4.21</v>
      </c>
      <c r="H275" s="51" t="s">
        <v>87</v>
      </c>
      <c r="I275" s="51"/>
      <c r="J275" s="51" t="s">
        <v>101</v>
      </c>
      <c r="K275" s="51"/>
      <c r="L275" s="51"/>
      <c r="M275" s="51" t="s">
        <v>83</v>
      </c>
      <c r="N275" s="51"/>
      <c r="O275" s="51" t="s">
        <v>119</v>
      </c>
      <c r="P275" s="51"/>
      <c r="Q275" s="129"/>
      <c r="R275" s="129"/>
      <c r="S275" s="51"/>
      <c r="T275" s="51">
        <f>_xlfn.XLOOKUP(наценка7[[#This Row],[№]],Д402[№],Д402[Расчетная проектная площадь],"-",0)</f>
        <v>54.08</v>
      </c>
      <c r="U275" s="17">
        <f t="shared" si="5"/>
        <v>89000</v>
      </c>
      <c r="V27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75" s="18">
        <f>наценка7[[#This Row],[Цена м2 базовая]]*наценка7[[#This Row],[Базовой K]]</f>
        <v>113030</v>
      </c>
      <c r="X27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7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5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75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5" s="55" t="str">
        <f>IF(наценка7[[#This Row],[Потолок ]]="ДА",коэффициенты!$C$13,"")</f>
        <v/>
      </c>
      <c r="AG27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7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5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7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5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5" s="52">
        <f>SUM(наценка7[[#This Row],[еврокухня]:[Лифт]])*наценка7[[#This Row],[Цена м2 с БK]]+наценка7[[#This Row],[Цена м2 с БK]]</f>
        <v>117551.2</v>
      </c>
      <c r="AQ275" s="51">
        <f>VLOOKUP(наценка7[[#This Row],[№]],Д402[],COLUMN(Д402[[#This Row],[утв цена м2]]),0)</f>
        <v>121019.78</v>
      </c>
      <c r="AR275" s="3">
        <f>наценка7[[#This Row],[утв цена м2]]*наценка7[[#This Row],[Расчетная проектная площадь]]</f>
        <v>6544749.7023999998</v>
      </c>
      <c r="AS275" s="27" t="str">
        <f>VLOOKUP(наценка7[[#This Row],[№]],Д402[],COLUMN('Реестр ОН'!$BA$1),0)</f>
        <v>Продажа</v>
      </c>
      <c r="AT275" s="281">
        <f>ROUND(наценка7[[#This Row],[Цена м2 с учетом всех K]]*наценка7[[#This Row],[Расчетная проектная площадь]],0)</f>
        <v>6357169</v>
      </c>
      <c r="AU275" s="286">
        <v>6357169</v>
      </c>
      <c r="AV275" s="286" t="b">
        <f>наценка7[[#This Row],[Аллио]]=наценка7[[#This Row],[Первичка тест]]</f>
        <v>1</v>
      </c>
    </row>
    <row r="276" spans="1:48" hidden="1" x14ac:dyDescent="0.25">
      <c r="A276" s="65">
        <v>274</v>
      </c>
      <c r="B276" s="2">
        <f>_xlfn.XLOOKUP(наценка7[[#This Row],[№]],Д402[№],Д402[Секция],"-",0)</f>
        <v>3</v>
      </c>
      <c r="C276" s="2">
        <f>_xlfn.XLOOKUP(наценка7[[#This Row],[№]],Д402[№],Д402[Этаж],"-",0)</f>
        <v>17</v>
      </c>
      <c r="D276" s="2">
        <f>_xlfn.XLOOKUP(наценка7[[#This Row],[№]],Д402[№],Д402[№ на этаже],"-",0)</f>
        <v>4</v>
      </c>
      <c r="E276" s="2">
        <f>_xlfn.XLOOKUP(наценка7[[#This Row],[№]],Д402[№],Д402[Тип кв],"-",0)</f>
        <v>2</v>
      </c>
      <c r="F276" s="51">
        <f>_xlfn.XLOOKUP(наценка7[[#This Row],[№]],Д402[№],Д402[Кухня],"-",0)</f>
        <v>13.64</v>
      </c>
      <c r="G276" s="51">
        <f>_xlfn.XLOOKUP(наценка7[[#This Row],[№]],Д402[№],Д402[Ванная],"-",0)</f>
        <v>4.16</v>
      </c>
      <c r="H276" s="51" t="s">
        <v>87</v>
      </c>
      <c r="I276" s="51"/>
      <c r="J276" s="51" t="s">
        <v>101</v>
      </c>
      <c r="K276" s="51"/>
      <c r="L276" s="51"/>
      <c r="M276" s="51" t="s">
        <v>83</v>
      </c>
      <c r="N276" s="51"/>
      <c r="O276" s="51" t="s">
        <v>101</v>
      </c>
      <c r="P276" s="51"/>
      <c r="Q276" s="129"/>
      <c r="R276" s="129"/>
      <c r="S276" s="51"/>
      <c r="T276" s="51">
        <f>_xlfn.XLOOKUP(наценка7[[#This Row],[№]],Д402[№],Д402[Расчетная проектная площадь],"-",0)</f>
        <v>55.73</v>
      </c>
      <c r="U276" s="17">
        <f t="shared" si="5"/>
        <v>89000</v>
      </c>
      <c r="V27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76" s="18">
        <f>наценка7[[#This Row],[Цена м2 базовая]]*наценка7[[#This Row],[Базовой K]]</f>
        <v>113030</v>
      </c>
      <c r="X276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6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7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6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76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6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6" s="55" t="str">
        <f>IF(наценка7[[#This Row],[Потолок ]]="ДА",коэффициенты!$C$13,"")</f>
        <v/>
      </c>
      <c r="AG27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7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6" s="52">
        <f>SUM(наценка7[[#This Row],[еврокухня]:[Лифт]])*наценка7[[#This Row],[Цена м2 с БK]]+наценка7[[#This Row],[Цена м2 с БK]]</f>
        <v>117551.2</v>
      </c>
      <c r="AQ276" s="51">
        <f>VLOOKUP(наценка7[[#This Row],[№]],Д402[],COLUMN(Д402[[#This Row],[утв цена м2]]),0)</f>
        <v>124175.21</v>
      </c>
      <c r="AR276" s="3">
        <f>наценка7[[#This Row],[утв цена м2]]*наценка7[[#This Row],[Расчетная проектная площадь]]</f>
        <v>6920284.4533000002</v>
      </c>
      <c r="AS276" s="27" t="str">
        <f>VLOOKUP(наценка7[[#This Row],[№]],Д402[],COLUMN('Реестр ОН'!$BA$1),0)</f>
        <v>Стр. Резерв</v>
      </c>
      <c r="AT276" s="281">
        <f>ROUND(наценка7[[#This Row],[Цена м2 с учетом всех K]]*наценка7[[#This Row],[Расчетная проектная площадь]],0)</f>
        <v>6551128</v>
      </c>
      <c r="AU276" s="286">
        <v>6551128</v>
      </c>
      <c r="AV276" s="286" t="b">
        <f>наценка7[[#This Row],[Аллио]]=наценка7[[#This Row],[Первичка тест]]</f>
        <v>1</v>
      </c>
    </row>
    <row r="277" spans="1:48" hidden="1" x14ac:dyDescent="0.25">
      <c r="A277" s="65">
        <v>275</v>
      </c>
      <c r="B277" s="2">
        <f>_xlfn.XLOOKUP(наценка7[[#This Row],[№]],Д402[№],Д402[Секция],"-",0)</f>
        <v>3</v>
      </c>
      <c r="C277" s="2">
        <f>_xlfn.XLOOKUP(наценка7[[#This Row],[№]],Д402[№],Д402[Этаж],"-",0)</f>
        <v>17</v>
      </c>
      <c r="D277" s="2">
        <f>_xlfn.XLOOKUP(наценка7[[#This Row],[№]],Д402[№],Д402[№ на этаже],"-",0)</f>
        <v>5</v>
      </c>
      <c r="E277" s="2">
        <f>_xlfn.XLOOKUP(наценка7[[#This Row],[№]],Д402[№],Д402[Тип кв],"-",0)</f>
        <v>2</v>
      </c>
      <c r="F277" s="51">
        <f>_xlfn.XLOOKUP(наценка7[[#This Row],[№]],Д402[№],Д402[Кухня],"-",0)</f>
        <v>11.11</v>
      </c>
      <c r="G277" s="51">
        <f>_xlfn.XLOOKUP(наценка7[[#This Row],[№]],Д402[№],Д402[Ванная],"-",0)</f>
        <v>4.41</v>
      </c>
      <c r="H277" s="51" t="s">
        <v>85</v>
      </c>
      <c r="I277" s="51"/>
      <c r="J277" s="51" t="s">
        <v>101</v>
      </c>
      <c r="K277" s="51"/>
      <c r="L277" s="51"/>
      <c r="M277" s="51" t="s">
        <v>83</v>
      </c>
      <c r="N277" s="51"/>
      <c r="O277" s="51" t="s">
        <v>101</v>
      </c>
      <c r="P277" s="51" t="s">
        <v>101</v>
      </c>
      <c r="Q277" s="129"/>
      <c r="R277" s="51" t="s">
        <v>101</v>
      </c>
      <c r="S277" s="51"/>
      <c r="T277" s="51">
        <f>_xlfn.XLOOKUP(наценка7[[#This Row],[№]],Д402[№],Д402[Расчетная проектная площадь],"-",0)</f>
        <v>59.03</v>
      </c>
      <c r="U277" s="17">
        <f t="shared" si="5"/>
        <v>89000</v>
      </c>
      <c r="V27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77" s="18">
        <f>наценка7[[#This Row],[Цена м2 базовая]]*наценка7[[#This Row],[Базовой K]]</f>
        <v>113030</v>
      </c>
      <c r="X277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7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7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7" s="55" t="str">
        <f>IF(наценка7[[#This Row],[Потолок ]]="ДА",коэффициенты!$C$13,"")</f>
        <v/>
      </c>
      <c r="AG27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77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7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7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7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7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7" s="52">
        <f>SUM(наценка7[[#This Row],[еврокухня]:[Лифт]])*наценка7[[#This Row],[Цена м2 с БK]]+наценка7[[#This Row],[Цена м2 с БK]]</f>
        <v>118681.5</v>
      </c>
      <c r="AQ277" s="51">
        <f>VLOOKUP(наценка7[[#This Row],[№]],Д402[],COLUMN(Д402[[#This Row],[утв цена м2]]),0)</f>
        <v>124128.98</v>
      </c>
      <c r="AR277" s="3">
        <f>наценка7[[#This Row],[утв цена м2]]*наценка7[[#This Row],[Расчетная проектная площадь]]</f>
        <v>7327333.6893999996</v>
      </c>
      <c r="AS277" s="27" t="str">
        <f>VLOOKUP(наценка7[[#This Row],[№]],Д402[],COLUMN('Реестр ОН'!$BA$1),0)</f>
        <v>Стр. Резерв</v>
      </c>
      <c r="AT277" s="281">
        <f>ROUND(наценка7[[#This Row],[Цена м2 с учетом всех K]]*наценка7[[#This Row],[Расчетная проектная площадь]],0)</f>
        <v>7005769</v>
      </c>
      <c r="AU277" s="286">
        <v>7005769</v>
      </c>
      <c r="AV277" s="286" t="b">
        <f>наценка7[[#This Row],[Аллио]]=наценка7[[#This Row],[Первичка тест]]</f>
        <v>1</v>
      </c>
    </row>
    <row r="278" spans="1:48" hidden="1" x14ac:dyDescent="0.25">
      <c r="A278" s="65">
        <v>276</v>
      </c>
      <c r="B278" s="2">
        <f>_xlfn.XLOOKUP(наценка7[[#This Row],[№]],Д402[№],Д402[Секция],"-",0)</f>
        <v>3</v>
      </c>
      <c r="C278" s="2">
        <f>_xlfn.XLOOKUP(наценка7[[#This Row],[№]],Д402[№],Д402[Этаж],"-",0)</f>
        <v>17</v>
      </c>
      <c r="D278" s="2">
        <f>_xlfn.XLOOKUP(наценка7[[#This Row],[№]],Д402[№],Д402[№ на этаже],"-",0)</f>
        <v>6</v>
      </c>
      <c r="E278" s="2">
        <f>_xlfn.XLOOKUP(наценка7[[#This Row],[№]],Д402[№],Д402[Тип кв],"-",0)</f>
        <v>0</v>
      </c>
      <c r="F278" s="51">
        <f>_xlfn.XLOOKUP(наценка7[[#This Row],[№]],Д402[№],Д402[Кухня],"-",0)</f>
        <v>5</v>
      </c>
      <c r="G278" s="51">
        <f>_xlfn.XLOOKUP(наценка7[[#This Row],[№]],Д402[№],Д402[Ванная],"-",0)</f>
        <v>3.97</v>
      </c>
      <c r="H278" s="51" t="s">
        <v>84</v>
      </c>
      <c r="I278" s="51"/>
      <c r="J278" s="51"/>
      <c r="K278" s="51" t="s">
        <v>101</v>
      </c>
      <c r="L278" s="51" t="s">
        <v>119</v>
      </c>
      <c r="M278" s="51" t="s">
        <v>83</v>
      </c>
      <c r="N278" s="51"/>
      <c r="O278" s="51" t="s">
        <v>119</v>
      </c>
      <c r="P278" s="51"/>
      <c r="Q278" s="129"/>
      <c r="R278" s="129"/>
      <c r="S278" s="51" t="s">
        <v>101</v>
      </c>
      <c r="T278" s="51">
        <f>_xlfn.XLOOKUP(наценка7[[#This Row],[№]],Д402[№],Д402[Расчетная проектная площадь],"-",0)</f>
        <v>29.43</v>
      </c>
      <c r="U278" s="17">
        <f t="shared" si="5"/>
        <v>89000</v>
      </c>
      <c r="V27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78" s="18">
        <f>наценка7[[#This Row],[Цена м2 базовая]]*наценка7[[#This Row],[Базовой K]]</f>
        <v>139730</v>
      </c>
      <c r="X27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78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8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7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8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78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7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8" s="55" t="str">
        <f>IF(наценка7[[#This Row],[Потолок ]]="ДА",коэффициенты!$C$13,"")</f>
        <v/>
      </c>
      <c r="AG278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7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8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7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8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7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78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78" s="52">
        <f>SUM(наценка7[[#This Row],[еврокухня]:[Лифт]])*наценка7[[#This Row],[Цена м2 с БK]]+наценка7[[#This Row],[Цена м2 с БK]]</f>
        <v>138332.70000000001</v>
      </c>
      <c r="AQ278" s="51">
        <f>VLOOKUP(наценка7[[#This Row],[№]],Д402[],COLUMN(Д402[[#This Row],[утв цена м2]]),0)</f>
        <v>139565.20000000001</v>
      </c>
      <c r="AR278" s="3">
        <f>наценка7[[#This Row],[утв цена м2]]*наценка7[[#This Row],[Расчетная проектная площадь]]</f>
        <v>4107403.8360000001</v>
      </c>
      <c r="AS278" s="27" t="str">
        <f>VLOOKUP(наценка7[[#This Row],[№]],Д402[],COLUMN('Реестр ОН'!$BA$1),0)</f>
        <v>Стр. Резерв</v>
      </c>
      <c r="AT278" s="281">
        <f>ROUND(наценка7[[#This Row],[Цена м2 с учетом всех K]]*наценка7[[#This Row],[Расчетная проектная площадь]],0)</f>
        <v>4071131</v>
      </c>
      <c r="AU278" s="286">
        <v>4071131</v>
      </c>
      <c r="AV278" s="286" t="b">
        <f>наценка7[[#This Row],[Аллио]]=наценка7[[#This Row],[Первичка тест]]</f>
        <v>1</v>
      </c>
    </row>
    <row r="279" spans="1:48" hidden="1" x14ac:dyDescent="0.25">
      <c r="A279" s="65">
        <v>277</v>
      </c>
      <c r="B279" s="2">
        <f>_xlfn.XLOOKUP(наценка7[[#This Row],[№]],Д402[№],Д402[Секция],"-",0)</f>
        <v>3</v>
      </c>
      <c r="C279" s="2">
        <f>_xlfn.XLOOKUP(наценка7[[#This Row],[№]],Д402[№],Д402[Этаж],"-",0)</f>
        <v>18</v>
      </c>
      <c r="D279" s="2">
        <f>_xlfn.XLOOKUP(наценка7[[#This Row],[№]],Д402[№],Д402[№ на этаже],"-",0)</f>
        <v>1</v>
      </c>
      <c r="E279" s="2">
        <f>_xlfn.XLOOKUP(наценка7[[#This Row],[№]],Д402[№],Д402[Тип кв],"-",0)</f>
        <v>1</v>
      </c>
      <c r="F279" s="51">
        <f>_xlfn.XLOOKUP(наценка7[[#This Row],[№]],Д402[№],Д402[Кухня],"-",0)</f>
        <v>15.83</v>
      </c>
      <c r="G279" s="51">
        <f>_xlfn.XLOOKUP(наценка7[[#This Row],[№]],Д402[№],Д402[Ванная],"-",0)</f>
        <v>4.09</v>
      </c>
      <c r="H279" s="51" t="s">
        <v>84</v>
      </c>
      <c r="I279" s="51" t="s">
        <v>101</v>
      </c>
      <c r="J279" s="51" t="s">
        <v>101</v>
      </c>
      <c r="K279" s="51" t="s">
        <v>101</v>
      </c>
      <c r="L279" s="51"/>
      <c r="M279" s="51" t="s">
        <v>83</v>
      </c>
      <c r="N279" s="51" t="s">
        <v>101</v>
      </c>
      <c r="O279" s="51" t="s">
        <v>101</v>
      </c>
      <c r="P279" s="51" t="s">
        <v>101</v>
      </c>
      <c r="Q279" s="129"/>
      <c r="R279" s="129"/>
      <c r="S279" s="51"/>
      <c r="T279" s="51">
        <f>_xlfn.XLOOKUP(наценка7[[#This Row],[№]],Д402[№],Д402[Расчетная проектная площадь],"-",0)</f>
        <v>43.88</v>
      </c>
      <c r="U279" s="17">
        <f t="shared" si="5"/>
        <v>89000</v>
      </c>
      <c r="V27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79" s="18">
        <f>наценка7[[#This Row],[Цена м2 базовая]]*наценка7[[#This Row],[Базовой K]]</f>
        <v>119260</v>
      </c>
      <c r="X279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7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7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7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79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7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7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7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79" s="55">
        <f>IF(наценка7[[#This Row],[Потолок ]]="ДА",коэффициенты!$C$13,"")</f>
        <v>0.02</v>
      </c>
      <c r="AG27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79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7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7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7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7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79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79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7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79" s="52">
        <f>SUM(наценка7[[#This Row],[еврокухня]:[Лифт]])*наценка7[[#This Row],[Цена м2 с БK]]+наценка7[[#This Row],[Цена м2 с БK]]</f>
        <v>125223</v>
      </c>
      <c r="AQ279" s="51">
        <f>VLOOKUP(наценка7[[#This Row],[№]],Д402[],COLUMN(Д402[[#This Row],[утв цена м2]]),0)</f>
        <v>134854.01</v>
      </c>
      <c r="AR279" s="3">
        <f>наценка7[[#This Row],[утв цена м2]]*наценка7[[#This Row],[Расчетная проектная площадь]]</f>
        <v>5917393.9588000011</v>
      </c>
      <c r="AS279" s="27" t="str">
        <f>VLOOKUP(наценка7[[#This Row],[№]],Д402[],COLUMN('Реестр ОН'!$BA$1),0)</f>
        <v>Свободно</v>
      </c>
      <c r="AT279" s="281">
        <f>ROUND(наценка7[[#This Row],[Цена м2 с учетом всех K]]*наценка7[[#This Row],[Расчетная проектная площадь]],0)</f>
        <v>5494785</v>
      </c>
      <c r="AU279" s="286">
        <v>5494785</v>
      </c>
      <c r="AV279" s="286" t="b">
        <f>наценка7[[#This Row],[Аллио]]=наценка7[[#This Row],[Первичка тест]]</f>
        <v>1</v>
      </c>
    </row>
    <row r="280" spans="1:48" hidden="1" x14ac:dyDescent="0.25">
      <c r="A280" s="65">
        <v>278</v>
      </c>
      <c r="B280" s="2">
        <f>_xlfn.XLOOKUP(наценка7[[#This Row],[№]],Д402[№],Д402[Секция],"-",0)</f>
        <v>3</v>
      </c>
      <c r="C280" s="2">
        <f>_xlfn.XLOOKUP(наценка7[[#This Row],[№]],Д402[№],Д402[Этаж],"-",0)</f>
        <v>18</v>
      </c>
      <c r="D280" s="2">
        <f>_xlfn.XLOOKUP(наценка7[[#This Row],[№]],Д402[№],Д402[№ на этаже],"-",0)</f>
        <v>2</v>
      </c>
      <c r="E280" s="2">
        <f>_xlfn.XLOOKUP(наценка7[[#This Row],[№]],Д402[№],Д402[Тип кв],"-",0)</f>
        <v>1</v>
      </c>
      <c r="F280" s="51">
        <f>_xlfn.XLOOKUP(наценка7[[#This Row],[№]],Д402[№],Д402[Кухня],"-",0)</f>
        <v>14.81</v>
      </c>
      <c r="G280" s="51">
        <f>_xlfn.XLOOKUP(наценка7[[#This Row],[№]],Д402[№],Д402[Ванная],"-",0)</f>
        <v>4.22</v>
      </c>
      <c r="H280" s="51" t="s">
        <v>87</v>
      </c>
      <c r="I280" s="51" t="s">
        <v>101</v>
      </c>
      <c r="J280" s="51" t="s">
        <v>101</v>
      </c>
      <c r="K280" s="51" t="s">
        <v>101</v>
      </c>
      <c r="L280" s="51"/>
      <c r="M280" s="51" t="s">
        <v>83</v>
      </c>
      <c r="N280" s="51"/>
      <c r="O280" s="51" t="s">
        <v>101</v>
      </c>
      <c r="P280" s="51" t="s">
        <v>101</v>
      </c>
      <c r="Q280" s="129"/>
      <c r="R280" s="129"/>
      <c r="S280" s="51"/>
      <c r="T280" s="51">
        <f>_xlfn.XLOOKUP(наценка7[[#This Row],[№]],Д402[№],Д402[Расчетная проектная площадь],"-",0)</f>
        <v>36.35</v>
      </c>
      <c r="U280" s="17">
        <f t="shared" si="5"/>
        <v>89000</v>
      </c>
      <c r="V28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80" s="18">
        <f>наценка7[[#This Row],[Цена м2 базовая]]*наценка7[[#This Row],[Базовой K]]</f>
        <v>119260</v>
      </c>
      <c r="X280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8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0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80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0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8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0" s="55">
        <f>IF(наценка7[[#This Row],[Потолок ]]="ДА",коэффициенты!$C$13,"")</f>
        <v>0.02</v>
      </c>
      <c r="AG280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8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0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0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0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0" s="52">
        <f>SUM(наценка7[[#This Row],[еврокухня]:[Лифт]])*наценка7[[#This Row],[Цена м2 с БK]]+наценка7[[#This Row],[Цена м2 с БK]]</f>
        <v>128800.8</v>
      </c>
      <c r="AQ280" s="51">
        <f>VLOOKUP(наценка7[[#This Row],[№]],Д402[],COLUMN(Д402[[#This Row],[утв цена м2]]),0)</f>
        <v>134598.46</v>
      </c>
      <c r="AR280" s="3">
        <f>наценка7[[#This Row],[утв цена м2]]*наценка7[[#This Row],[Расчетная проектная площадь]]</f>
        <v>4892654.0209999997</v>
      </c>
      <c r="AS280" s="27" t="str">
        <f>VLOOKUP(наценка7[[#This Row],[№]],Д402[],COLUMN('Реестр ОН'!$BA$1),0)</f>
        <v>Продажа</v>
      </c>
      <c r="AT280" s="281">
        <f>ROUND(наценка7[[#This Row],[Цена м2 с учетом всех K]]*наценка7[[#This Row],[Расчетная проектная площадь]],0)</f>
        <v>4681909</v>
      </c>
      <c r="AU280" s="286">
        <v>4681909</v>
      </c>
      <c r="AV280" s="286" t="b">
        <f>наценка7[[#This Row],[Аллио]]=наценка7[[#This Row],[Первичка тест]]</f>
        <v>1</v>
      </c>
    </row>
    <row r="281" spans="1:48" hidden="1" x14ac:dyDescent="0.25">
      <c r="A281" s="65">
        <v>279</v>
      </c>
      <c r="B281" s="2">
        <f>_xlfn.XLOOKUP(наценка7[[#This Row],[№]],Д402[№],Д402[Секция],"-",0)</f>
        <v>3</v>
      </c>
      <c r="C281" s="2">
        <f>_xlfn.XLOOKUP(наценка7[[#This Row],[№]],Д402[№],Д402[Этаж],"-",0)</f>
        <v>18</v>
      </c>
      <c r="D281" s="2">
        <f>_xlfn.XLOOKUP(наценка7[[#This Row],[№]],Д402[№],Д402[№ на этаже],"-",0)</f>
        <v>3</v>
      </c>
      <c r="E281" s="2">
        <f>_xlfn.XLOOKUP(наценка7[[#This Row],[№]],Д402[№],Д402[Тип кв],"-",0)</f>
        <v>2</v>
      </c>
      <c r="F281" s="51">
        <f>_xlfn.XLOOKUP(наценка7[[#This Row],[№]],Д402[№],Д402[Кухня],"-",0)</f>
        <v>14.34</v>
      </c>
      <c r="G281" s="51">
        <f>_xlfn.XLOOKUP(наценка7[[#This Row],[№]],Д402[№],Д402[Ванная],"-",0)</f>
        <v>4.21</v>
      </c>
      <c r="H281" s="51" t="s">
        <v>87</v>
      </c>
      <c r="I281" s="51" t="s">
        <v>101</v>
      </c>
      <c r="J281" s="51" t="s">
        <v>101</v>
      </c>
      <c r="K281" s="51"/>
      <c r="L281" s="51"/>
      <c r="M281" s="51" t="s">
        <v>83</v>
      </c>
      <c r="N281" s="51"/>
      <c r="O281" s="51" t="s">
        <v>119</v>
      </c>
      <c r="P281" s="51" t="s">
        <v>101</v>
      </c>
      <c r="Q281" s="129"/>
      <c r="R281" s="129"/>
      <c r="S281" s="51"/>
      <c r="T281" s="51">
        <f>_xlfn.XLOOKUP(наценка7[[#This Row],[№]],Д402[№],Д402[Расчетная проектная площадь],"-",0)</f>
        <v>54.08</v>
      </c>
      <c r="U281" s="17">
        <f t="shared" si="5"/>
        <v>89000</v>
      </c>
      <c r="V281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1" s="18">
        <f>наценка7[[#This Row],[Цена м2 базовая]]*наценка7[[#This Row],[Базовой K]]</f>
        <v>113030</v>
      </c>
      <c r="X281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81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1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1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1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1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1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1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1" s="55">
        <f>IF(наценка7[[#This Row],[Потолок ]]="ДА",коэффициенты!$C$13,"")</f>
        <v>0.02</v>
      </c>
      <c r="AG281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1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1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1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81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1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1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1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1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1" s="52">
        <f>SUM(наценка7[[#This Row],[еврокухня]:[Лифт]])*наценка7[[#This Row],[Цена м2 с БK]]+наценка7[[#This Row],[Цена м2 с БK]]</f>
        <v>122072.4</v>
      </c>
      <c r="AQ281" s="51">
        <f>VLOOKUP(наценка7[[#This Row],[№]],Д402[],COLUMN(Д402[[#This Row],[утв цена м2]]),0)</f>
        <v>125868.42</v>
      </c>
      <c r="AR281" s="3">
        <f>наценка7[[#This Row],[утв цена м2]]*наценка7[[#This Row],[Расчетная проектная площадь]]</f>
        <v>6806964.1535999998</v>
      </c>
      <c r="AS281" s="27" t="str">
        <f>VLOOKUP(наценка7[[#This Row],[№]],Д402[],COLUMN('Реестр ОН'!$BA$1),0)</f>
        <v>Продажа</v>
      </c>
      <c r="AT281" s="281">
        <f>ROUND(наценка7[[#This Row],[Цена м2 с учетом всех K]]*наценка7[[#This Row],[Расчетная проектная площадь]],0)</f>
        <v>6601675</v>
      </c>
      <c r="AU281" s="286">
        <v>6601675</v>
      </c>
      <c r="AV281" s="286" t="b">
        <f>наценка7[[#This Row],[Аллио]]=наценка7[[#This Row],[Первичка тест]]</f>
        <v>1</v>
      </c>
    </row>
    <row r="282" spans="1:48" hidden="1" x14ac:dyDescent="0.25">
      <c r="A282" s="65">
        <v>280</v>
      </c>
      <c r="B282" s="2">
        <f>_xlfn.XLOOKUP(наценка7[[#This Row],[№]],Д402[№],Д402[Секция],"-",0)</f>
        <v>3</v>
      </c>
      <c r="C282" s="2">
        <f>_xlfn.XLOOKUP(наценка7[[#This Row],[№]],Д402[№],Д402[Этаж],"-",0)</f>
        <v>18</v>
      </c>
      <c r="D282" s="2">
        <f>_xlfn.XLOOKUP(наценка7[[#This Row],[№]],Д402[№],Д402[№ на этаже],"-",0)</f>
        <v>4</v>
      </c>
      <c r="E282" s="2">
        <f>_xlfn.XLOOKUP(наценка7[[#This Row],[№]],Д402[№],Д402[Тип кв],"-",0)</f>
        <v>2</v>
      </c>
      <c r="F282" s="51">
        <f>_xlfn.XLOOKUP(наценка7[[#This Row],[№]],Д402[№],Д402[Кухня],"-",0)</f>
        <v>13.64</v>
      </c>
      <c r="G282" s="51">
        <f>_xlfn.XLOOKUP(наценка7[[#This Row],[№]],Д402[№],Д402[Ванная],"-",0)</f>
        <v>4.16</v>
      </c>
      <c r="H282" s="51" t="s">
        <v>87</v>
      </c>
      <c r="I282" s="51" t="s">
        <v>101</v>
      </c>
      <c r="J282" s="51" t="s">
        <v>101</v>
      </c>
      <c r="K282" s="51"/>
      <c r="L282" s="51"/>
      <c r="M282" s="51" t="s">
        <v>83</v>
      </c>
      <c r="N282" s="51"/>
      <c r="O282" s="51" t="s">
        <v>101</v>
      </c>
      <c r="P282" s="51" t="s">
        <v>101</v>
      </c>
      <c r="Q282" s="129"/>
      <c r="R282" s="129"/>
      <c r="S282" s="51"/>
      <c r="T282" s="51">
        <f>_xlfn.XLOOKUP(наценка7[[#This Row],[№]],Д402[№],Д402[Расчетная проектная площадь],"-",0)</f>
        <v>55.73</v>
      </c>
      <c r="U282" s="17">
        <f t="shared" si="5"/>
        <v>89000</v>
      </c>
      <c r="V282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2" s="18">
        <f>наценка7[[#This Row],[Цена м2 базовая]]*наценка7[[#This Row],[Базовой K]]</f>
        <v>113030</v>
      </c>
      <c r="X282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82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82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2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2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2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2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2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2" s="55">
        <f>IF(наценка7[[#This Row],[Потолок ]]="ДА",коэффициенты!$C$13,"")</f>
        <v>0.02</v>
      </c>
      <c r="AG282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2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2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2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2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2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2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2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2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2" s="52">
        <f>SUM(наценка7[[#This Row],[еврокухня]:[Лифт]])*наценка7[[#This Row],[Цена м2 с БK]]+наценка7[[#This Row],[Цена м2 с БK]]</f>
        <v>122072.4</v>
      </c>
      <c r="AQ282" s="51">
        <f>VLOOKUP(наценка7[[#This Row],[№]],Д402[],COLUMN(Д402[[#This Row],[утв цена м2]]),0)</f>
        <v>128902.58</v>
      </c>
      <c r="AR282" s="3">
        <f>наценка7[[#This Row],[утв цена м2]]*наценка7[[#This Row],[Расчетная проектная площадь]]</f>
        <v>7183740.7834000001</v>
      </c>
      <c r="AS282" s="27" t="str">
        <f>VLOOKUP(наценка7[[#This Row],[№]],Д402[],COLUMN('Реестр ОН'!$BA$1),0)</f>
        <v>Свободно</v>
      </c>
      <c r="AT282" s="281">
        <f>ROUND(наценка7[[#This Row],[Цена м2 с учетом всех K]]*наценка7[[#This Row],[Расчетная проектная площадь]],0)</f>
        <v>6803095</v>
      </c>
      <c r="AU282" s="286">
        <v>6803095</v>
      </c>
      <c r="AV282" s="286" t="b">
        <f>наценка7[[#This Row],[Аллио]]=наценка7[[#This Row],[Первичка тест]]</f>
        <v>1</v>
      </c>
    </row>
    <row r="283" spans="1:48" hidden="1" x14ac:dyDescent="0.25">
      <c r="A283" s="65">
        <v>281</v>
      </c>
      <c r="B283" s="2">
        <f>_xlfn.XLOOKUP(наценка7[[#This Row],[№]],Д402[№],Д402[Секция],"-",0)</f>
        <v>3</v>
      </c>
      <c r="C283" s="2">
        <f>_xlfn.XLOOKUP(наценка7[[#This Row],[№]],Д402[№],Д402[Этаж],"-",0)</f>
        <v>18</v>
      </c>
      <c r="D283" s="2">
        <f>_xlfn.XLOOKUP(наценка7[[#This Row],[№]],Д402[№],Д402[№ на этаже],"-",0)</f>
        <v>5</v>
      </c>
      <c r="E283" s="2">
        <f>_xlfn.XLOOKUP(наценка7[[#This Row],[№]],Д402[№],Д402[Тип кв],"-",0)</f>
        <v>2</v>
      </c>
      <c r="F283" s="51">
        <f>_xlfn.XLOOKUP(наценка7[[#This Row],[№]],Д402[№],Д402[Кухня],"-",0)</f>
        <v>11.11</v>
      </c>
      <c r="G283" s="51">
        <f>_xlfn.XLOOKUP(наценка7[[#This Row],[№]],Д402[№],Д402[Ванная],"-",0)</f>
        <v>4.41</v>
      </c>
      <c r="H283" s="51" t="s">
        <v>85</v>
      </c>
      <c r="I283" s="51" t="s">
        <v>101</v>
      </c>
      <c r="J283" s="51" t="s">
        <v>101</v>
      </c>
      <c r="K283" s="51"/>
      <c r="L283" s="51"/>
      <c r="M283" s="51" t="s">
        <v>83</v>
      </c>
      <c r="N283" s="51"/>
      <c r="O283" s="51" t="s">
        <v>101</v>
      </c>
      <c r="P283" s="51" t="s">
        <v>101</v>
      </c>
      <c r="Q283" s="129"/>
      <c r="R283" s="51" t="s">
        <v>101</v>
      </c>
      <c r="S283" s="51"/>
      <c r="T283" s="51">
        <f>_xlfn.XLOOKUP(наценка7[[#This Row],[№]],Д402[№],Д402[Расчетная проектная площадь],"-",0)</f>
        <v>59.03</v>
      </c>
      <c r="U283" s="17">
        <f t="shared" si="5"/>
        <v>89000</v>
      </c>
      <c r="V283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3" s="18">
        <f>наценка7[[#This Row],[Цена м2 базовая]]*наценка7[[#This Row],[Базовой K]]</f>
        <v>113030</v>
      </c>
      <c r="X283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83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3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3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3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3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3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3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3" s="55">
        <f>IF(наценка7[[#This Row],[Потолок ]]="ДА",коэффициенты!$C$13,"")</f>
        <v>0.02</v>
      </c>
      <c r="AG283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3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83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3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3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3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3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83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3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3" s="52">
        <f>SUM(наценка7[[#This Row],[еврокухня]:[Лифт]])*наценка7[[#This Row],[Цена м2 с БK]]+наценка7[[#This Row],[Цена м2 с БK]]</f>
        <v>120942.1</v>
      </c>
      <c r="AQ283" s="51">
        <f>VLOOKUP(наценка7[[#This Row],[№]],Д402[],COLUMN(Д402[[#This Row],[утв цена м2]]),0)</f>
        <v>126469.04</v>
      </c>
      <c r="AR283" s="3">
        <f>наценка7[[#This Row],[утв цена м2]]*наценка7[[#This Row],[Расчетная проектная площадь]]</f>
        <v>7465467.4311999995</v>
      </c>
      <c r="AS283" s="27" t="str">
        <f>VLOOKUP(наценка7[[#This Row],[№]],Д402[],COLUMN('Реестр ОН'!$BA$1),0)</f>
        <v>Стр. Резерв</v>
      </c>
      <c r="AT283" s="281">
        <f>ROUND(наценка7[[#This Row],[Цена м2 с учетом всех K]]*наценка7[[#This Row],[Расчетная проектная площадь]],0)</f>
        <v>7139212</v>
      </c>
      <c r="AU283" s="286">
        <v>7139212</v>
      </c>
      <c r="AV283" s="286" t="b">
        <f>наценка7[[#This Row],[Аллио]]=наценка7[[#This Row],[Первичка тест]]</f>
        <v>1</v>
      </c>
    </row>
    <row r="284" spans="1:48" hidden="1" x14ac:dyDescent="0.25">
      <c r="A284" s="65">
        <v>282</v>
      </c>
      <c r="B284" s="2">
        <f>_xlfn.XLOOKUP(наценка7[[#This Row],[№]],Д402[№],Д402[Секция],"-",0)</f>
        <v>3</v>
      </c>
      <c r="C284" s="2">
        <f>_xlfn.XLOOKUP(наценка7[[#This Row],[№]],Д402[№],Д402[Этаж],"-",0)</f>
        <v>18</v>
      </c>
      <c r="D284" s="2">
        <f>_xlfn.XLOOKUP(наценка7[[#This Row],[№]],Д402[№],Д402[№ на этаже],"-",0)</f>
        <v>6</v>
      </c>
      <c r="E284" s="2">
        <f>_xlfn.XLOOKUP(наценка7[[#This Row],[№]],Д402[№],Д402[Тип кв],"-",0)</f>
        <v>0</v>
      </c>
      <c r="F284" s="51">
        <f>_xlfn.XLOOKUP(наценка7[[#This Row],[№]],Д402[№],Д402[Кухня],"-",0)</f>
        <v>5</v>
      </c>
      <c r="G284" s="51">
        <f>_xlfn.XLOOKUP(наценка7[[#This Row],[№]],Д402[№],Д402[Ванная],"-",0)</f>
        <v>3.97</v>
      </c>
      <c r="H284" s="51" t="s">
        <v>84</v>
      </c>
      <c r="I284" s="51" t="s">
        <v>101</v>
      </c>
      <c r="J284" s="51"/>
      <c r="K284" s="51" t="s">
        <v>101</v>
      </c>
      <c r="L284" s="51" t="s">
        <v>119</v>
      </c>
      <c r="M284" s="51" t="s">
        <v>83</v>
      </c>
      <c r="N284" s="51"/>
      <c r="O284" s="51" t="s">
        <v>119</v>
      </c>
      <c r="P284" s="51"/>
      <c r="Q284" s="51"/>
      <c r="R284" s="51" t="s">
        <v>101</v>
      </c>
      <c r="S284" s="51" t="s">
        <v>101</v>
      </c>
      <c r="T284" s="51">
        <f>_xlfn.XLOOKUP(наценка7[[#This Row],[№]],Д402[№],Д402[Расчетная проектная площадь],"-",0)</f>
        <v>29.43</v>
      </c>
      <c r="U284" s="17">
        <f t="shared" si="5"/>
        <v>89000</v>
      </c>
      <c r="V284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84" s="18">
        <f>наценка7[[#This Row],[Цена м2 базовая]]*наценка7[[#This Row],[Базовой K]]</f>
        <v>139730</v>
      </c>
      <c r="X284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84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4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84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4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84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84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4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4" s="55">
        <f>IF(наценка7[[#This Row],[Потолок ]]="ДА",коэффициенты!$C$13,"")</f>
        <v>0.02</v>
      </c>
      <c r="AG284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84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4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4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84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4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84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84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4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84" s="52">
        <f>SUM(наценка7[[#This Row],[еврокухня]:[Лифт]])*наценка7[[#This Row],[Цена м2 с БK]]+наценка7[[#This Row],[Цена м2 с БK]]</f>
        <v>139730</v>
      </c>
      <c r="AQ284" s="51">
        <f>VLOOKUP(наценка7[[#This Row],[№]],Д402[],COLUMN(Д402[[#This Row],[утв цена м2]]),0)</f>
        <v>140962.5</v>
      </c>
      <c r="AR284" s="3">
        <f>наценка7[[#This Row],[утв цена м2]]*наценка7[[#This Row],[Расчетная проектная площадь]]</f>
        <v>4148526.375</v>
      </c>
      <c r="AS284" s="27" t="str">
        <f>VLOOKUP(наценка7[[#This Row],[№]],Д402[],COLUMN('Реестр ОН'!$BA$1),0)</f>
        <v>Стр. Резерв</v>
      </c>
      <c r="AT284" s="281">
        <f>ROUND(наценка7[[#This Row],[Цена м2 с учетом всех K]]*наценка7[[#This Row],[Расчетная проектная площадь]],0)</f>
        <v>4112254</v>
      </c>
      <c r="AU284" s="286">
        <v>4112254</v>
      </c>
      <c r="AV284" s="286" t="b">
        <f>наценка7[[#This Row],[Аллио]]=наценка7[[#This Row],[Первичка тест]]</f>
        <v>1</v>
      </c>
    </row>
    <row r="285" spans="1:48" hidden="1" x14ac:dyDescent="0.25">
      <c r="A285" s="65">
        <v>283</v>
      </c>
      <c r="B285" s="2">
        <f>_xlfn.XLOOKUP(наценка7[[#This Row],[№]],Д402[№],Д402[Секция],"-",0)</f>
        <v>3</v>
      </c>
      <c r="C285" s="2">
        <f>_xlfn.XLOOKUP(наценка7[[#This Row],[№]],Д402[№],Д402[Этаж],"-",0)</f>
        <v>19</v>
      </c>
      <c r="D285" s="2">
        <f>_xlfn.XLOOKUP(наценка7[[#This Row],[№]],Д402[№],Д402[№ на этаже],"-",0)</f>
        <v>1</v>
      </c>
      <c r="E285" s="2">
        <f>_xlfn.XLOOKUP(наценка7[[#This Row],[№]],Д402[№],Д402[Тип кв],"-",0)</f>
        <v>1</v>
      </c>
      <c r="F285" s="51">
        <f>_xlfn.XLOOKUP(наценка7[[#This Row],[№]],Д402[№],Д402[Кухня],"-",0)</f>
        <v>15.83</v>
      </c>
      <c r="G285" s="51">
        <f>_xlfn.XLOOKUP(наценка7[[#This Row],[№]],Д402[№],Д402[Ванная],"-",0)</f>
        <v>4.09</v>
      </c>
      <c r="H285" s="51" t="s">
        <v>84</v>
      </c>
      <c r="I285" s="51" t="s">
        <v>101</v>
      </c>
      <c r="J285" s="51" t="s">
        <v>101</v>
      </c>
      <c r="K285" s="51" t="s">
        <v>101</v>
      </c>
      <c r="L285" s="51"/>
      <c r="M285" s="51" t="s">
        <v>83</v>
      </c>
      <c r="N285" s="51" t="s">
        <v>101</v>
      </c>
      <c r="O285" s="51" t="s">
        <v>101</v>
      </c>
      <c r="P285" s="51" t="s">
        <v>101</v>
      </c>
      <c r="Q285" s="129"/>
      <c r="R285" s="129"/>
      <c r="S285" s="51"/>
      <c r="T285" s="51">
        <f>_xlfn.XLOOKUP(наценка7[[#This Row],[№]],Д402[№],Д402[Расчетная проектная площадь],"-",0)</f>
        <v>43.88</v>
      </c>
      <c r="U285" s="17">
        <f t="shared" si="5"/>
        <v>89000</v>
      </c>
      <c r="V285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85" s="18">
        <f>наценка7[[#This Row],[Цена м2 базовая]]*наценка7[[#This Row],[Базовой K]]</f>
        <v>119260</v>
      </c>
      <c r="X285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85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5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5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5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85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5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5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5" s="55">
        <f>IF(наценка7[[#This Row],[Потолок ]]="ДА",коэффициенты!$C$13,"")</f>
        <v>0.02</v>
      </c>
      <c r="AG285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85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5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5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5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5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5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5" s="53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>-0.02</v>
      </c>
      <c r="AO285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5" s="52">
        <f>SUM(наценка7[[#This Row],[еврокухня]:[Лифт]])*наценка7[[#This Row],[Цена м2 с БK]]+наценка7[[#This Row],[Цена м2 с БK]]</f>
        <v>125223</v>
      </c>
      <c r="AQ285" s="51">
        <f>VLOOKUP(наценка7[[#This Row],[№]],Д402[],COLUMN(Д402[[#This Row],[утв цена м2]]),0)</f>
        <v>129604.76</v>
      </c>
      <c r="AR285" s="3">
        <f>наценка7[[#This Row],[утв цена м2]]*наценка7[[#This Row],[Расчетная проектная площадь]]</f>
        <v>5687056.8688000003</v>
      </c>
      <c r="AS285" s="27" t="str">
        <f>VLOOKUP(наценка7[[#This Row],[№]],Д402[],COLUMN('Реестр ОН'!$BA$1),0)</f>
        <v>Продажа</v>
      </c>
      <c r="AT285" s="281">
        <f>ROUND(наценка7[[#This Row],[Цена м2 с учетом всех K]]*наценка7[[#This Row],[Расчетная проектная площадь]],0)</f>
        <v>5494785</v>
      </c>
      <c r="AU285" s="286">
        <v>5494785</v>
      </c>
      <c r="AV285" s="286" t="b">
        <f>наценка7[[#This Row],[Аллио]]=наценка7[[#This Row],[Первичка тест]]</f>
        <v>1</v>
      </c>
    </row>
    <row r="286" spans="1:48" hidden="1" x14ac:dyDescent="0.25">
      <c r="A286" s="65">
        <v>284</v>
      </c>
      <c r="B286" s="2">
        <f>_xlfn.XLOOKUP(наценка7[[#This Row],[№]],Д402[№],Д402[Секция],"-",0)</f>
        <v>3</v>
      </c>
      <c r="C286" s="2">
        <f>_xlfn.XLOOKUP(наценка7[[#This Row],[№]],Д402[№],Д402[Этаж],"-",0)</f>
        <v>19</v>
      </c>
      <c r="D286" s="2">
        <f>_xlfn.XLOOKUP(наценка7[[#This Row],[№]],Д402[№],Д402[№ на этаже],"-",0)</f>
        <v>2</v>
      </c>
      <c r="E286" s="2">
        <f>_xlfn.XLOOKUP(наценка7[[#This Row],[№]],Д402[№],Д402[Тип кв],"-",0)</f>
        <v>1</v>
      </c>
      <c r="F286" s="51">
        <f>_xlfn.XLOOKUP(наценка7[[#This Row],[№]],Д402[№],Д402[Кухня],"-",0)</f>
        <v>14.81</v>
      </c>
      <c r="G286" s="51">
        <f>_xlfn.XLOOKUP(наценка7[[#This Row],[№]],Д402[№],Д402[Ванная],"-",0)</f>
        <v>4.22</v>
      </c>
      <c r="H286" s="51" t="s">
        <v>87</v>
      </c>
      <c r="I286" s="51" t="s">
        <v>101</v>
      </c>
      <c r="J286" s="51" t="s">
        <v>101</v>
      </c>
      <c r="K286" s="51" t="s">
        <v>101</v>
      </c>
      <c r="L286" s="51"/>
      <c r="M286" s="51" t="s">
        <v>83</v>
      </c>
      <c r="N286" s="51"/>
      <c r="O286" s="51" t="s">
        <v>101</v>
      </c>
      <c r="P286" s="51" t="s">
        <v>101</v>
      </c>
      <c r="Q286" s="129"/>
      <c r="R286" s="129"/>
      <c r="S286" s="51"/>
      <c r="T286" s="51">
        <f>_xlfn.XLOOKUP(наценка7[[#This Row],[№]],Д402[№],Д402[Расчетная проектная площадь],"-",0)</f>
        <v>36.35</v>
      </c>
      <c r="U286" s="17">
        <f t="shared" si="5"/>
        <v>89000</v>
      </c>
      <c r="V286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1.34</v>
      </c>
      <c r="W286" s="18">
        <f>наценка7[[#This Row],[Цена м2 базовая]]*наценка7[[#This Row],[Базовой K]]</f>
        <v>119260</v>
      </c>
      <c r="X286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86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6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6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6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86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6" s="53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>0.01</v>
      </c>
      <c r="AE286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6" s="55">
        <f>IF(наценка7[[#This Row],[Потолок ]]="ДА",коэффициенты!$C$13,"")</f>
        <v>0.02</v>
      </c>
      <c r="AG286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</v>
      </c>
      <c r="AH286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6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6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6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6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6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6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6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6" s="52">
        <f>SUM(наценка7[[#This Row],[еврокухня]:[Лифт]])*наценка7[[#This Row],[Цена м2 с БK]]+наценка7[[#This Row],[Цена м2 с БK]]</f>
        <v>128800.8</v>
      </c>
      <c r="AQ286" s="51">
        <f>VLOOKUP(наценка7[[#This Row],[№]],Д402[],COLUMN(Д402[[#This Row],[утв цена м2]]),0)</f>
        <v>137303.88</v>
      </c>
      <c r="AR286" s="3">
        <f>наценка7[[#This Row],[утв цена м2]]*наценка7[[#This Row],[Расчетная проектная площадь]]</f>
        <v>4990996.0380000006</v>
      </c>
      <c r="AS286" s="27" t="str">
        <f>VLOOKUP(наценка7[[#This Row],[№]],Д402[],COLUMN('Реестр ОН'!$BA$1),0)</f>
        <v>Свободно</v>
      </c>
      <c r="AT286" s="281">
        <f>ROUND(наценка7[[#This Row],[Цена м2 с учетом всех K]]*наценка7[[#This Row],[Расчетная проектная площадь]],0)</f>
        <v>4681909</v>
      </c>
      <c r="AU286" s="286">
        <v>4681909</v>
      </c>
      <c r="AV286" s="286" t="b">
        <f>наценка7[[#This Row],[Аллио]]=наценка7[[#This Row],[Первичка тест]]</f>
        <v>1</v>
      </c>
    </row>
    <row r="287" spans="1:48" hidden="1" x14ac:dyDescent="0.25">
      <c r="A287" s="65">
        <v>285</v>
      </c>
      <c r="B287" s="2">
        <f>_xlfn.XLOOKUP(наценка7[[#This Row],[№]],Д402[№],Д402[Секция],"-",0)</f>
        <v>3</v>
      </c>
      <c r="C287" s="2">
        <f>_xlfn.XLOOKUP(наценка7[[#This Row],[№]],Д402[№],Д402[Этаж],"-",0)</f>
        <v>19</v>
      </c>
      <c r="D287" s="2">
        <f>_xlfn.XLOOKUP(наценка7[[#This Row],[№]],Д402[№],Д402[№ на этаже],"-",0)</f>
        <v>3</v>
      </c>
      <c r="E287" s="2">
        <f>_xlfn.XLOOKUP(наценка7[[#This Row],[№]],Д402[№],Д402[Тип кв],"-",0)</f>
        <v>2</v>
      </c>
      <c r="F287" s="51">
        <f>_xlfn.XLOOKUP(наценка7[[#This Row],[№]],Д402[№],Д402[Кухня],"-",0)</f>
        <v>14.34</v>
      </c>
      <c r="G287" s="51">
        <f>_xlfn.XLOOKUP(наценка7[[#This Row],[№]],Д402[№],Д402[Ванная],"-",0)</f>
        <v>4.21</v>
      </c>
      <c r="H287" s="51" t="s">
        <v>87</v>
      </c>
      <c r="I287" s="51" t="s">
        <v>101</v>
      </c>
      <c r="J287" s="51" t="s">
        <v>101</v>
      </c>
      <c r="K287" s="51"/>
      <c r="L287" s="51"/>
      <c r="M287" s="51" t="s">
        <v>83</v>
      </c>
      <c r="N287" s="51"/>
      <c r="O287" s="51" t="s">
        <v>119</v>
      </c>
      <c r="P287" s="51" t="s">
        <v>101</v>
      </c>
      <c r="Q287" s="129"/>
      <c r="R287" s="129"/>
      <c r="S287" s="51"/>
      <c r="T287" s="51">
        <f>_xlfn.XLOOKUP(наценка7[[#This Row],[№]],Д402[№],Д402[Расчетная проектная площадь],"-",0)</f>
        <v>54.08</v>
      </c>
      <c r="U287" s="17">
        <f t="shared" si="5"/>
        <v>89000</v>
      </c>
      <c r="V287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7" s="18">
        <f>наценка7[[#This Row],[Цена м2 базовая]]*наценка7[[#This Row],[Базовой K]]</f>
        <v>113030</v>
      </c>
      <c r="X287" s="55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>0.01</v>
      </c>
      <c r="Y287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7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7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7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7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7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7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7" s="55">
        <f>IF(наценка7[[#This Row],[Потолок ]]="ДА",коэффициенты!$C$13,"")</f>
        <v>0.02</v>
      </c>
      <c r="AG287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7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7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7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0.01</v>
      </c>
      <c r="AK287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7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7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7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7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7" s="52">
        <f>SUM(наценка7[[#This Row],[еврокухня]:[Лифт]])*наценка7[[#This Row],[Цена м2 с БK]]+наценка7[[#This Row],[Цена м2 с БK]]</f>
        <v>122072.4</v>
      </c>
      <c r="AQ287" s="51">
        <f>VLOOKUP(наценка7[[#This Row],[№]],Д402[],COLUMN(Д402[[#This Row],[утв цена м2]]),0)</f>
        <v>126497.76</v>
      </c>
      <c r="AR287" s="3">
        <f>наценка7[[#This Row],[утв цена м2]]*наценка7[[#This Row],[Расчетная проектная площадь]]</f>
        <v>6840998.8607999999</v>
      </c>
      <c r="AS287" s="27" t="str">
        <f>VLOOKUP(наценка7[[#This Row],[№]],Д402[],COLUMN('Реестр ОН'!$BA$1),0)</f>
        <v>Продажа</v>
      </c>
      <c r="AT287" s="281">
        <f>ROUND(наценка7[[#This Row],[Цена м2 с учетом всех K]]*наценка7[[#This Row],[Расчетная проектная площадь]],0)</f>
        <v>6601675</v>
      </c>
      <c r="AU287" s="286">
        <v>6601675</v>
      </c>
      <c r="AV287" s="286" t="b">
        <f>наценка7[[#This Row],[Аллио]]=наценка7[[#This Row],[Первичка тест]]</f>
        <v>1</v>
      </c>
    </row>
    <row r="288" spans="1:48" hidden="1" x14ac:dyDescent="0.25">
      <c r="A288" s="65">
        <v>286</v>
      </c>
      <c r="B288" s="2">
        <f>_xlfn.XLOOKUP(наценка7[[#This Row],[№]],Д402[№],Д402[Секция],"-",0)</f>
        <v>3</v>
      </c>
      <c r="C288" s="2">
        <f>_xlfn.XLOOKUP(наценка7[[#This Row],[№]],Д402[№],Д402[Этаж],"-",0)</f>
        <v>19</v>
      </c>
      <c r="D288" s="2">
        <f>_xlfn.XLOOKUP(наценка7[[#This Row],[№]],Д402[№],Д402[№ на этаже],"-",0)</f>
        <v>4</v>
      </c>
      <c r="E288" s="2">
        <f>_xlfn.XLOOKUP(наценка7[[#This Row],[№]],Д402[№],Д402[Тип кв],"-",0)</f>
        <v>2</v>
      </c>
      <c r="F288" s="51">
        <f>_xlfn.XLOOKUP(наценка7[[#This Row],[№]],Д402[№],Д402[Кухня],"-",0)</f>
        <v>13.64</v>
      </c>
      <c r="G288" s="51">
        <f>_xlfn.XLOOKUP(наценка7[[#This Row],[№]],Д402[№],Д402[Ванная],"-",0)</f>
        <v>4.16</v>
      </c>
      <c r="H288" s="51" t="s">
        <v>87</v>
      </c>
      <c r="I288" s="51" t="s">
        <v>101</v>
      </c>
      <c r="J288" s="51" t="s">
        <v>101</v>
      </c>
      <c r="K288" s="51"/>
      <c r="L288" s="51"/>
      <c r="M288" s="51" t="s">
        <v>83</v>
      </c>
      <c r="N288" s="51"/>
      <c r="O288" s="51" t="s">
        <v>101</v>
      </c>
      <c r="P288" s="51" t="s">
        <v>101</v>
      </c>
      <c r="Q288" s="129"/>
      <c r="R288" s="129"/>
      <c r="S288" s="51"/>
      <c r="T288" s="51">
        <f>_xlfn.XLOOKUP(наценка7[[#This Row],[№]],Д402[№],Д402[Расчетная проектная площадь],"-",0)</f>
        <v>55.73</v>
      </c>
      <c r="U288" s="17">
        <f t="shared" si="5"/>
        <v>89000</v>
      </c>
      <c r="V288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8" s="18">
        <f>наценка7[[#This Row],[Цена м2 базовая]]*наценка7[[#This Row],[Базовой K]]</f>
        <v>113030</v>
      </c>
      <c r="X288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88" s="55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>0.02</v>
      </c>
      <c r="Z288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8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8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8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8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8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8" s="55">
        <f>IF(наценка7[[#This Row],[Потолок ]]="ДА",коэффициенты!$C$13,"")</f>
        <v>0.02</v>
      </c>
      <c r="AG288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8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88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8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8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8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8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88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8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8" s="52">
        <f>SUM(наценка7[[#This Row],[еврокухня]:[Лифт]])*наценка7[[#This Row],[Цена м2 с БK]]+наценка7[[#This Row],[Цена м2 с БK]]</f>
        <v>122072.4</v>
      </c>
      <c r="AQ288" s="51">
        <f>VLOOKUP(наценка7[[#This Row],[№]],Д402[],COLUMN(Д402[[#This Row],[утв цена м2]]),0)</f>
        <v>128902.58</v>
      </c>
      <c r="AR288" s="3">
        <f>наценка7[[#This Row],[утв цена м2]]*наценка7[[#This Row],[Расчетная проектная площадь]]</f>
        <v>7183740.7834000001</v>
      </c>
      <c r="AS288" s="27" t="str">
        <f>VLOOKUP(наценка7[[#This Row],[№]],Д402[],COLUMN('Реестр ОН'!$BA$1),0)</f>
        <v>Стр. Резерв</v>
      </c>
      <c r="AT288" s="281">
        <f>ROUND(наценка7[[#This Row],[Цена м2 с учетом всех K]]*наценка7[[#This Row],[Расчетная проектная площадь]],0)</f>
        <v>6803095</v>
      </c>
      <c r="AU288" s="286">
        <v>6803095</v>
      </c>
      <c r="AV288" s="286" t="b">
        <f>наценка7[[#This Row],[Аллио]]=наценка7[[#This Row],[Первичка тест]]</f>
        <v>1</v>
      </c>
    </row>
    <row r="289" spans="1:48" hidden="1" x14ac:dyDescent="0.25">
      <c r="A289" s="65">
        <v>287</v>
      </c>
      <c r="B289" s="2">
        <f>_xlfn.XLOOKUP(наценка7[[#This Row],[№]],Д402[№],Д402[Секция],"-",0)</f>
        <v>3</v>
      </c>
      <c r="C289" s="2">
        <f>_xlfn.XLOOKUP(наценка7[[#This Row],[№]],Д402[№],Д402[Этаж],"-",0)</f>
        <v>19</v>
      </c>
      <c r="D289" s="2">
        <f>_xlfn.XLOOKUP(наценка7[[#This Row],[№]],Д402[№],Д402[№ на этаже],"-",0)</f>
        <v>5</v>
      </c>
      <c r="E289" s="2">
        <f>_xlfn.XLOOKUP(наценка7[[#This Row],[№]],Д402[№],Д402[Тип кв],"-",0)</f>
        <v>2</v>
      </c>
      <c r="F289" s="51">
        <f>_xlfn.XLOOKUP(наценка7[[#This Row],[№]],Д402[№],Д402[Кухня],"-",0)</f>
        <v>11.11</v>
      </c>
      <c r="G289" s="51">
        <f>_xlfn.XLOOKUP(наценка7[[#This Row],[№]],Д402[№],Д402[Ванная],"-",0)</f>
        <v>4.41</v>
      </c>
      <c r="H289" s="51" t="s">
        <v>85</v>
      </c>
      <c r="I289" s="51" t="s">
        <v>101</v>
      </c>
      <c r="J289" s="51" t="s">
        <v>101</v>
      </c>
      <c r="K289" s="51"/>
      <c r="L289" s="51"/>
      <c r="M289" s="51" t="s">
        <v>83</v>
      </c>
      <c r="N289" s="51"/>
      <c r="O289" s="51" t="s">
        <v>101</v>
      </c>
      <c r="P289" s="51" t="s">
        <v>101</v>
      </c>
      <c r="Q289" s="129"/>
      <c r="R289" s="51" t="s">
        <v>101</v>
      </c>
      <c r="S289" s="51"/>
      <c r="T289" s="51">
        <f>_xlfn.XLOOKUP(наценка7[[#This Row],[№]],Д402[№],Д402[Расчетная проектная площадь],"-",0)</f>
        <v>59.03</v>
      </c>
      <c r="U289" s="17">
        <f t="shared" si="5"/>
        <v>89000</v>
      </c>
      <c r="V289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1.27</v>
      </c>
      <c r="W289" s="18">
        <f>наценка7[[#This Row],[Цена м2 базовая]]*наценка7[[#This Row],[Базовой K]]</f>
        <v>113030</v>
      </c>
      <c r="X289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89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89" s="55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>0.01</v>
      </c>
      <c r="AA289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89" s="55" t="str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/>
      </c>
      <c r="AC289" s="53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>0.02</v>
      </c>
      <c r="AD289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89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89" s="55">
        <f>IF(наценка7[[#This Row],[Потолок ]]="ДА",коэффициенты!$C$13,"")</f>
        <v>0.02</v>
      </c>
      <c r="AG289" s="55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>0.01</v>
      </c>
      <c r="AH289" s="55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>0.02</v>
      </c>
      <c r="AI289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89" s="55" t="str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/>
      </c>
      <c r="AK289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89" s="55" t="str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/>
      </c>
      <c r="AM289" s="55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>-0.01</v>
      </c>
      <c r="AN289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89" s="53" t="str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/>
      </c>
      <c r="AP289" s="52">
        <f>SUM(наценка7[[#This Row],[еврокухня]:[Лифт]])*наценка7[[#This Row],[Цена м2 с БK]]+наценка7[[#This Row],[Цена м2 с БK]]</f>
        <v>120942.1</v>
      </c>
      <c r="AQ289" s="51">
        <f>VLOOKUP(наценка7[[#This Row],[№]],Д402[],COLUMN(Д402[[#This Row],[утв цена м2]]),0)</f>
        <v>126469.04</v>
      </c>
      <c r="AR289" s="3">
        <f>наценка7[[#This Row],[утв цена м2]]*наценка7[[#This Row],[Расчетная проектная площадь]]</f>
        <v>7465467.4311999995</v>
      </c>
      <c r="AS289" s="27" t="str">
        <f>VLOOKUP(наценка7[[#This Row],[№]],Д402[],COLUMN('Реестр ОН'!$BA$1),0)</f>
        <v>Свободно</v>
      </c>
      <c r="AT289" s="281">
        <f>ROUND(наценка7[[#This Row],[Цена м2 с учетом всех K]]*наценка7[[#This Row],[Расчетная проектная площадь]],0)</f>
        <v>7139212</v>
      </c>
      <c r="AU289" s="286">
        <v>7139212</v>
      </c>
      <c r="AV289" s="286" t="b">
        <f>наценка7[[#This Row],[Аллио]]=наценка7[[#This Row],[Первичка тест]]</f>
        <v>1</v>
      </c>
    </row>
    <row r="290" spans="1:48" hidden="1" x14ac:dyDescent="0.25">
      <c r="A290" s="65">
        <v>288</v>
      </c>
      <c r="B290" s="2">
        <f>_xlfn.XLOOKUP(наценка7[[#This Row],[№]],Д402[№],Д402[Секция],"-",0)</f>
        <v>3</v>
      </c>
      <c r="C290" s="2">
        <f>_xlfn.XLOOKUP(наценка7[[#This Row],[№]],Д402[№],Д402[Этаж],"-",0)</f>
        <v>19</v>
      </c>
      <c r="D290" s="2">
        <f>_xlfn.XLOOKUP(наценка7[[#This Row],[№]],Д402[№],Д402[№ на этаже],"-",0)</f>
        <v>6</v>
      </c>
      <c r="E290" s="2">
        <f>_xlfn.XLOOKUP(наценка7[[#This Row],[№]],Д402[№],Д402[Тип кв],"-",0)</f>
        <v>0</v>
      </c>
      <c r="F290" s="51">
        <f>_xlfn.XLOOKUP(наценка7[[#This Row],[№]],Д402[№],Д402[Кухня],"-",0)</f>
        <v>5</v>
      </c>
      <c r="G290" s="51">
        <f>_xlfn.XLOOKUP(наценка7[[#This Row],[№]],Д402[№],Д402[Ванная],"-",0)</f>
        <v>3.97</v>
      </c>
      <c r="H290" s="51" t="s">
        <v>84</v>
      </c>
      <c r="I290" s="51" t="s">
        <v>101</v>
      </c>
      <c r="J290" s="51"/>
      <c r="K290" s="51" t="s">
        <v>101</v>
      </c>
      <c r="L290" s="51" t="s">
        <v>119</v>
      </c>
      <c r="M290" s="51" t="s">
        <v>83</v>
      </c>
      <c r="N290" s="51"/>
      <c r="O290" s="51" t="s">
        <v>119</v>
      </c>
      <c r="P290" s="51"/>
      <c r="Q290" s="129"/>
      <c r="R290" s="129"/>
      <c r="S290" s="51" t="s">
        <v>101</v>
      </c>
      <c r="T290" s="51">
        <f>_xlfn.XLOOKUP(наценка7[[#This Row],[№]],Д402[№],Д402[Расчетная проектная площадь],"-",0)</f>
        <v>29.43</v>
      </c>
      <c r="U290" s="17">
        <f t="shared" si="5"/>
        <v>89000</v>
      </c>
      <c r="V290" s="66">
        <f>IF(наценка7[[#This Row],[Тип кв]]=3,коэффициенты!$G$2,IF(наценка7[[#This Row],[Тип кв]]=2,коэффициенты!$F$2,IF(наценка7[[#This Row],[Тип кв]]=1,коэффициенты!$E$2,IF(наценка7[[#This Row],[Тип кв]]=0,коэффициенты!$D$2,))))</f>
        <v>1.57</v>
      </c>
      <c r="W290" s="18">
        <f>наценка7[[#This Row],[Цена м2 базовая]]*наценка7[[#This Row],[Базовой K]]</f>
        <v>139730</v>
      </c>
      <c r="X290" s="55" t="str">
        <f>IF(наценка7[[#This Row],[Кухня]]&gt;=14,IF(наценка7[[#This Row],[Тип кв]]=0,коэффициенты!$D$4,IF(наценка7[[#This Row],[Тип кв]]=1,коэффициенты!$E$4,IF(наценка7[[#This Row],[Тип кв]]=2,коэффициенты!$F$4,IF(наценка7[[#This Row],[Тип кв]]=3,коэффициенты!$G$4,"")))),"")</f>
        <v/>
      </c>
      <c r="Y290" s="55" t="str">
        <f>IF(AND(наценка7[[#This Row],[Кухня]]&gt;=12,наценка7[[#This Row],[Кухня]]&lt;14),IF(наценка7[[#This Row],[Тип кв]]=0,коэффициенты!$D$5,IF(наценка7[[#This Row],[Тип кв]]=1,коэффициенты!$E$5,IF(наценка7[[#This Row],[Тип кв]]=2,коэффициенты!$F$5,IF(наценка7[[#This Row],[Тип кв]]=3,коэффициенты!$G$5,"")))),"")</f>
        <v/>
      </c>
      <c r="Z290" s="55" t="str">
        <f>IF(наценка7[[#This Row],[Ванная]]&gt;=4,IF(наценка7[[#This Row],[Тип кв]]=0,коэффициенты!$D$6,IF(наценка7[[#This Row],[Тип кв]]=1,коэффициенты!$E$6,IF(наценка7[[#This Row],[Тип кв]]=2,коэффициенты!$F$6,IF(наценка7[[#This Row],[Тип кв]]=3,коэффициенты!$G$6,"")))),"")</f>
        <v/>
      </c>
      <c r="AA290" s="55" t="str">
        <f>IF(наценка7[[#This Row],[С\У]]="2 СУ",IF(наценка7[[#This Row],[Тип кв]]=0,коэффициенты!$D$7,IF(наценка7[[#This Row],[Тип кв]]=1,коэффициенты!$E$7,IF(наценка7[[#This Row],[Тип кв]]=2,коэффициенты!$F$7,IF(наценка7[[#This Row],[Тип кв]]=3,коэффициенты!$G$7,"")))),"")</f>
        <v/>
      </c>
      <c r="AB290" s="55">
        <f>IF(наценка7[[#This Row],[Гардеробная]]="Да",IF(наценка7[[#This Row],[Тип кв]]=0,коэффициенты!$D$8,IF(наценка7[[#This Row],[Тип кв]]=1,коэффициенты!$E$8,IF(наценка7[[#This Row],[Тип кв]]=2,коэффициенты!$F$8,IF(наценка7[[#This Row],[Тип кв]]=3,коэффициенты!$G$8,"")))),"")</f>
        <v>0.01</v>
      </c>
      <c r="AC290" s="53" t="str">
        <f>IF(наценка7[[#This Row],[Панорамное остекление]]="Да",IF(наценка7[[#This Row],[Тип кв]]=0,коэффициенты!$D$9,IF(наценка7[[#This Row],[Тип кв]]=1,коэффициенты!$E$9,IF(наценка7[[#This Row],[Тип кв]]=2,коэффициенты!$F$9,IF(наценка7[[#This Row],[Тип кв]]=3,коэффициенты!$G$9,"")))),"")</f>
        <v/>
      </c>
      <c r="AD290" s="53" t="str">
        <f>IF(AND(наценка7[[#This Row],[Тип кв]]=0,наценка7[[#This Row],[Вид]]="Улица"),коэффициенты!$D$10,IF(AND(наценка7[[#This Row],[Тип кв]]=1,наценка7[[#This Row],[Вид]]="Улица"),коэффициенты!$E$10,IF(AND(наценка7[[#This Row],[Тип кв]]=2,наценка7[[#This Row],[Вид]]="Двор"),коэффициенты!$F$10,IF(AND(наценка7[[#This Row],[Тип кв]]=3,наценка7[[#This Row],[Вид]]="Двор"),коэффициенты!$G$10,""))))</f>
        <v/>
      </c>
      <c r="AE290" s="57" t="str">
        <f>IF(наценка7[[#This Row],[Этаж]]&lt;=4,IF(наценка7[[#This Row],[Тип кв]]=0,коэффициенты!$D$12,IF(наценка7[[#This Row],[Тип кв]]=1,коэффициенты!$E$12,IF(наценка7[[#This Row],[Тип кв]]=2,коэффициенты!$F$12,IF(наценка7[[#This Row],[Тип кв]]=3,коэффициенты!$G$12,"")))),"")</f>
        <v/>
      </c>
      <c r="AF290" s="55">
        <f>IF(наценка7[[#This Row],[Потолок ]]="ДА",коэффициенты!$C$13,"")</f>
        <v>0.02</v>
      </c>
      <c r="AG290" s="55" t="str">
        <f>IF(наценка7[[#This Row],[Кухня лоджия]]="Да",IF(наценка7[[#This Row],[Тип кв]]=0,коэффициенты!$D$11,IF(наценка7[[#This Row],[Тип кв]]=1,коэффициенты!$E$11,IF(наценка7[[#This Row],[Тип кв]]=2,коэффициенты!$F$11,IF(наценка7[[#This Row],[Тип кв]]=3,коэффициенты!$G$11,"")))),"")</f>
        <v/>
      </c>
      <c r="AH290" s="55" t="str">
        <f>IF(наценка7[[#This Row],[Вид]]="2 стороны",IF(наценка7[[#This Row],[Тип кв]]=0,коэффициенты!$D$14,IF(наценка7[[#This Row],[Тип кв]]=1,коэффициенты!$E$14,IF(наценка7[[#This Row],[Тип кв]]=2,коэффициенты!$F$14,IF(наценка7[[#This Row],[Тип кв]]=3,коэффициенты!$G$14,"")))),"")</f>
        <v/>
      </c>
      <c r="AI290" s="53" t="str">
        <f>IF(наценка7[[#This Row],[Вид]]="3 стороны",IF(наценка7[[#This Row],[Тип кв]]=0,коэффициенты!$D$15,IF(наценка7[[#This Row],[Тип кв]]=1,коэффициенты!$E$15,IF(наценка7[[#This Row],[Тип кв]]=2,коэффициенты!$F$15,IF(наценка7[[#This Row],[Тип кв]]=3,коэффициенты!$G$15,"")))),"")</f>
        <v/>
      </c>
      <c r="AJ290" s="55">
        <f>IF(наценка7[[#This Row],[Угловая]]="НЕТ",IF(наценка7[[#This Row],[Тип кв]]=0,коэффициенты!$D$16,IF(наценка7[[#This Row],[Тип кв]]=1,коэффициенты!$E$16,IF(наценка7[[#This Row],[Тип кв]]=2,коэффициенты!$F$16,IF(наценка7[[#This Row],[Тип кв]]=3,коэффициенты!$G$16,"")))),"")</f>
        <v>0</v>
      </c>
      <c r="AK290" s="55" t="str">
        <f>IF(наценка7[[#This Row],[Увеличенное остекление]]="Да",IF(наценка7[[#This Row],[Тип кв]]=0,коэффициенты!$D$17,IF(наценка7[[#This Row],[Тип кв]]=1,коэффициенты!$E$17,IF(наценка7[[#This Row],[Тип кв]]=2,коэффициенты!$F$17,IF(наценка7[[#This Row],[Тип кв]]=3,коэффициенты!$G$17,"")))),"")</f>
        <v/>
      </c>
      <c r="AL290" s="55">
        <f>IF(наценка7[[#This Row],[Лоджии]]="Нет",IF(наценка7[[#This Row],[Тип кв]]=0,коэффициенты!$D$20,IF(наценка7[[#This Row],[Тип кв]]=1,коэффициенты!$E$20,IF(наценка7[[#This Row],[Тип кв]]=2,коэффициенты!$F$20,IF(наценка7[[#This Row],[Тип кв]]=3,коэффициенты!$G$20,"")))),"")</f>
        <v>-0.01</v>
      </c>
      <c r="AM290" s="55" t="str">
        <f>IF(наценка7[[#This Row],[Урезанное остекление]]="Да",IF(наценка7[[#This Row],[Тип кв]]=0,коэффициенты!$D$21,IF(наценка7[[#This Row],[Тип кв]]=1,коэффициенты!$E$21,IF(наценка7[[#This Row],[Тип кв]]=2,коэффициенты!$F$21,IF(наценка7[[#This Row],[Тип кв]]=3,коэффициенты!$G$21,"")))),"")</f>
        <v/>
      </c>
      <c r="AN290" s="53" t="str">
        <f>IF(наценка7[[#This Row],[Большая площадь]]="Да",IF(наценка7[[#This Row],[Тип кв]]=0,коэффициенты!$D$22,IF(наценка7[[#This Row],[Тип кв]]=1,коэффициенты!$E$22,IF(наценка7[[#This Row],[Тип кв]]=2,коэффициенты!$F$22,IF(наценка7[[#This Row],[Тип кв]]=3,коэффициенты!$G$22,"")))),"")</f>
        <v/>
      </c>
      <c r="AO290" s="53">
        <f>IF(наценка7[[#This Row],[Лифт рядом]]="ДА",IF(наценка7[[#This Row],[Тип кв]]=0,коэффициенты!$D$19,IF(наценка7[[#This Row],[Тип кв]]=1,коэффициенты!$E$19,IF(наценка7[[#This Row],[Тип кв]]=2,коэффициенты!$F$19,IF(наценка7[[#This Row],[Тип кв]]=3,коэффициенты!$G$19,"")))),"")</f>
        <v>-0.01</v>
      </c>
      <c r="AP290" s="52">
        <f>SUM(наценка7[[#This Row],[еврокухня]:[Лифт]])*наценка7[[#This Row],[Цена м2 с БK]]+наценка7[[#This Row],[Цена м2 с БK]]</f>
        <v>141127.29999999999</v>
      </c>
      <c r="AQ290" s="51">
        <f>VLOOKUP(наценка7[[#This Row],[№]],Д402[],COLUMN(Д402[[#This Row],[утв цена м2]]),0)</f>
        <v>142359.79999999999</v>
      </c>
      <c r="AR290" s="3">
        <f>наценка7[[#This Row],[утв цена м2]]*наценка7[[#This Row],[Расчетная проектная площадь]]</f>
        <v>4189648.9139999994</v>
      </c>
      <c r="AS290" s="27" t="str">
        <f>VLOOKUP(наценка7[[#This Row],[№]],Д402[],COLUMN('Реестр ОН'!$BA$1),0)</f>
        <v>Стр. Резерв</v>
      </c>
      <c r="AT290" s="281">
        <f>ROUND(наценка7[[#This Row],[Цена м2 с учетом всех K]]*наценка7[[#This Row],[Расчетная проектная площадь]],0)</f>
        <v>4153376</v>
      </c>
      <c r="AU290" s="286">
        <v>4153376</v>
      </c>
      <c r="AV290" s="286" t="b">
        <f>наценка7[[#This Row],[Аллио]]=наценка7[[#This Row],[Первичка тест]]</f>
        <v>1</v>
      </c>
    </row>
    <row r="293" spans="1:48" x14ac:dyDescent="0.25">
      <c r="AP293" s="174"/>
      <c r="AQ293" s="184">
        <f>(AR99-AR93)/T99</f>
        <v>2794.6000000000076</v>
      </c>
      <c r="AR293" s="228">
        <f>AR103-AR97</f>
        <v>261150.5008000005</v>
      </c>
    </row>
    <row r="294" spans="1:48" x14ac:dyDescent="0.25">
      <c r="AP294" s="174"/>
      <c r="AQ294" s="184">
        <v>2403</v>
      </c>
      <c r="AR294">
        <f>AR293/T103</f>
        <v>7127.4700000000139</v>
      </c>
    </row>
    <row r="295" spans="1:48" x14ac:dyDescent="0.25">
      <c r="AP295" s="174"/>
      <c r="AQ295" s="184">
        <f>(AR102-AR96)/T102</f>
        <v>3407.8599999999965</v>
      </c>
    </row>
    <row r="296" spans="1:48" x14ac:dyDescent="0.25">
      <c r="AF296" s="228"/>
    </row>
    <row r="297" spans="1:48" ht="15.75" thickBot="1" x14ac:dyDescent="0.3"/>
    <row r="298" spans="1:48" ht="15.75" thickBot="1" x14ac:dyDescent="0.3">
      <c r="A298" s="93" t="s">
        <v>81</v>
      </c>
      <c r="AF298" s="228"/>
    </row>
    <row r="299" spans="1:48" x14ac:dyDescent="0.25">
      <c r="AF299" s="228"/>
    </row>
    <row r="300" spans="1:48" x14ac:dyDescent="0.25">
      <c r="AF300" s="228"/>
    </row>
    <row r="512" spans="1:45" s="21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N512"/>
      <c r="AO512"/>
      <c r="AP512"/>
      <c r="AQ512"/>
      <c r="AR512"/>
      <c r="AS512"/>
    </row>
  </sheetData>
  <sheetProtection formatCells="0" formatColumns="0" formatRows="0" sort="0" autoFilter="0" pivotTables="0"/>
  <mergeCells count="2">
    <mergeCell ref="H1:S1"/>
    <mergeCell ref="X1:AO1"/>
  </mergeCells>
  <phoneticPr fontId="6" type="noConversion"/>
  <conditionalFormatting sqref="A3:AQ290">
    <cfRule type="expression" dxfId="96" priority="1">
      <formula>AND(ROW(A3)=CELL("строка"),$A$298="Подсветка ВКЛ")</formula>
    </cfRule>
  </conditionalFormatting>
  <dataValidations count="1">
    <dataValidation type="list" allowBlank="1" showInputMessage="1" showErrorMessage="1" sqref="A298" xr:uid="{6C9206A7-F24D-42A0-8760-3A6BD5996181}">
      <formula1>"Подсветка ВКЛ,Подсветка ВЫКЛ"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>
    <pageSetUpPr fitToPage="1"/>
  </sheetPr>
  <dimension ref="A1:AG62"/>
  <sheetViews>
    <sheetView zoomScale="85" zoomScaleNormal="85" workbookViewId="0">
      <selection activeCell="P22" sqref="A1:P22"/>
    </sheetView>
  </sheetViews>
  <sheetFormatPr defaultRowHeight="15" x14ac:dyDescent="0.25"/>
  <cols>
    <col min="1" max="1" width="27.85546875" style="29" customWidth="1"/>
    <col min="2" max="2" width="24.85546875" style="29" bestFit="1" customWidth="1"/>
    <col min="3" max="3" width="10.7109375" style="29" bestFit="1" customWidth="1"/>
    <col min="4" max="4" width="9.7109375" style="44" bestFit="1" customWidth="1"/>
    <col min="5" max="7" width="8.85546875" style="44" bestFit="1" customWidth="1"/>
    <col min="8" max="8" width="9.7109375" hidden="1" customWidth="1"/>
    <col min="9" max="11" width="8.85546875" hidden="1" customWidth="1"/>
    <col min="12" max="12" width="7.5703125" style="21" hidden="1" customWidth="1"/>
    <col min="13" max="13" width="9.7109375" style="21" bestFit="1" customWidth="1"/>
    <col min="14" max="16" width="8.85546875" style="21" bestFit="1" customWidth="1"/>
    <col min="17" max="17" width="9.7109375" bestFit="1" customWidth="1"/>
    <col min="18" max="18" width="8.85546875" customWidth="1"/>
    <col min="19" max="20" width="8.85546875" bestFit="1" customWidth="1"/>
    <col min="21" max="21" width="7.5703125" bestFit="1" customWidth="1"/>
    <col min="22" max="22" width="9.28515625" bestFit="1" customWidth="1"/>
    <col min="23" max="23" width="6.85546875" style="108" bestFit="1" customWidth="1"/>
    <col min="24" max="24" width="9.7109375" style="108" bestFit="1" customWidth="1"/>
    <col min="25" max="25" width="19.140625" style="108" bestFit="1" customWidth="1"/>
    <col min="26" max="26" width="22.140625" style="108" bestFit="1" customWidth="1"/>
    <col min="27" max="27" width="18.5703125" style="108" customWidth="1"/>
    <col min="28" max="28" width="18.42578125" style="108" bestFit="1" customWidth="1"/>
    <col min="29" max="29" width="11.85546875" style="108" bestFit="1" customWidth="1"/>
    <col min="30" max="30" width="14" bestFit="1" customWidth="1"/>
    <col min="31" max="31" width="11.5703125" bestFit="1" customWidth="1"/>
    <col min="32" max="32" width="14.28515625" bestFit="1" customWidth="1"/>
    <col min="33" max="33" width="11.28515625" customWidth="1"/>
    <col min="34" max="34" width="14.5703125" customWidth="1"/>
    <col min="35" max="35" width="9.28515625" bestFit="1" customWidth="1"/>
    <col min="36" max="36" width="12.42578125" bestFit="1" customWidth="1"/>
  </cols>
  <sheetData>
    <row r="1" spans="1:33" s="102" customFormat="1" ht="16.5" customHeight="1" thickBot="1" x14ac:dyDescent="0.3">
      <c r="A1" s="347" t="s">
        <v>73</v>
      </c>
      <c r="B1" s="348"/>
      <c r="C1" s="348"/>
      <c r="D1" s="101">
        <v>0</v>
      </c>
      <c r="E1" s="98">
        <v>1</v>
      </c>
      <c r="F1" s="98">
        <v>2</v>
      </c>
      <c r="G1" s="204">
        <v>3</v>
      </c>
      <c r="H1" s="335" t="s">
        <v>97</v>
      </c>
      <c r="I1" s="336"/>
      <c r="J1" s="336"/>
      <c r="K1" s="336"/>
      <c r="L1" s="340"/>
      <c r="M1" s="335" t="s">
        <v>125</v>
      </c>
      <c r="N1" s="336"/>
      <c r="O1" s="336"/>
      <c r="P1" s="336"/>
      <c r="Q1" s="337" t="s">
        <v>98</v>
      </c>
      <c r="R1" s="338"/>
      <c r="S1" s="338"/>
      <c r="T1" s="338"/>
      <c r="U1" s="339"/>
      <c r="W1" s="44"/>
      <c r="X1" s="44"/>
      <c r="Y1" s="44"/>
      <c r="Z1" s="176" t="s">
        <v>112</v>
      </c>
      <c r="AA1" s="177">
        <v>89000</v>
      </c>
      <c r="AB1"/>
      <c r="AC1"/>
      <c r="AD1"/>
      <c r="AE1" s="21"/>
      <c r="AF1"/>
    </row>
    <row r="2" spans="1:33" s="102" customFormat="1" ht="16.5" customHeight="1" thickBot="1" x14ac:dyDescent="0.3">
      <c r="A2" s="349"/>
      <c r="B2" s="350"/>
      <c r="C2" s="350"/>
      <c r="D2" s="96">
        <v>1.57</v>
      </c>
      <c r="E2" s="97">
        <v>1.34</v>
      </c>
      <c r="F2" s="97">
        <v>1.27</v>
      </c>
      <c r="G2" s="209">
        <v>1.1599999999999999</v>
      </c>
      <c r="H2" s="99">
        <f>COUNTIF(наценка7[Тип кв],H3)</f>
        <v>60</v>
      </c>
      <c r="I2" s="100">
        <f>COUNTIF(наценка7[Тип кв],I3)</f>
        <v>92</v>
      </c>
      <c r="J2" s="100">
        <f>COUNTIF(наценка7[Тип кв],J3)</f>
        <v>128</v>
      </c>
      <c r="K2" s="100">
        <f>COUNTIF(наценка7[Тип кв],K3)</f>
        <v>8</v>
      </c>
      <c r="L2" s="115">
        <f>SUM(H2:K2)</f>
        <v>288</v>
      </c>
      <c r="M2" s="229">
        <f>$AA$1*D2</f>
        <v>139730</v>
      </c>
      <c r="N2" s="229">
        <f>$AA$1*E2</f>
        <v>119260</v>
      </c>
      <c r="O2" s="229">
        <f>$AA$1*F2</f>
        <v>113030</v>
      </c>
      <c r="P2" s="229">
        <f>$AA$1*G2</f>
        <v>103240</v>
      </c>
      <c r="Q2" s="99">
        <v>60</v>
      </c>
      <c r="R2" s="100">
        <v>92</v>
      </c>
      <c r="S2" s="100">
        <v>128</v>
      </c>
      <c r="T2" s="100">
        <v>8</v>
      </c>
      <c r="U2" s="230">
        <v>288</v>
      </c>
      <c r="W2" s="341">
        <v>402</v>
      </c>
      <c r="X2" s="342"/>
      <c r="Y2" s="342"/>
      <c r="Z2" s="342"/>
      <c r="AA2" s="342"/>
      <c r="AB2" s="342"/>
      <c r="AC2" s="342"/>
      <c r="AD2" s="342"/>
      <c r="AE2" s="342"/>
      <c r="AF2" s="343"/>
    </row>
    <row r="3" spans="1:33" s="103" customFormat="1" ht="16.5" customHeight="1" thickBot="1" x14ac:dyDescent="0.3">
      <c r="A3" s="215" t="s">
        <v>58</v>
      </c>
      <c r="B3" s="180" t="s">
        <v>3</v>
      </c>
      <c r="C3" s="201" t="s">
        <v>113</v>
      </c>
      <c r="D3" s="344" t="s">
        <v>59</v>
      </c>
      <c r="E3" s="345"/>
      <c r="F3" s="345"/>
      <c r="G3" s="346"/>
      <c r="H3" s="101">
        <v>0</v>
      </c>
      <c r="I3" s="98">
        <v>1</v>
      </c>
      <c r="J3" s="98">
        <v>2</v>
      </c>
      <c r="K3" s="98">
        <v>3</v>
      </c>
      <c r="L3" s="117" t="s">
        <v>8</v>
      </c>
      <c r="M3" s="259">
        <v>0</v>
      </c>
      <c r="N3" s="260">
        <v>1</v>
      </c>
      <c r="O3" s="260">
        <v>2</v>
      </c>
      <c r="P3" s="260">
        <v>3</v>
      </c>
      <c r="Q3" s="111">
        <v>0</v>
      </c>
      <c r="R3" s="112">
        <v>1</v>
      </c>
      <c r="S3" s="112">
        <v>2</v>
      </c>
      <c r="T3" s="112">
        <v>3</v>
      </c>
      <c r="U3" s="113" t="s">
        <v>8</v>
      </c>
      <c r="W3" s="119" t="s">
        <v>15</v>
      </c>
      <c r="X3" s="120" t="s">
        <v>17</v>
      </c>
      <c r="Y3" s="121" t="s">
        <v>18</v>
      </c>
      <c r="Z3" s="122" t="s">
        <v>19</v>
      </c>
      <c r="AA3" s="123" t="s">
        <v>104</v>
      </c>
      <c r="AB3" s="124" t="s">
        <v>61</v>
      </c>
      <c r="AC3" s="125" t="s">
        <v>45</v>
      </c>
      <c r="AD3" s="126" t="s">
        <v>105</v>
      </c>
      <c r="AE3" s="127" t="s">
        <v>107</v>
      </c>
      <c r="AF3" s="128" t="s">
        <v>106</v>
      </c>
    </row>
    <row r="4" spans="1:33" s="104" customFormat="1" ht="18" customHeight="1" x14ac:dyDescent="0.25">
      <c r="A4" s="216" t="s">
        <v>118</v>
      </c>
      <c r="B4" s="92" t="s">
        <v>44</v>
      </c>
      <c r="C4" s="205"/>
      <c r="D4" s="203"/>
      <c r="E4" s="202">
        <v>0.01</v>
      </c>
      <c r="F4" s="202">
        <v>0.01</v>
      </c>
      <c r="G4" s="210"/>
      <c r="H4" s="203">
        <f>COUNTIFS(наценка7[еврокухня],D4,наценка7[Тип кв],H$3)</f>
        <v>0</v>
      </c>
      <c r="I4" s="95">
        <f>COUNTIFS(наценка7[еврокухня],E4,наценка7[Тип кв],I$3)</f>
        <v>72</v>
      </c>
      <c r="J4" s="95">
        <f>COUNTIFS(наценка7[еврокухня],F4,наценка7[Тип кв],J$3)</f>
        <v>84</v>
      </c>
      <c r="K4" s="95">
        <f>COUNTIFS(наценка7[еврокухня],G4,наценка7[Тип кв],K$3)</f>
        <v>0</v>
      </c>
      <c r="L4" s="253">
        <f t="shared" ref="L4:L19" si="0">SUM(H4:K4)</f>
        <v>156</v>
      </c>
      <c r="M4" s="261" t="str">
        <f>IF(D4="","",M$2*D4)</f>
        <v/>
      </c>
      <c r="N4" s="262">
        <f>IF(E4="","",N$2*E4)</f>
        <v>1192.6000000000001</v>
      </c>
      <c r="O4" s="262">
        <f t="shared" ref="O4:P17" si="1">IF(F4="","",O$2*F4)</f>
        <v>1130.3</v>
      </c>
      <c r="P4" s="263" t="str">
        <f t="shared" si="1"/>
        <v/>
      </c>
      <c r="Q4" s="256">
        <f t="shared" ref="Q4:Q17" si="2">H4/H$2</f>
        <v>0</v>
      </c>
      <c r="R4" s="227">
        <f t="shared" ref="R4:R17" si="3">I4/I$2</f>
        <v>0.78260869565217395</v>
      </c>
      <c r="S4" s="227">
        <f t="shared" ref="S4:S17" si="4">J4/J$2</f>
        <v>0.65625</v>
      </c>
      <c r="T4" s="227">
        <f t="shared" ref="T4:T17" si="5">K4/K$2</f>
        <v>0</v>
      </c>
      <c r="U4" s="231">
        <f t="shared" ref="U4:U17" si="6">L4/L$2</f>
        <v>0.54166666666666663</v>
      </c>
      <c r="W4" s="35">
        <v>0</v>
      </c>
      <c r="X4" s="38">
        <f>COUNTIFS(Д402[Тип кв],W4)</f>
        <v>60</v>
      </c>
      <c r="Y4" s="38">
        <f>SUMIFS(Д402[Расчетная проектная площадь],Д402[Тип кв],W4)</f>
        <v>1754.7800000000011</v>
      </c>
      <c r="Z4" s="39">
        <f>SUMIFS(Д402[Стоимость ОН без отделки со скидкой],Д402[Тип кв],W4)</f>
        <v>249491032</v>
      </c>
      <c r="AA4" s="83">
        <f>IFERROR(Z4/X4,0)</f>
        <v>4158183.8666666667</v>
      </c>
      <c r="AB4" s="84">
        <f>IFERROR(Z4/Y4,0)</f>
        <v>142177.9550712909</v>
      </c>
      <c r="AC4" s="83">
        <f>_xlfn.MINIFS(Д402[Стоимость ОН без отделки со скидкой],Д402[Тип кв],W4)</f>
        <v>4013700</v>
      </c>
      <c r="AD4" s="84">
        <f>_xlfn.MINIFS(Д402[Цена м2 без отделки со скидкой],Д402[Тип кв],W4)</f>
        <v>138113.33333333334</v>
      </c>
      <c r="AE4" s="83">
        <f>_xlfn.MAXIFS(Д402[Стоимость ОН без отделки со скидкой],Д402[Тип кв],W4)</f>
        <v>4323300</v>
      </c>
      <c r="AF4" s="84">
        <f>_xlfn.MAXIFS(Д402[Цена м2 без отделки со скидкой],Д402[Тип кв],W4)</f>
        <v>146554.5361875637</v>
      </c>
      <c r="AG4" s="224">
        <f>AB4-AB4</f>
        <v>0</v>
      </c>
    </row>
    <row r="5" spans="1:33" s="102" customFormat="1" ht="18" customHeight="1" x14ac:dyDescent="0.25">
      <c r="A5" s="216" t="s">
        <v>93</v>
      </c>
      <c r="B5" s="92" t="s">
        <v>108</v>
      </c>
      <c r="C5" s="205"/>
      <c r="D5" s="186"/>
      <c r="E5" s="139">
        <v>0.02</v>
      </c>
      <c r="F5" s="139">
        <v>0.02</v>
      </c>
      <c r="G5" s="211"/>
      <c r="H5" s="186">
        <f>COUNTIFS(наценка7[Кухня-Гостинная],D5,наценка7[Тип кв],H$3)</f>
        <v>0</v>
      </c>
      <c r="I5" s="92">
        <f>COUNTIFS(наценка7[Кухня-Гостинная],E5,наценка7[Тип кв],I$3)</f>
        <v>8</v>
      </c>
      <c r="J5" s="92">
        <f>COUNTIFS(наценка7[Кухня-Гостинная],F5,наценка7[Тип кв],J$3)</f>
        <v>34</v>
      </c>
      <c r="K5" s="92">
        <f>COUNTIFS(наценка7[Кухня-Гостинная],G5,наценка7[Тип кв],K$3)</f>
        <v>0</v>
      </c>
      <c r="L5" s="254">
        <f t="shared" si="0"/>
        <v>42</v>
      </c>
      <c r="M5" s="264" t="str">
        <f t="shared" ref="M5:M17" si="7">IF(D5="","",M$2*D5)</f>
        <v/>
      </c>
      <c r="N5" s="42">
        <f t="shared" ref="N5:N17" si="8">IF(E5="","",N$2*E5)</f>
        <v>2385.2000000000003</v>
      </c>
      <c r="O5" s="42">
        <f t="shared" si="1"/>
        <v>2260.6</v>
      </c>
      <c r="P5" s="265" t="str">
        <f t="shared" si="1"/>
        <v/>
      </c>
      <c r="Q5" s="257">
        <f t="shared" si="2"/>
        <v>0</v>
      </c>
      <c r="R5" s="110">
        <f t="shared" si="3"/>
        <v>8.6956521739130432E-2</v>
      </c>
      <c r="S5" s="110">
        <f t="shared" si="4"/>
        <v>0.265625</v>
      </c>
      <c r="T5" s="110">
        <f t="shared" si="5"/>
        <v>0</v>
      </c>
      <c r="U5" s="232">
        <f t="shared" si="6"/>
        <v>0.14583333333333334</v>
      </c>
      <c r="W5" s="35">
        <v>1</v>
      </c>
      <c r="X5" s="38">
        <f>COUNTIFS(Д402[Тип кв],W5)</f>
        <v>92</v>
      </c>
      <c r="Y5" s="38">
        <f>SUMIFS(Д402[Расчетная проектная площадь],Д402[Тип кв],W5)</f>
        <v>3657.54</v>
      </c>
      <c r="Z5" s="39">
        <f>SUMIFS(Д402[Стоимость ОН без отделки со скидкой],Д402[Тип кв],W5)</f>
        <v>470512690</v>
      </c>
      <c r="AA5" s="83">
        <f>IFERROR(Z5/X5,0)</f>
        <v>5114268.3695652178</v>
      </c>
      <c r="AB5" s="84">
        <f>IFERROR(Z5/Y5,0)</f>
        <v>128641.84397163121</v>
      </c>
      <c r="AC5" s="83">
        <f>_xlfn.MINIFS(Д402[Стоимость ОН без отделки со скидкой],Д402[Тип кв],W5)</f>
        <v>4391772</v>
      </c>
      <c r="AD5" s="84">
        <f>_xlfn.MINIFS(Д402[Цена м2 без отделки со скидкой],Д402[Тип кв],W5)</f>
        <v>120125.05470459518</v>
      </c>
      <c r="AE5" s="83">
        <f>_xlfn.MAXIFS(Д402[Стоимость ОН без отделки со скидкой],Д402[Тип кв],W5)</f>
        <v>5937400</v>
      </c>
      <c r="AF5" s="84">
        <f>_xlfn.MAXIFS(Д402[Цена м2 без отделки со скидкой],Д402[Тип кв],W5)</f>
        <v>137306.22270742359</v>
      </c>
      <c r="AG5" s="183">
        <f>AB4-AB5</f>
        <v>13536.111099659684</v>
      </c>
    </row>
    <row r="6" spans="1:33" s="102" customFormat="1" ht="18" customHeight="1" x14ac:dyDescent="0.25">
      <c r="A6" s="216" t="s">
        <v>25</v>
      </c>
      <c r="B6" s="92"/>
      <c r="C6" s="205"/>
      <c r="D6" s="186">
        <v>0.01</v>
      </c>
      <c r="E6" s="139">
        <v>0.01</v>
      </c>
      <c r="F6" s="139">
        <v>0.01</v>
      </c>
      <c r="G6" s="211"/>
      <c r="H6" s="186">
        <f>COUNTIFS(наценка7[ванна от 4 кв.м],D6,наценка7[Тип кв],H$3)</f>
        <v>54</v>
      </c>
      <c r="I6" s="92">
        <f>COUNTIFS(наценка7[ванна от 4 кв.м],E6,наценка7[Тип кв],I$3)</f>
        <v>84</v>
      </c>
      <c r="J6" s="92">
        <f>COUNTIFS(наценка7[ванна от 4 кв.м],F6,наценка7[Тип кв],J$3)</f>
        <v>110</v>
      </c>
      <c r="K6" s="92">
        <f>COUNTIFS(наценка7[ванна от 4 кв.м],G6,наценка7[Тип кв],K$3)</f>
        <v>0</v>
      </c>
      <c r="L6" s="254">
        <f t="shared" si="0"/>
        <v>248</v>
      </c>
      <c r="M6" s="264">
        <f t="shared" si="7"/>
        <v>1397.3</v>
      </c>
      <c r="N6" s="42">
        <f t="shared" si="8"/>
        <v>1192.6000000000001</v>
      </c>
      <c r="O6" s="42">
        <f t="shared" si="1"/>
        <v>1130.3</v>
      </c>
      <c r="P6" s="265" t="str">
        <f t="shared" si="1"/>
        <v/>
      </c>
      <c r="Q6" s="257">
        <f t="shared" si="2"/>
        <v>0.9</v>
      </c>
      <c r="R6" s="110">
        <f t="shared" si="3"/>
        <v>0.91304347826086951</v>
      </c>
      <c r="S6" s="110">
        <f t="shared" si="4"/>
        <v>0.859375</v>
      </c>
      <c r="T6" s="110">
        <f t="shared" si="5"/>
        <v>0</v>
      </c>
      <c r="U6" s="232">
        <f t="shared" si="6"/>
        <v>0.86111111111111116</v>
      </c>
      <c r="W6" s="35">
        <v>2</v>
      </c>
      <c r="X6" s="45">
        <f>COUNTIFS(Д402[Тип кв],W6)</f>
        <v>128</v>
      </c>
      <c r="Y6" s="45">
        <f>SUMIFS(Д402[Расчетная проектная площадь],Д402[Тип кв],W6)</f>
        <v>7462.0399999999881</v>
      </c>
      <c r="Z6" s="46">
        <f>SUMIFS(Д402[Стоимость ОН без отделки со скидкой],Д402[Тип кв],W6)</f>
        <v>910734478</v>
      </c>
      <c r="AA6" s="85">
        <f>IFERROR(Z6/X6,0)</f>
        <v>7115113.109375</v>
      </c>
      <c r="AB6" s="86">
        <f>IFERROR(Z6/Y6,0)</f>
        <v>122048.994376873</v>
      </c>
      <c r="AC6" s="85">
        <f>_xlfn.MINIFS(Д402[Стоимость ОН без отделки со скидкой],Д402[Тип кв],W6)</f>
        <v>6295979</v>
      </c>
      <c r="AD6" s="86">
        <f>_xlfn.MINIFS(Д402[Цена м2 без отделки со скидкой],Д402[Тип кв],W6)</f>
        <v>111873.12110272399</v>
      </c>
      <c r="AE6" s="85">
        <f>_xlfn.MAXIFS(Д402[Стоимость ОН без отделки со скидкой],Д402[Тип кв],W6)</f>
        <v>7994900</v>
      </c>
      <c r="AF6" s="86">
        <f>_xlfn.MAXIFS(Д402[Цена м2 без отделки со скидкой],Д402[Тип кв],W6)</f>
        <v>129980.3085001641</v>
      </c>
      <c r="AG6" s="183">
        <f t="shared" ref="AG6:AG7" si="9">AB5-AB6</f>
        <v>6592.8495947582123</v>
      </c>
    </row>
    <row r="7" spans="1:33" s="102" customFormat="1" ht="16.5" thickBot="1" x14ac:dyDescent="0.3">
      <c r="A7" s="216" t="s">
        <v>75</v>
      </c>
      <c r="B7" s="92"/>
      <c r="C7" s="205"/>
      <c r="D7" s="186"/>
      <c r="E7" s="139"/>
      <c r="F7" s="139">
        <v>0.03</v>
      </c>
      <c r="G7" s="211">
        <v>0.01</v>
      </c>
      <c r="H7" s="186">
        <f>COUNTIFS(наценка7[2 С\У],D7,наценка7[Тип кв],H$3)</f>
        <v>0</v>
      </c>
      <c r="I7" s="92">
        <f>COUNTIFS(наценка7[2 С\У],E7,наценка7[Тип кв],I$3)</f>
        <v>0</v>
      </c>
      <c r="J7" s="92">
        <f>COUNTIFS(наценка7[2 С\У],F7,наценка7[Тип кв],J$3)</f>
        <v>12</v>
      </c>
      <c r="K7" s="92">
        <f>COUNTIFS(наценка7[2 С\У],G7,наценка7[Тип кв],K$3)</f>
        <v>8</v>
      </c>
      <c r="L7" s="254">
        <f t="shared" si="0"/>
        <v>20</v>
      </c>
      <c r="M7" s="264" t="str">
        <f t="shared" si="7"/>
        <v/>
      </c>
      <c r="N7" s="42" t="str">
        <f t="shared" si="8"/>
        <v/>
      </c>
      <c r="O7" s="42">
        <f t="shared" si="1"/>
        <v>3390.9</v>
      </c>
      <c r="P7" s="265">
        <f t="shared" si="1"/>
        <v>1032.4000000000001</v>
      </c>
      <c r="Q7" s="257">
        <f t="shared" si="2"/>
        <v>0</v>
      </c>
      <c r="R7" s="110">
        <f t="shared" si="3"/>
        <v>0</v>
      </c>
      <c r="S7" s="110">
        <f t="shared" si="4"/>
        <v>9.375E-2</v>
      </c>
      <c r="T7" s="110">
        <f t="shared" si="5"/>
        <v>1</v>
      </c>
      <c r="U7" s="232">
        <f t="shared" si="6"/>
        <v>6.9444444444444448E-2</v>
      </c>
      <c r="W7" s="36">
        <v>3</v>
      </c>
      <c r="X7" s="40">
        <f>COUNTIFS(Д402[Тип кв],W7)</f>
        <v>8</v>
      </c>
      <c r="Y7" s="40">
        <f>SUMIFS(Д402[Расчетная проектная площадь],Д402[Тип кв],W7)</f>
        <v>625.27999999999986</v>
      </c>
      <c r="Z7" s="41">
        <f>SUMIFS(Д402[Стоимость ОН без отделки со скидкой],Д402[Тип кв],W7)</f>
        <v>69997900</v>
      </c>
      <c r="AA7" s="87">
        <f>IFERROR(Z7/X7,0)</f>
        <v>8749737.5</v>
      </c>
      <c r="AB7" s="88">
        <f>IFERROR(Z7/Y7,0)</f>
        <v>111946.48797338795</v>
      </c>
      <c r="AC7" s="87">
        <f>_xlfn.MINIFS(Д402[Стоимость ОН без отделки со скидкой],Д402[Тип кв],W7)</f>
        <v>8649800</v>
      </c>
      <c r="AD7" s="88">
        <f>_xlfn.MINIFS(Д402[Цена м2 без отделки со скидкой],Д402[Тип кв],W7)</f>
        <v>110667.86079836234</v>
      </c>
      <c r="AE7" s="87">
        <f>_xlfn.MAXIFS(Д402[Стоимость ОН без отделки со скидкой],Д402[Тип кв],W7)</f>
        <v>8822800</v>
      </c>
      <c r="AF7" s="88">
        <f>_xlfn.MAXIFS(Д402[Цена м2 без отделки со скидкой],Д402[Тип кв],W7)</f>
        <v>112881.26919140226</v>
      </c>
      <c r="AG7" s="183">
        <f t="shared" si="9"/>
        <v>10102.506403485051</v>
      </c>
    </row>
    <row r="8" spans="1:33" s="102" customFormat="1" ht="16.5" thickBot="1" x14ac:dyDescent="0.3">
      <c r="A8" s="216" t="s">
        <v>32</v>
      </c>
      <c r="B8" s="92"/>
      <c r="C8" s="205"/>
      <c r="D8" s="186">
        <v>0.01</v>
      </c>
      <c r="E8" s="139">
        <v>0.01</v>
      </c>
      <c r="F8" s="139">
        <v>0.02</v>
      </c>
      <c r="G8" s="211">
        <v>0.01</v>
      </c>
      <c r="H8" s="186">
        <f>COUNTIFS(наценка7[гардероб],D8,наценка7[Тип кв],H$3)</f>
        <v>60</v>
      </c>
      <c r="I8" s="92">
        <f>COUNTIFS(наценка7[гардероб],E8,наценка7[Тип кв],I$3)</f>
        <v>84</v>
      </c>
      <c r="J8" s="92">
        <f>COUNTIFS(наценка7[гардероб],F8,наценка7[Тип кв],J$3)</f>
        <v>24</v>
      </c>
      <c r="K8" s="92">
        <f>COUNTIFS(наценка7[гардероб],G8,наценка7[Тип кв],K$3)</f>
        <v>0</v>
      </c>
      <c r="L8" s="254">
        <f t="shared" si="0"/>
        <v>168</v>
      </c>
      <c r="M8" s="264">
        <f t="shared" si="7"/>
        <v>1397.3</v>
      </c>
      <c r="N8" s="42">
        <f t="shared" si="8"/>
        <v>1192.6000000000001</v>
      </c>
      <c r="O8" s="42">
        <f t="shared" si="1"/>
        <v>2260.6</v>
      </c>
      <c r="P8" s="265">
        <f t="shared" si="1"/>
        <v>1032.4000000000001</v>
      </c>
      <c r="Q8" s="257">
        <f t="shared" si="2"/>
        <v>1</v>
      </c>
      <c r="R8" s="110">
        <f t="shared" si="3"/>
        <v>0.91304347826086951</v>
      </c>
      <c r="S8" s="110">
        <f t="shared" si="4"/>
        <v>0.1875</v>
      </c>
      <c r="T8" s="110">
        <f t="shared" si="5"/>
        <v>0</v>
      </c>
      <c r="U8" s="232">
        <f t="shared" si="6"/>
        <v>0.58333333333333337</v>
      </c>
      <c r="W8" s="34" t="s">
        <v>16</v>
      </c>
      <c r="X8" s="37">
        <f>SUM(X4:X7)</f>
        <v>288</v>
      </c>
      <c r="Y8" s="37">
        <f t="shared" ref="Y8:Z8" si="10">SUM(Y4:Y7)</f>
        <v>13499.63999999999</v>
      </c>
      <c r="Z8" s="37">
        <f t="shared" si="10"/>
        <v>1700736100</v>
      </c>
      <c r="AA8" s="89">
        <f>IFERROR(Z8/X8,0)</f>
        <v>5905333.680555556</v>
      </c>
      <c r="AB8" s="90">
        <f>IFERROR(Z8/Y8,0)</f>
        <v>125983.81142015647</v>
      </c>
      <c r="AC8" s="89"/>
      <c r="AD8" s="90"/>
      <c r="AE8" s="89"/>
      <c r="AF8" s="90"/>
    </row>
    <row r="9" spans="1:33" s="102" customFormat="1" ht="16.5" thickBot="1" x14ac:dyDescent="0.3">
      <c r="A9" s="216" t="s">
        <v>40</v>
      </c>
      <c r="B9" s="92"/>
      <c r="C9" s="207">
        <v>0.02</v>
      </c>
      <c r="D9" s="139">
        <v>0.02</v>
      </c>
      <c r="E9" s="139">
        <v>0.02</v>
      </c>
      <c r="F9" s="139">
        <v>0.02</v>
      </c>
      <c r="G9" s="211">
        <v>0.02</v>
      </c>
      <c r="H9" s="186">
        <f>COUNTIFS(наценка7[Панорама],D9,наценка7[Тип кв],H$3)</f>
        <v>0</v>
      </c>
      <c r="I9" s="92">
        <f>COUNTIFS(наценка7[Панорама],E9,наценка7[Тип кв],I$3)</f>
        <v>56</v>
      </c>
      <c r="J9" s="92">
        <f>COUNTIFS(наценка7[Панорама],F9,наценка7[Тип кв],J$3)</f>
        <v>83</v>
      </c>
      <c r="K9" s="92">
        <f>COUNTIFS(наценка7[Панорама],G9,наценка7[Тип кв],K$3)</f>
        <v>5</v>
      </c>
      <c r="L9" s="254">
        <f t="shared" si="0"/>
        <v>144</v>
      </c>
      <c r="M9" s="264">
        <f t="shared" si="7"/>
        <v>2794.6</v>
      </c>
      <c r="N9" s="42">
        <f t="shared" si="8"/>
        <v>2385.2000000000003</v>
      </c>
      <c r="O9" s="42">
        <f t="shared" si="1"/>
        <v>2260.6</v>
      </c>
      <c r="P9" s="265">
        <f t="shared" si="1"/>
        <v>2064.8000000000002</v>
      </c>
      <c r="Q9" s="257">
        <f t="shared" si="2"/>
        <v>0</v>
      </c>
      <c r="R9" s="110">
        <f t="shared" si="3"/>
        <v>0.60869565217391308</v>
      </c>
      <c r="S9" s="110">
        <f t="shared" si="4"/>
        <v>0.6484375</v>
      </c>
      <c r="T9" s="110">
        <f t="shared" si="5"/>
        <v>0.625</v>
      </c>
      <c r="U9" s="232">
        <f t="shared" si="6"/>
        <v>0.5</v>
      </c>
      <c r="W9" s="29"/>
      <c r="X9" s="29"/>
      <c r="Y9" s="138">
        <v>-0.03</v>
      </c>
      <c r="Z9" s="137">
        <f>Z8+Z8*$Y$9</f>
        <v>1649714017</v>
      </c>
      <c r="AA9" s="136">
        <f>AA8+AA8*$Y$9</f>
        <v>5728173.670138889</v>
      </c>
      <c r="AB9" s="90">
        <f>AB8+AB8*$Y$9</f>
        <v>122204.29707755178</v>
      </c>
      <c r="AC9" s="108"/>
      <c r="AD9" s="108"/>
      <c r="AE9"/>
      <c r="AF9" s="21"/>
    </row>
    <row r="10" spans="1:33" s="102" customFormat="1" ht="15.75" x14ac:dyDescent="0.25">
      <c r="A10" s="216" t="s">
        <v>57</v>
      </c>
      <c r="B10" s="181" t="s">
        <v>124</v>
      </c>
      <c r="C10" s="206"/>
      <c r="D10" s="186">
        <v>0.01</v>
      </c>
      <c r="E10" s="139">
        <v>0.01</v>
      </c>
      <c r="F10" s="139">
        <v>0.02</v>
      </c>
      <c r="G10" s="211"/>
      <c r="H10" s="186">
        <f>COUNTIFS(наценка7[Виды],D10,наценка7[Тип кв],H$3)</f>
        <v>24</v>
      </c>
      <c r="I10" s="92">
        <f>COUNTIFS(наценка7[Виды],E10,наценка7[Тип кв],I$3)</f>
        <v>56</v>
      </c>
      <c r="J10" s="92">
        <f>COUNTIFS(наценка7[Виды],F10,наценка7[Тип кв],J$3)</f>
        <v>24</v>
      </c>
      <c r="K10" s="92">
        <f>COUNTIFS(наценка7[Виды],G10,наценка7[Тип кв],K$3)</f>
        <v>0</v>
      </c>
      <c r="L10" s="254">
        <f t="shared" si="0"/>
        <v>104</v>
      </c>
      <c r="M10" s="264">
        <f t="shared" si="7"/>
        <v>1397.3</v>
      </c>
      <c r="N10" s="42">
        <f t="shared" si="8"/>
        <v>1192.6000000000001</v>
      </c>
      <c r="O10" s="42">
        <f t="shared" si="1"/>
        <v>2260.6</v>
      </c>
      <c r="P10" s="265" t="str">
        <f t="shared" si="1"/>
        <v/>
      </c>
      <c r="Q10" s="257">
        <f t="shared" si="2"/>
        <v>0.4</v>
      </c>
      <c r="R10" s="110">
        <f t="shared" si="3"/>
        <v>0.60869565217391308</v>
      </c>
      <c r="S10" s="110">
        <f t="shared" si="4"/>
        <v>0.1875</v>
      </c>
      <c r="T10" s="110">
        <f t="shared" si="5"/>
        <v>0</v>
      </c>
      <c r="U10" s="232">
        <f t="shared" si="6"/>
        <v>0.3611111111111111</v>
      </c>
    </row>
    <row r="11" spans="1:33" s="102" customFormat="1" ht="15.75" x14ac:dyDescent="0.25">
      <c r="A11" s="216" t="s">
        <v>33</v>
      </c>
      <c r="B11" s="181"/>
      <c r="C11" s="206"/>
      <c r="D11" s="186"/>
      <c r="E11" s="139"/>
      <c r="F11" s="139">
        <v>0.01</v>
      </c>
      <c r="G11" s="211">
        <v>0.01</v>
      </c>
      <c r="H11" s="186">
        <f>COUNTIFS(наценка7[Кухня с лоджией],D11,наценка7[Тип кв],H$3)</f>
        <v>0</v>
      </c>
      <c r="I11" s="92">
        <f>COUNTIFS(наценка7[Кухня с лоджией],E11,наценка7[Тип кв],I$3)</f>
        <v>80</v>
      </c>
      <c r="J11" s="92">
        <f>COUNTIFS(наценка7[Кухня с лоджией],F11,наценка7[Тип кв],J$3)</f>
        <v>90</v>
      </c>
      <c r="K11" s="92">
        <f>COUNTIFS(наценка7[Кухня с лоджией],G11,наценка7[Тип кв],K$3)</f>
        <v>8</v>
      </c>
      <c r="L11" s="254">
        <f t="shared" si="0"/>
        <v>178</v>
      </c>
      <c r="M11" s="264" t="str">
        <f t="shared" si="7"/>
        <v/>
      </c>
      <c r="N11" s="42" t="str">
        <f t="shared" si="8"/>
        <v/>
      </c>
      <c r="O11" s="42">
        <f t="shared" si="1"/>
        <v>1130.3</v>
      </c>
      <c r="P11" s="265">
        <f t="shared" si="1"/>
        <v>1032.4000000000001</v>
      </c>
      <c r="Q11" s="257">
        <f t="shared" si="2"/>
        <v>0</v>
      </c>
      <c r="R11" s="110">
        <f t="shared" si="3"/>
        <v>0.86956521739130432</v>
      </c>
      <c r="S11" s="110">
        <f t="shared" si="4"/>
        <v>0.703125</v>
      </c>
      <c r="T11" s="110">
        <f t="shared" si="5"/>
        <v>1</v>
      </c>
      <c r="U11" s="232">
        <f t="shared" si="6"/>
        <v>0.61805555555555558</v>
      </c>
    </row>
    <row r="12" spans="1:33" s="102" customFormat="1" ht="15.75" x14ac:dyDescent="0.25">
      <c r="A12" s="216" t="s">
        <v>37</v>
      </c>
      <c r="B12" s="92" t="s">
        <v>110</v>
      </c>
      <c r="C12" s="205"/>
      <c r="D12" s="186"/>
      <c r="E12" s="139">
        <v>0.01</v>
      </c>
      <c r="F12" s="139">
        <v>0.02</v>
      </c>
      <c r="G12" s="211">
        <v>0.03</v>
      </c>
      <c r="H12" s="186">
        <f>COUNTIFS(наценка7[низкий этаж],D12,наценка7[Тип кв],H$3)</f>
        <v>12</v>
      </c>
      <c r="I12" s="92">
        <f>COUNTIFS(наценка7[низкий этаж],E12,наценка7[Тип кв],I$3)</f>
        <v>18</v>
      </c>
      <c r="J12" s="92">
        <f>COUNTIFS(наценка7[низкий этаж],F12,наценка7[Тип кв],J$3)</f>
        <v>21</v>
      </c>
      <c r="K12" s="92">
        <f>COUNTIFS(наценка7[низкий этаж],G12,наценка7[Тип кв],K$3)</f>
        <v>3</v>
      </c>
      <c r="L12" s="254">
        <f t="shared" si="0"/>
        <v>54</v>
      </c>
      <c r="M12" s="264" t="str">
        <f t="shared" si="7"/>
        <v/>
      </c>
      <c r="N12" s="42">
        <f t="shared" si="8"/>
        <v>1192.6000000000001</v>
      </c>
      <c r="O12" s="42">
        <f t="shared" si="1"/>
        <v>2260.6</v>
      </c>
      <c r="P12" s="265">
        <f t="shared" si="1"/>
        <v>3097.2</v>
      </c>
      <c r="Q12" s="257">
        <f t="shared" si="2"/>
        <v>0.2</v>
      </c>
      <c r="R12" s="110">
        <f t="shared" si="3"/>
        <v>0.19565217391304349</v>
      </c>
      <c r="S12" s="110">
        <f t="shared" si="4"/>
        <v>0.1640625</v>
      </c>
      <c r="T12" s="110">
        <f t="shared" si="5"/>
        <v>0.375</v>
      </c>
      <c r="U12" s="232">
        <f t="shared" si="6"/>
        <v>0.1875</v>
      </c>
      <c r="W12" s="108"/>
      <c r="X12" s="108"/>
      <c r="Y12" s="108"/>
      <c r="Z12" s="108"/>
      <c r="AA12" s="108"/>
      <c r="AB12" s="108"/>
      <c r="AC12" s="108"/>
      <c r="AD12" s="108"/>
      <c r="AE12" s="108"/>
    </row>
    <row r="13" spans="1:33" s="102" customFormat="1" ht="15.75" x14ac:dyDescent="0.25">
      <c r="A13" s="216" t="s">
        <v>39</v>
      </c>
      <c r="B13" s="92" t="s">
        <v>109</v>
      </c>
      <c r="C13" s="207">
        <v>0.02</v>
      </c>
      <c r="D13" s="186"/>
      <c r="E13" s="139"/>
      <c r="F13" s="139"/>
      <c r="G13" s="211"/>
      <c r="H13" s="186">
        <f>COUNTIFS(наценка7[Высокий потолок],C13,наценка7[Тип кв],H$3)</f>
        <v>6</v>
      </c>
      <c r="I13" s="92">
        <f>COUNTIFS(наценка7[Высокий потолок],C13,наценка7[Тип кв],I$3)</f>
        <v>9</v>
      </c>
      <c r="J13" s="92">
        <f>COUNTIFS(наценка7[Высокий потолок],C13,наценка7[Тип кв],J$3)</f>
        <v>15</v>
      </c>
      <c r="K13" s="92">
        <f>COUNTIFS(наценка7[Высокий потолок],C13,наценка7[Тип кв],K$3)</f>
        <v>0</v>
      </c>
      <c r="L13" s="254">
        <f t="shared" si="0"/>
        <v>30</v>
      </c>
      <c r="M13" s="264" t="str">
        <f t="shared" si="7"/>
        <v/>
      </c>
      <c r="N13" s="42" t="str">
        <f t="shared" si="8"/>
        <v/>
      </c>
      <c r="O13" s="42" t="str">
        <f t="shared" si="1"/>
        <v/>
      </c>
      <c r="P13" s="265" t="str">
        <f t="shared" si="1"/>
        <v/>
      </c>
      <c r="Q13" s="257">
        <f t="shared" si="2"/>
        <v>0.1</v>
      </c>
      <c r="R13" s="110">
        <f t="shared" si="3"/>
        <v>9.7826086956521743E-2</v>
      </c>
      <c r="S13" s="110">
        <f t="shared" si="4"/>
        <v>0.1171875</v>
      </c>
      <c r="T13" s="110">
        <f t="shared" si="5"/>
        <v>0</v>
      </c>
      <c r="U13" s="232">
        <f t="shared" si="6"/>
        <v>0.10416666666666667</v>
      </c>
      <c r="W13" s="108"/>
      <c r="X13" s="108"/>
      <c r="Y13" s="108"/>
      <c r="Z13" s="108"/>
      <c r="AA13" s="108"/>
      <c r="AB13" s="108"/>
      <c r="AC13" s="108"/>
      <c r="AD13"/>
      <c r="AE13"/>
      <c r="AF13"/>
      <c r="AG13"/>
    </row>
    <row r="14" spans="1:33" s="102" customFormat="1" ht="15.75" x14ac:dyDescent="0.25">
      <c r="A14" s="216" t="s">
        <v>34</v>
      </c>
      <c r="B14" s="92"/>
      <c r="C14" s="205"/>
      <c r="D14" s="186"/>
      <c r="E14" s="139"/>
      <c r="F14" s="139">
        <v>0.02</v>
      </c>
      <c r="G14" s="211"/>
      <c r="H14" s="186">
        <f>COUNTIFS(наценка7[вид на 2],D14,наценка7[Тип кв],H$3)</f>
        <v>0</v>
      </c>
      <c r="I14" s="92">
        <f>COUNTIFS(наценка7[вид на 2],E14,наценка7[Тип кв],I$3)</f>
        <v>0</v>
      </c>
      <c r="J14" s="92">
        <f>COUNTIFS(наценка7[вид на 2],F14,наценка7[Тип кв],J$3)</f>
        <v>28</v>
      </c>
      <c r="K14" s="92">
        <f>COUNTIFS(наценка7[вид на 2],G14,наценка7[Тип кв],K$3)</f>
        <v>0</v>
      </c>
      <c r="L14" s="254">
        <f t="shared" si="0"/>
        <v>28</v>
      </c>
      <c r="M14" s="264" t="str">
        <f t="shared" si="7"/>
        <v/>
      </c>
      <c r="N14" s="42" t="str">
        <f t="shared" si="8"/>
        <v/>
      </c>
      <c r="O14" s="42">
        <f t="shared" si="1"/>
        <v>2260.6</v>
      </c>
      <c r="P14" s="265" t="str">
        <f t="shared" si="1"/>
        <v/>
      </c>
      <c r="Q14" s="257">
        <f t="shared" si="2"/>
        <v>0</v>
      </c>
      <c r="R14" s="110">
        <f t="shared" si="3"/>
        <v>0</v>
      </c>
      <c r="S14" s="110">
        <f t="shared" si="4"/>
        <v>0.21875</v>
      </c>
      <c r="T14" s="110">
        <f t="shared" si="5"/>
        <v>0</v>
      </c>
      <c r="U14" s="232">
        <f t="shared" si="6"/>
        <v>9.7222222222222224E-2</v>
      </c>
    </row>
    <row r="15" spans="1:33" s="102" customFormat="1" ht="15.75" x14ac:dyDescent="0.25">
      <c r="A15" s="216" t="s">
        <v>60</v>
      </c>
      <c r="B15" s="92"/>
      <c r="C15" s="205"/>
      <c r="D15" s="186"/>
      <c r="E15" s="139"/>
      <c r="F15" s="139"/>
      <c r="G15" s="211">
        <v>0.01</v>
      </c>
      <c r="H15" s="186">
        <f>COUNTIFS(наценка7[вид на 3],D15,наценка7[Тип кв],H$3)</f>
        <v>0</v>
      </c>
      <c r="I15" s="92">
        <f>COUNTIFS(наценка7[вид на 3],E15,наценка7[Тип кв],I$3)</f>
        <v>0</v>
      </c>
      <c r="J15" s="92">
        <f>COUNTIFS(наценка7[вид на 3],F15,наценка7[Тип кв],J$3)</f>
        <v>0</v>
      </c>
      <c r="K15" s="92">
        <f>COUNTIFS(наценка7[вид на 3],G15,наценка7[Тип кв],K$3)</f>
        <v>8</v>
      </c>
      <c r="L15" s="254">
        <f t="shared" si="0"/>
        <v>8</v>
      </c>
      <c r="M15" s="264" t="str">
        <f t="shared" si="7"/>
        <v/>
      </c>
      <c r="N15" s="42" t="str">
        <f t="shared" si="8"/>
        <v/>
      </c>
      <c r="O15" s="42" t="str">
        <f t="shared" si="1"/>
        <v/>
      </c>
      <c r="P15" s="265">
        <f t="shared" si="1"/>
        <v>1032.4000000000001</v>
      </c>
      <c r="Q15" s="257">
        <f t="shared" si="2"/>
        <v>0</v>
      </c>
      <c r="R15" s="110">
        <f t="shared" si="3"/>
        <v>0</v>
      </c>
      <c r="S15" s="110">
        <f t="shared" si="4"/>
        <v>0</v>
      </c>
      <c r="T15" s="110">
        <f t="shared" si="5"/>
        <v>1</v>
      </c>
      <c r="U15" s="232">
        <f t="shared" si="6"/>
        <v>2.7777777777777776E-2</v>
      </c>
    </row>
    <row r="16" spans="1:33" s="102" customFormat="1" ht="15.75" x14ac:dyDescent="0.25">
      <c r="A16" s="216" t="s">
        <v>38</v>
      </c>
      <c r="B16" s="92"/>
      <c r="C16" s="205"/>
      <c r="D16" s="186"/>
      <c r="E16" s="139"/>
      <c r="F16" s="139">
        <v>0.01</v>
      </c>
      <c r="G16" s="211"/>
      <c r="H16" s="186">
        <f>COUNTIFS(наценка7[Не угловая],D16,наценка7[Тип кв],H$3)</f>
        <v>60</v>
      </c>
      <c r="I16" s="92">
        <f>COUNTIFS(наценка7[Не угловая],E16,наценка7[Тип кв],I$3)</f>
        <v>68</v>
      </c>
      <c r="J16" s="92">
        <f>COUNTIFS(наценка7[Не угловая],F16,наценка7[Тип кв],J$3)</f>
        <v>72</v>
      </c>
      <c r="K16" s="92">
        <f>COUNTIFS(наценка7[Не угловая],G16,наценка7[Тип кв],K$3)</f>
        <v>0</v>
      </c>
      <c r="L16" s="254">
        <f t="shared" si="0"/>
        <v>200</v>
      </c>
      <c r="M16" s="264" t="str">
        <f t="shared" si="7"/>
        <v/>
      </c>
      <c r="N16" s="42" t="str">
        <f t="shared" si="8"/>
        <v/>
      </c>
      <c r="O16" s="42">
        <f t="shared" si="1"/>
        <v>1130.3</v>
      </c>
      <c r="P16" s="265" t="str">
        <f t="shared" si="1"/>
        <v/>
      </c>
      <c r="Q16" s="257">
        <f t="shared" si="2"/>
        <v>1</v>
      </c>
      <c r="R16" s="110">
        <f t="shared" si="3"/>
        <v>0.73913043478260865</v>
      </c>
      <c r="S16" s="110">
        <f t="shared" si="4"/>
        <v>0.5625</v>
      </c>
      <c r="T16" s="110">
        <f t="shared" si="5"/>
        <v>0</v>
      </c>
      <c r="U16" s="232">
        <f t="shared" si="6"/>
        <v>0.69444444444444442</v>
      </c>
    </row>
    <row r="17" spans="1:33" s="102" customFormat="1" ht="16.5" thickBot="1" x14ac:dyDescent="0.3">
      <c r="A17" s="216" t="s">
        <v>100</v>
      </c>
      <c r="B17" s="92"/>
      <c r="C17" s="205"/>
      <c r="D17" s="212">
        <v>0.02</v>
      </c>
      <c r="E17" s="178"/>
      <c r="F17" s="178">
        <v>0.01</v>
      </c>
      <c r="G17" s="213"/>
      <c r="H17" s="195">
        <f>COUNTIFS(наценка7[УО],D17,наценка7[Тип кв],H$3)</f>
        <v>5</v>
      </c>
      <c r="I17" s="196">
        <f>COUNTIFS(наценка7[УО],E17,наценка7[Тип кв],I$3)</f>
        <v>0</v>
      </c>
      <c r="J17" s="196">
        <f>COUNTIFS(наценка7[УО],F17,наценка7[Тип кв],J$3)</f>
        <v>40</v>
      </c>
      <c r="K17" s="196">
        <f>COUNTIFS(наценка7[УО],G17,наценка7[Тип кв],K$3)</f>
        <v>0</v>
      </c>
      <c r="L17" s="255">
        <f t="shared" ref="L17" si="11">SUM(H17:K17)</f>
        <v>45</v>
      </c>
      <c r="M17" s="266">
        <f t="shared" si="7"/>
        <v>2794.6</v>
      </c>
      <c r="N17" s="76" t="str">
        <f t="shared" si="8"/>
        <v/>
      </c>
      <c r="O17" s="76">
        <f t="shared" si="1"/>
        <v>1130.3</v>
      </c>
      <c r="P17" s="267" t="str">
        <f t="shared" si="1"/>
        <v/>
      </c>
      <c r="Q17" s="258">
        <f t="shared" si="2"/>
        <v>8.3333333333333329E-2</v>
      </c>
      <c r="R17" s="114">
        <f t="shared" si="3"/>
        <v>0</v>
      </c>
      <c r="S17" s="114">
        <f t="shared" si="4"/>
        <v>0.3125</v>
      </c>
      <c r="T17" s="114">
        <f t="shared" si="5"/>
        <v>0</v>
      </c>
      <c r="U17" s="233">
        <f t="shared" si="6"/>
        <v>0.15625</v>
      </c>
    </row>
    <row r="18" spans="1:33" s="102" customFormat="1" ht="18" customHeight="1" thickBot="1" x14ac:dyDescent="0.3">
      <c r="A18" s="332" t="s">
        <v>117</v>
      </c>
      <c r="B18" s="333"/>
      <c r="C18" s="334"/>
      <c r="D18" s="101">
        <v>0</v>
      </c>
      <c r="E18" s="98">
        <v>1</v>
      </c>
      <c r="F18" s="98">
        <v>2</v>
      </c>
      <c r="G18" s="204">
        <v>3</v>
      </c>
      <c r="H18" s="192">
        <v>0</v>
      </c>
      <c r="I18" s="193">
        <v>1</v>
      </c>
      <c r="J18" s="193">
        <v>2</v>
      </c>
      <c r="K18" s="193">
        <v>3</v>
      </c>
      <c r="L18" s="194" t="s">
        <v>8</v>
      </c>
      <c r="M18" s="242">
        <v>0</v>
      </c>
      <c r="N18" s="243">
        <v>1</v>
      </c>
      <c r="O18" s="243">
        <v>2</v>
      </c>
      <c r="P18" s="243">
        <v>3</v>
      </c>
      <c r="Q18" s="197">
        <v>0</v>
      </c>
      <c r="R18" s="198">
        <v>1</v>
      </c>
      <c r="S18" s="198">
        <v>2</v>
      </c>
      <c r="T18" s="198">
        <v>3</v>
      </c>
      <c r="U18" s="199" t="s">
        <v>8</v>
      </c>
    </row>
    <row r="19" spans="1:33" s="102" customFormat="1" ht="15.75" x14ac:dyDescent="0.25">
      <c r="A19" s="217" t="s">
        <v>71</v>
      </c>
      <c r="B19" s="172"/>
      <c r="C19" s="208"/>
      <c r="D19" s="190">
        <v>-0.01</v>
      </c>
      <c r="E19" s="116"/>
      <c r="F19" s="116">
        <v>-0.01</v>
      </c>
      <c r="G19" s="191"/>
      <c r="H19" s="190">
        <f>COUNTIFS(наценка7[Лифт],D19,наценка7[Тип кв],H$3)</f>
        <v>36</v>
      </c>
      <c r="I19" s="116">
        <f>COUNTIFS(наценка7[Лифт],E19,наценка7[Тип кв],I$3)</f>
        <v>0</v>
      </c>
      <c r="J19" s="116">
        <f>COUNTIFS(наценка7[Лифт],F19,наценка7[Тип кв],J$3)</f>
        <v>12</v>
      </c>
      <c r="K19" s="116">
        <f>COUNTIFS(наценка7[Лифт],G19,наценка7[Тип кв],K$3)</f>
        <v>0</v>
      </c>
      <c r="L19" s="237">
        <f t="shared" si="0"/>
        <v>48</v>
      </c>
      <c r="M19" s="245">
        <f>IF(D19="","",M$2*D19)</f>
        <v>-1397.3</v>
      </c>
      <c r="N19" s="246" t="str">
        <f>IF(E19="","",N$2*E19)</f>
        <v/>
      </c>
      <c r="O19" s="246">
        <f t="shared" ref="O19" si="12">IF(F19="","",O$2*F19)</f>
        <v>-1130.3</v>
      </c>
      <c r="P19" s="247" t="str">
        <f t="shared" ref="P19" si="13">IF(G19="","",P$2*G19)</f>
        <v/>
      </c>
      <c r="Q19" s="239">
        <f t="shared" ref="Q19:U22" si="14">H19/H$2</f>
        <v>0.6</v>
      </c>
      <c r="R19" s="200">
        <f t="shared" si="14"/>
        <v>0</v>
      </c>
      <c r="S19" s="200">
        <f t="shared" si="14"/>
        <v>9.375E-2</v>
      </c>
      <c r="T19" s="200">
        <f t="shared" si="14"/>
        <v>0</v>
      </c>
      <c r="U19" s="234">
        <f t="shared" si="14"/>
        <v>0.16666666666666666</v>
      </c>
    </row>
    <row r="20" spans="1:33" s="102" customFormat="1" ht="15.75" x14ac:dyDescent="0.25">
      <c r="A20" s="217" t="s">
        <v>103</v>
      </c>
      <c r="B20" s="172"/>
      <c r="C20" s="208"/>
      <c r="D20" s="187">
        <v>-0.01</v>
      </c>
      <c r="E20" s="173"/>
      <c r="F20" s="116">
        <v>-0.02</v>
      </c>
      <c r="G20" s="188"/>
      <c r="H20" s="187">
        <f>COUNTIFS(наценка7[Без лоджий],D20,наценка7[Тип кв],H$3)</f>
        <v>60</v>
      </c>
      <c r="I20" s="173">
        <f>COUNTIFS(наценка7[Без лоджий],E20,наценка7[Тип кв],I$3)</f>
        <v>0</v>
      </c>
      <c r="J20" s="173">
        <f>COUNTIFS(наценка7[Без лоджий],F20,наценка7[Тип кв],J$3)</f>
        <v>3</v>
      </c>
      <c r="K20" s="173">
        <f>COUNTIFS(наценка7[Без лоджий],G20,наценка7[Тип кв],K$3)</f>
        <v>0</v>
      </c>
      <c r="L20" s="238">
        <f t="shared" ref="L20" si="15">SUM(H20:K20)</f>
        <v>63</v>
      </c>
      <c r="M20" s="248">
        <f t="shared" ref="M20:M22" si="16">IF(D20="","",M$2*D20)</f>
        <v>-1397.3</v>
      </c>
      <c r="N20" s="244" t="str">
        <f t="shared" ref="N20:N22" si="17">IF(E20="","",N$2*E20)</f>
        <v/>
      </c>
      <c r="O20" s="244">
        <f t="shared" ref="O20:O22" si="18">IF(F20="","",O$2*F20)</f>
        <v>-2260.6</v>
      </c>
      <c r="P20" s="249" t="str">
        <f t="shared" ref="P20:P22" si="19">IF(G20="","",P$2*G20)</f>
        <v/>
      </c>
      <c r="Q20" s="240">
        <f t="shared" si="14"/>
        <v>1</v>
      </c>
      <c r="R20" s="179">
        <f t="shared" si="14"/>
        <v>0</v>
      </c>
      <c r="S20" s="179">
        <f t="shared" si="14"/>
        <v>2.34375E-2</v>
      </c>
      <c r="T20" s="179">
        <f t="shared" si="14"/>
        <v>0</v>
      </c>
      <c r="U20" s="235">
        <f t="shared" si="14"/>
        <v>0.21875</v>
      </c>
    </row>
    <row r="21" spans="1:33" s="102" customFormat="1" ht="15.75" x14ac:dyDescent="0.25">
      <c r="A21" s="217" t="s">
        <v>120</v>
      </c>
      <c r="B21" s="225"/>
      <c r="C21" s="226"/>
      <c r="D21" s="187">
        <v>-0.01</v>
      </c>
      <c r="E21" s="173"/>
      <c r="F21" s="116">
        <v>-0.01</v>
      </c>
      <c r="G21" s="188"/>
      <c r="H21" s="187">
        <f>COUNTIFS(наценка7[Урезанное],D21,наценка7[Тип кв],H$3)</f>
        <v>11</v>
      </c>
      <c r="I21" s="173">
        <f>COUNTIFS(наценка7[Урезанное],E21,наценка7[Тип кв],I$3)</f>
        <v>0</v>
      </c>
      <c r="J21" s="173">
        <f>COUNTIFS(наценка7[Урезанное],F21,наценка7[Тип кв],J$3)</f>
        <v>30</v>
      </c>
      <c r="K21" s="173">
        <f>COUNTIFS(наценка7[Урезанное],G21,наценка7[Тип кв],K$3)</f>
        <v>8</v>
      </c>
      <c r="L21" s="238">
        <f t="shared" ref="L21" si="20">SUM(H21:K21)</f>
        <v>49</v>
      </c>
      <c r="M21" s="248">
        <f t="shared" si="16"/>
        <v>-1397.3</v>
      </c>
      <c r="N21" s="244" t="str">
        <f t="shared" si="17"/>
        <v/>
      </c>
      <c r="O21" s="244">
        <f t="shared" si="18"/>
        <v>-1130.3</v>
      </c>
      <c r="P21" s="249" t="str">
        <f t="shared" si="19"/>
        <v/>
      </c>
      <c r="Q21" s="240">
        <f t="shared" si="14"/>
        <v>0.18333333333333332</v>
      </c>
      <c r="R21" s="179">
        <f t="shared" si="14"/>
        <v>0</v>
      </c>
      <c r="S21" s="179">
        <f t="shared" si="14"/>
        <v>0.234375</v>
      </c>
      <c r="T21" s="179">
        <f t="shared" si="14"/>
        <v>1</v>
      </c>
      <c r="U21" s="235">
        <f t="shared" si="14"/>
        <v>0.1701388888888889</v>
      </c>
    </row>
    <row r="22" spans="1:33" s="102" customFormat="1" ht="16.5" thickBot="1" x14ac:dyDescent="0.3">
      <c r="A22" s="218" t="s">
        <v>95</v>
      </c>
      <c r="B22" s="219"/>
      <c r="C22" s="220"/>
      <c r="D22" s="221"/>
      <c r="E22" s="222">
        <v>-0.02</v>
      </c>
      <c r="F22" s="222">
        <v>-0.03</v>
      </c>
      <c r="G22" s="223"/>
      <c r="H22" s="189">
        <f>COUNTIFS(наценка7[Большая S],D22,наценка7[Тип кв],H$3)</f>
        <v>0</v>
      </c>
      <c r="I22" s="109">
        <f>COUNTIFS(наценка7[Большая S],E22,наценка7[Тип кв],I$3)</f>
        <v>36</v>
      </c>
      <c r="J22" s="109">
        <f>COUNTIFS(наценка7[Большая S],F22,наценка7[Тип кв],J$3)</f>
        <v>13</v>
      </c>
      <c r="K22" s="109">
        <f>COUNTIFS(наценка7[Большая S],G22,наценка7[Тип кв],K$3)</f>
        <v>0</v>
      </c>
      <c r="L22" s="220">
        <f t="shared" ref="L22" si="21">SUM(H22:K22)</f>
        <v>49</v>
      </c>
      <c r="M22" s="250" t="str">
        <f t="shared" si="16"/>
        <v/>
      </c>
      <c r="N22" s="251">
        <f t="shared" si="17"/>
        <v>-2385.2000000000003</v>
      </c>
      <c r="O22" s="251">
        <f t="shared" si="18"/>
        <v>-3390.9</v>
      </c>
      <c r="P22" s="252" t="str">
        <f t="shared" si="19"/>
        <v/>
      </c>
      <c r="Q22" s="241">
        <f t="shared" si="14"/>
        <v>0</v>
      </c>
      <c r="R22" s="118">
        <f t="shared" si="14"/>
        <v>0.39130434782608697</v>
      </c>
      <c r="S22" s="118">
        <f t="shared" si="14"/>
        <v>0.1015625</v>
      </c>
      <c r="T22" s="118">
        <f t="shared" si="14"/>
        <v>0</v>
      </c>
      <c r="U22" s="236">
        <f t="shared" si="14"/>
        <v>0.1701388888888889</v>
      </c>
    </row>
    <row r="23" spans="1:33" s="134" customFormat="1" ht="15.75" customHeight="1" x14ac:dyDescent="0.25">
      <c r="A23" s="135"/>
      <c r="B23" s="130"/>
      <c r="C23" s="130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2"/>
      <c r="R23" s="132"/>
      <c r="S23" s="132"/>
      <c r="T23" s="132"/>
      <c r="U23" s="133"/>
      <c r="W23" s="108"/>
      <c r="X23" s="108"/>
      <c r="Y23" s="108"/>
      <c r="Z23" s="108"/>
      <c r="AA23" s="108"/>
      <c r="AB23" s="108"/>
      <c r="AC23" s="108"/>
      <c r="AD23"/>
      <c r="AE23"/>
      <c r="AF23"/>
      <c r="AG23"/>
    </row>
    <row r="24" spans="1:33" s="134" customFormat="1" x14ac:dyDescent="0.25">
      <c r="L24" s="131"/>
      <c r="M24" s="131"/>
      <c r="N24" s="131"/>
      <c r="O24" s="131"/>
      <c r="P24" s="131"/>
      <c r="Q24" s="132"/>
      <c r="R24" s="132"/>
      <c r="S24" s="132"/>
      <c r="T24" s="132"/>
      <c r="U24" s="133"/>
      <c r="W24" s="108"/>
      <c r="X24" s="108"/>
      <c r="Y24" s="108"/>
      <c r="Z24" s="108"/>
      <c r="AA24" s="108"/>
      <c r="AB24" s="108"/>
      <c r="AC24" s="108"/>
      <c r="AD24"/>
      <c r="AE24"/>
      <c r="AF24"/>
      <c r="AG24"/>
    </row>
    <row r="26" spans="1:33" s="108" customFormat="1" x14ac:dyDescent="0.25">
      <c r="L26" s="21"/>
      <c r="M26" s="21"/>
      <c r="N26" s="21"/>
      <c r="O26" s="21"/>
      <c r="P26" s="21"/>
      <c r="AD26"/>
      <c r="AE26"/>
      <c r="AF26"/>
      <c r="AG26"/>
    </row>
    <row r="27" spans="1:33" x14ac:dyDescent="0.25">
      <c r="D27" s="44">
        <f>D2*$AA$1</f>
        <v>139730</v>
      </c>
    </row>
    <row r="29" spans="1:33" x14ac:dyDescent="0.25">
      <c r="S29" s="174"/>
    </row>
    <row r="30" spans="1:33" x14ac:dyDescent="0.25">
      <c r="S30" s="182"/>
    </row>
    <row r="31" spans="1:33" x14ac:dyDescent="0.25">
      <c r="S31" s="182"/>
    </row>
    <row r="32" spans="1:33" x14ac:dyDescent="0.25">
      <c r="S32" s="182"/>
    </row>
    <row r="33" spans="1:19" x14ac:dyDescent="0.25">
      <c r="S33" s="182"/>
    </row>
    <row r="35" spans="1:19" x14ac:dyDescent="0.25">
      <c r="A35"/>
      <c r="B35"/>
      <c r="C35"/>
    </row>
    <row r="36" spans="1:19" x14ac:dyDescent="0.25">
      <c r="A36"/>
      <c r="B36"/>
      <c r="C36"/>
      <c r="D36"/>
      <c r="E36"/>
    </row>
    <row r="37" spans="1:19" x14ac:dyDescent="0.25">
      <c r="A37"/>
      <c r="B37"/>
      <c r="C37"/>
      <c r="D37"/>
      <c r="E37"/>
    </row>
    <row r="38" spans="1:19" x14ac:dyDescent="0.25">
      <c r="A38"/>
      <c r="B38"/>
      <c r="C38"/>
      <c r="D38"/>
      <c r="E38"/>
    </row>
    <row r="39" spans="1:19" x14ac:dyDescent="0.25">
      <c r="A39"/>
      <c r="B39"/>
      <c r="C39"/>
      <c r="D39"/>
      <c r="E39"/>
    </row>
    <row r="40" spans="1:19" x14ac:dyDescent="0.25">
      <c r="A40"/>
      <c r="B40"/>
      <c r="C40"/>
      <c r="D40"/>
      <c r="E40"/>
    </row>
    <row r="41" spans="1:19" x14ac:dyDescent="0.25">
      <c r="A41"/>
      <c r="B41"/>
      <c r="C41"/>
      <c r="D41"/>
      <c r="E41"/>
    </row>
    <row r="42" spans="1:19" x14ac:dyDescent="0.25">
      <c r="A42"/>
      <c r="B42"/>
      <c r="C42"/>
      <c r="D42"/>
      <c r="E42"/>
    </row>
    <row r="43" spans="1:19" x14ac:dyDescent="0.25">
      <c r="A43"/>
      <c r="B43"/>
      <c r="C43"/>
      <c r="D43"/>
      <c r="E43"/>
    </row>
    <row r="44" spans="1:19" x14ac:dyDescent="0.25">
      <c r="A44"/>
      <c r="B44"/>
      <c r="C44"/>
      <c r="D44"/>
      <c r="E44"/>
    </row>
    <row r="45" spans="1:19" x14ac:dyDescent="0.25">
      <c r="A45"/>
      <c r="B45"/>
      <c r="C45"/>
      <c r="D45"/>
      <c r="E45"/>
    </row>
    <row r="46" spans="1:19" x14ac:dyDescent="0.25">
      <c r="A46"/>
      <c r="B46"/>
      <c r="C46"/>
      <c r="D46"/>
      <c r="E46"/>
    </row>
    <row r="47" spans="1:19" x14ac:dyDescent="0.25">
      <c r="A47"/>
      <c r="B47"/>
      <c r="C47"/>
      <c r="D47"/>
      <c r="E47"/>
    </row>
    <row r="48" spans="1:19" x14ac:dyDescent="0.25">
      <c r="A48"/>
      <c r="B48"/>
      <c r="C48"/>
      <c r="D48"/>
      <c r="E48"/>
    </row>
    <row r="49" spans="1:5" x14ac:dyDescent="0.25">
      <c r="A49"/>
      <c r="B49"/>
      <c r="C49"/>
      <c r="D49"/>
      <c r="E49"/>
    </row>
    <row r="50" spans="1:5" x14ac:dyDescent="0.25">
      <c r="A50"/>
      <c r="B50"/>
      <c r="C50"/>
      <c r="D50"/>
      <c r="E50"/>
    </row>
    <row r="51" spans="1:5" x14ac:dyDescent="0.25">
      <c r="A51"/>
      <c r="B51"/>
      <c r="C51"/>
      <c r="D51"/>
      <c r="E51"/>
    </row>
    <row r="52" spans="1:5" x14ac:dyDescent="0.25">
      <c r="A52"/>
      <c r="B52"/>
      <c r="C52"/>
      <c r="D52"/>
      <c r="E52"/>
    </row>
    <row r="53" spans="1:5" x14ac:dyDescent="0.25">
      <c r="A53"/>
      <c r="B53"/>
      <c r="C53"/>
      <c r="D53"/>
      <c r="E53"/>
    </row>
    <row r="54" spans="1:5" x14ac:dyDescent="0.25">
      <c r="A54"/>
      <c r="B54"/>
      <c r="C54"/>
      <c r="D54"/>
      <c r="E54"/>
    </row>
    <row r="55" spans="1:5" x14ac:dyDescent="0.25">
      <c r="A55"/>
      <c r="B55"/>
      <c r="C55"/>
      <c r="D55"/>
      <c r="E55"/>
    </row>
    <row r="56" spans="1:5" x14ac:dyDescent="0.25">
      <c r="A56"/>
      <c r="B56"/>
      <c r="C56"/>
      <c r="D56"/>
      <c r="E56"/>
    </row>
    <row r="57" spans="1:5" x14ac:dyDescent="0.25">
      <c r="A57"/>
      <c r="B57"/>
      <c r="C57"/>
      <c r="D57"/>
      <c r="E57"/>
    </row>
    <row r="58" spans="1:5" x14ac:dyDescent="0.25">
      <c r="A58"/>
      <c r="B58"/>
      <c r="C58"/>
      <c r="D58"/>
      <c r="E58"/>
    </row>
    <row r="59" spans="1:5" x14ac:dyDescent="0.25">
      <c r="A59"/>
      <c r="B59"/>
      <c r="C59"/>
      <c r="D59"/>
      <c r="E59"/>
    </row>
    <row r="60" spans="1:5" x14ac:dyDescent="0.25">
      <c r="A60"/>
      <c r="B60"/>
      <c r="C60"/>
      <c r="D60"/>
      <c r="E60"/>
    </row>
    <row r="61" spans="1:5" x14ac:dyDescent="0.25">
      <c r="A61"/>
      <c r="B61"/>
      <c r="C61"/>
      <c r="D61"/>
      <c r="E61"/>
    </row>
    <row r="62" spans="1:5" x14ac:dyDescent="0.25">
      <c r="A62"/>
      <c r="B62"/>
      <c r="C62"/>
      <c r="D62"/>
      <c r="E62"/>
    </row>
  </sheetData>
  <mergeCells count="7">
    <mergeCell ref="A18:C18"/>
    <mergeCell ref="M1:P1"/>
    <mergeCell ref="Q1:U1"/>
    <mergeCell ref="H1:L1"/>
    <mergeCell ref="W2:AF2"/>
    <mergeCell ref="D3:G3"/>
    <mergeCell ref="A1:C2"/>
  </mergeCells>
  <phoneticPr fontId="6" type="noConversion"/>
  <conditionalFormatting sqref="I18:K18 H10:P12 L24:P24 H14:P17 Q22:U24 H22:P23 T5:U8 H4:L4 M2:P2 H20:U21 H5:Q8 Q4:U4 H19:L19 Q19:U19">
    <cfRule type="cellIs" dxfId="45" priority="23" operator="equal">
      <formula>0</formula>
    </cfRule>
  </conditionalFormatting>
  <conditionalFormatting sqref="R18:T18 Q10:Q12 Q17:U17 Q14:Q16 T14:U16 T10:U12">
    <cfRule type="cellIs" dxfId="44" priority="22" operator="equal">
      <formula>0</formula>
    </cfRule>
  </conditionalFormatting>
  <conditionalFormatting sqref="H9:P9">
    <cfRule type="cellIs" dxfId="43" priority="11" operator="equal">
      <formula>0</formula>
    </cfRule>
  </conditionalFormatting>
  <conditionalFormatting sqref="Q9 T9:U9">
    <cfRule type="cellIs" dxfId="42" priority="10" operator="equal">
      <formula>0</formula>
    </cfRule>
  </conditionalFormatting>
  <conditionalFormatting sqref="H13:P13">
    <cfRule type="cellIs" dxfId="41" priority="9" operator="equal">
      <formula>0</formula>
    </cfRule>
  </conditionalFormatting>
  <conditionalFormatting sqref="Q13 T5:T16 T13:U13">
    <cfRule type="cellIs" dxfId="40" priority="8" operator="equal">
      <formula>0</formula>
    </cfRule>
  </conditionalFormatting>
  <conditionalFormatting sqref="Q4:U17">
    <cfRule type="cellIs" dxfId="39" priority="7" operator="equal">
      <formula>0</formula>
    </cfRule>
  </conditionalFormatting>
  <conditionalFormatting sqref="R10:S12 R14:S16">
    <cfRule type="cellIs" dxfId="38" priority="6" operator="equal">
      <formula>0</formula>
    </cfRule>
  </conditionalFormatting>
  <conditionalFormatting sqref="R9:S9">
    <cfRule type="cellIs" dxfId="37" priority="5" operator="equal">
      <formula>0</formula>
    </cfRule>
  </conditionalFormatting>
  <conditionalFormatting sqref="Q4:U17">
    <cfRule type="cellIs" dxfId="36" priority="4" operator="equal">
      <formula>0</formula>
    </cfRule>
  </conditionalFormatting>
  <conditionalFormatting sqref="N18:P18">
    <cfRule type="cellIs" dxfId="35" priority="3" operator="equal">
      <formula>0</formula>
    </cfRule>
  </conditionalFormatting>
  <conditionalFormatting sqref="M19:P19">
    <cfRule type="cellIs" dxfId="34" priority="2" operator="equal">
      <formula>0</formula>
    </cfRule>
  </conditionalFormatting>
  <conditionalFormatting sqref="U4:U17 U19:U22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scale="37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F6"/>
  <sheetViews>
    <sheetView workbookViewId="0">
      <selection activeCell="G5" sqref="G5"/>
    </sheetView>
  </sheetViews>
  <sheetFormatPr defaultRowHeight="15" x14ac:dyDescent="0.25"/>
  <cols>
    <col min="1" max="1" width="11.5703125" bestFit="1" customWidth="1"/>
    <col min="2" max="2" width="11.28515625" customWidth="1"/>
    <col min="3" max="3" width="18.140625" bestFit="1" customWidth="1"/>
    <col min="4" max="4" width="21" bestFit="1" customWidth="1"/>
    <col min="5" max="5" width="15.28515625" customWidth="1"/>
    <col min="6" max="9" width="15" customWidth="1"/>
  </cols>
  <sheetData>
    <row r="1" spans="1:6" x14ac:dyDescent="0.25">
      <c r="A1" s="73" t="s">
        <v>15</v>
      </c>
      <c r="B1" s="70">
        <v>1</v>
      </c>
      <c r="C1" s="70">
        <v>2</v>
      </c>
      <c r="D1" s="70">
        <v>3</v>
      </c>
      <c r="E1" s="79" t="s">
        <v>56</v>
      </c>
      <c r="F1" s="80" t="s">
        <v>70</v>
      </c>
    </row>
    <row r="2" spans="1:6" x14ac:dyDescent="0.25">
      <c r="A2" s="43">
        <v>0</v>
      </c>
      <c r="B2" s="42">
        <f>COUNTIFS(Д402[Секция],B$1,Д402[Тип кв],$A2)</f>
        <v>18</v>
      </c>
      <c r="C2" s="42">
        <f>COUNTIFS(Д402[Секция],C$1,Д402[Тип кв],$A2)</f>
        <v>24</v>
      </c>
      <c r="D2" s="42">
        <f>COUNTIFS(Д402[Секция],D$1,Д402[Тип кв],$A2)</f>
        <v>18</v>
      </c>
      <c r="E2" s="81">
        <f>SUM(B2:D2)</f>
        <v>60</v>
      </c>
      <c r="F2" s="77">
        <f t="shared" ref="F2" si="0">E2/$E$6</f>
        <v>0.26315789473684209</v>
      </c>
    </row>
    <row r="3" spans="1:6" x14ac:dyDescent="0.25">
      <c r="A3" s="43">
        <v>1</v>
      </c>
      <c r="B3" s="42">
        <f>COUNTIFS(Д402[Секция],B$1,Д402[Тип кв],$A3)</f>
        <v>36</v>
      </c>
      <c r="C3" s="42">
        <f>COUNTIFS(Д402[Секция],C$1,Д402[Тип кв],$A3)</f>
        <v>12</v>
      </c>
      <c r="D3" s="42">
        <f>COUNTIFS(Д402[Секция],D$1,Д402[Тип кв],$A3)</f>
        <v>44</v>
      </c>
      <c r="E3" s="81">
        <f>SUM(B3:D3)</f>
        <v>92</v>
      </c>
      <c r="F3" s="77">
        <f t="shared" ref="F3:F6" si="1">E3/$E$6</f>
        <v>0.40350877192982454</v>
      </c>
    </row>
    <row r="4" spans="1:6" x14ac:dyDescent="0.25">
      <c r="A4" s="43">
        <v>2</v>
      </c>
      <c r="B4" s="42">
        <f>COUNTIFS(Д402[Секция],B$1,Д402[Тип кв],$A4)</f>
        <v>54</v>
      </c>
      <c r="C4" s="42">
        <f>COUNTIFS(Д402[Секция],C$1,Д402[Тип кв],$A4)</f>
        <v>36</v>
      </c>
      <c r="D4" s="42">
        <f>COUNTIFS(Д402[Секция],D$1,Д402[Тип кв],$A4)</f>
        <v>38</v>
      </c>
      <c r="E4" s="81">
        <f>SUM(B4:D4)</f>
        <v>128</v>
      </c>
      <c r="F4" s="77">
        <f t="shared" si="1"/>
        <v>0.56140350877192979</v>
      </c>
    </row>
    <row r="5" spans="1:6" ht="15.75" thickBot="1" x14ac:dyDescent="0.3">
      <c r="A5" s="75">
        <v>3</v>
      </c>
      <c r="B5" s="76">
        <f>COUNTIFS(Д402[Секция],B$1,Д402[Тип кв],$A5)</f>
        <v>0</v>
      </c>
      <c r="C5" s="76">
        <f>COUNTIFS(Д402[Секция],C$1,Д402[Тип кв],$A5)</f>
        <v>0</v>
      </c>
      <c r="D5" s="76">
        <f>COUNTIFS(Д402[Секция],D$1,Д402[Тип кв],$A5)</f>
        <v>8</v>
      </c>
      <c r="E5" s="82">
        <f>SUM(B5:D5)</f>
        <v>8</v>
      </c>
      <c r="F5" s="78">
        <f t="shared" si="1"/>
        <v>3.5087719298245612E-2</v>
      </c>
    </row>
    <row r="6" spans="1:6" ht="15.75" thickBot="1" x14ac:dyDescent="0.3">
      <c r="A6" s="74" t="s">
        <v>62</v>
      </c>
      <c r="B6" s="71">
        <f>SUM(B3:B5)</f>
        <v>90</v>
      </c>
      <c r="C6" s="71">
        <f>SUM(C3:C5)</f>
        <v>48</v>
      </c>
      <c r="D6" s="71">
        <f>SUM(D3:D5)</f>
        <v>90</v>
      </c>
      <c r="E6" s="72">
        <f>SUM(B6:D6)</f>
        <v>228</v>
      </c>
      <c r="F6" s="91">
        <f t="shared" si="1"/>
        <v>1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B2:G28"/>
  <sheetViews>
    <sheetView workbookViewId="0">
      <selection activeCell="L29" sqref="L29"/>
    </sheetView>
  </sheetViews>
  <sheetFormatPr defaultColWidth="9.140625" defaultRowHeight="15" x14ac:dyDescent="0.25"/>
  <cols>
    <col min="1" max="1" width="3.28515625" style="1" customWidth="1"/>
    <col min="2" max="2" width="22.5703125" style="61" customWidth="1"/>
    <col min="3" max="3" width="9.85546875" style="61" customWidth="1"/>
    <col min="4" max="4" width="7.5703125" style="61" customWidth="1"/>
    <col min="5" max="6" width="9.140625" style="61"/>
    <col min="7" max="7" width="10.28515625" style="61" bestFit="1" customWidth="1"/>
    <col min="8" max="8" width="15.5703125" style="1" customWidth="1"/>
    <col min="9" max="9" width="16.5703125" style="1" customWidth="1"/>
    <col min="10" max="16384" width="9.140625" style="1"/>
  </cols>
  <sheetData>
    <row r="2" spans="2:7" x14ac:dyDescent="0.25">
      <c r="B2" s="354">
        <v>1</v>
      </c>
      <c r="C2" s="352" t="s">
        <v>7</v>
      </c>
      <c r="D2" s="353"/>
      <c r="E2" s="353"/>
      <c r="F2" s="353"/>
      <c r="G2" s="351" t="s">
        <v>8</v>
      </c>
    </row>
    <row r="3" spans="2:7" x14ac:dyDescent="0.25">
      <c r="B3" s="355"/>
      <c r="C3" s="63">
        <v>0</v>
      </c>
      <c r="D3" s="64">
        <v>1</v>
      </c>
      <c r="E3" s="64">
        <v>2</v>
      </c>
      <c r="F3" s="64">
        <v>3</v>
      </c>
      <c r="G3" s="351"/>
    </row>
    <row r="4" spans="2:7" x14ac:dyDescent="0.25">
      <c r="B4" s="60" t="s">
        <v>9</v>
      </c>
      <c r="C4" s="60">
        <f>COUNTIFS(Д402[Секция], $B$2, Д402[Тип кв], C$3,Д402[Отделка],$B4)</f>
        <v>16</v>
      </c>
      <c r="D4" s="60">
        <f>COUNTIFS(Д402[Секция], $B$2, Д402[Тип кв], D$3,Д402[Отделка],$B4)</f>
        <v>30</v>
      </c>
      <c r="E4" s="60">
        <f>COUNTIFS(Д402[Секция], $B$2, Д402[Тип кв], E$3,Д402[Отделка],$B4)</f>
        <v>45</v>
      </c>
      <c r="F4" s="60">
        <f>COUNTIFS(Д402[Секция], $B$2, Д402[Тип кв], F$3,Д402[Отделка],$B4)</f>
        <v>0</v>
      </c>
      <c r="G4" s="60">
        <f>F4+E4+D4+C4</f>
        <v>91</v>
      </c>
    </row>
    <row r="5" spans="2:7" x14ac:dyDescent="0.25">
      <c r="B5" s="60" t="s">
        <v>10</v>
      </c>
      <c r="C5" s="60">
        <f>COUNTIFS(Д402[Секция], $B$2, Д402[Тип кв], C$3,Д402[Отделка],$B5)</f>
        <v>0</v>
      </c>
      <c r="D5" s="60">
        <f>COUNTIFS(Д402[Секция], $B$2, Д402[Тип кв], D$3,Д402[Отделка],$B5)</f>
        <v>0</v>
      </c>
      <c r="E5" s="60">
        <f>COUNTIFS(Д402[Секция], $B$2, Д402[Тип кв], E$3,Д402[Отделка],$B5)</f>
        <v>0</v>
      </c>
      <c r="F5" s="60">
        <f>COUNTIFS(Д402[Секция], $B$2, Д402[Тип кв], F$3,Д402[Отделка],$B5)</f>
        <v>0</v>
      </c>
      <c r="G5" s="60">
        <f>F5+E5+D5+C5</f>
        <v>0</v>
      </c>
    </row>
    <row r="6" spans="2:7" x14ac:dyDescent="0.25">
      <c r="B6" s="60" t="s">
        <v>11</v>
      </c>
      <c r="C6" s="60">
        <f>COUNTIFS(Д402[Секция], $B$2, Д402[Тип кв], C$3,Д402[Отделка],$B6)</f>
        <v>2</v>
      </c>
      <c r="D6" s="60">
        <f>COUNTIFS(Д402[Секция], $B$2, Д402[Тип кв], D$3,Д402[Отделка],$B6)</f>
        <v>3</v>
      </c>
      <c r="E6" s="60">
        <f>COUNTIFS(Д402[Секция], $B$2, Д402[Тип кв], E$3,Д402[Отделка],$B6)</f>
        <v>9</v>
      </c>
      <c r="F6" s="60">
        <f>COUNTIFS(Д402[Секция], $B$2, Д402[Тип кв], F$3,Д402[Отделка],$B6)</f>
        <v>0</v>
      </c>
      <c r="G6" s="60">
        <f>F6+E6+D6+C6</f>
        <v>14</v>
      </c>
    </row>
    <row r="7" spans="2:7" x14ac:dyDescent="0.25">
      <c r="B7" s="62" t="s">
        <v>69</v>
      </c>
      <c r="C7" s="62">
        <f>SUM(C4:C6)</f>
        <v>18</v>
      </c>
      <c r="D7" s="62">
        <f>SUM(D4:D6)</f>
        <v>33</v>
      </c>
      <c r="E7" s="62">
        <f>SUM(E4:E6)</f>
        <v>54</v>
      </c>
      <c r="F7" s="62">
        <f>SUM(F4:F6)</f>
        <v>0</v>
      </c>
      <c r="G7" s="62">
        <f>F7+E7+D7+C7</f>
        <v>105</v>
      </c>
    </row>
    <row r="9" spans="2:7" x14ac:dyDescent="0.25">
      <c r="B9" s="354">
        <v>2</v>
      </c>
      <c r="C9" s="352" t="s">
        <v>7</v>
      </c>
      <c r="D9" s="353"/>
      <c r="E9" s="353"/>
      <c r="F9" s="353"/>
      <c r="G9" s="351" t="s">
        <v>8</v>
      </c>
    </row>
    <row r="10" spans="2:7" x14ac:dyDescent="0.25">
      <c r="B10" s="355"/>
      <c r="C10" s="63">
        <v>0</v>
      </c>
      <c r="D10" s="64">
        <v>1</v>
      </c>
      <c r="E10" s="64">
        <v>2</v>
      </c>
      <c r="F10" s="64">
        <v>3</v>
      </c>
      <c r="G10" s="351"/>
    </row>
    <row r="11" spans="2:7" x14ac:dyDescent="0.25">
      <c r="B11" s="60" t="s">
        <v>9</v>
      </c>
      <c r="C11" s="60">
        <f>COUNTIFS(Д402[Секция], $B$9, Д402[Тип кв], C$10,Д402[Отделка],$B11)</f>
        <v>20</v>
      </c>
      <c r="D11" s="60">
        <f>COUNTIFS(Д402[Секция], $B$9, Д402[Тип кв], D$10,Д402[Отделка],$B11)</f>
        <v>9</v>
      </c>
      <c r="E11" s="60">
        <f>COUNTIFS(Д402[Секция], $B$9, Д402[Тип кв], E$10,Д402[Отделка],$B11)</f>
        <v>26</v>
      </c>
      <c r="F11" s="60">
        <f>COUNTIFS(Д402[Секция], $B$9, Д402[Тип кв], F$10,Д402[Отделка],$B11)</f>
        <v>0</v>
      </c>
      <c r="G11" s="60">
        <f>F11+E11+D11+C11</f>
        <v>55</v>
      </c>
    </row>
    <row r="12" spans="2:7" x14ac:dyDescent="0.25">
      <c r="B12" s="60" t="s">
        <v>10</v>
      </c>
      <c r="C12" s="60">
        <f>COUNTIFS(Д402[Секция], $B$9, Д402[Тип кв], C$10,Д402[Отделка],$B12)</f>
        <v>0</v>
      </c>
      <c r="D12" s="60">
        <f>COUNTIFS(Д402[Секция], $B$9, Д402[Тип кв], D$10,Д402[Отделка],$B12)</f>
        <v>0</v>
      </c>
      <c r="E12" s="60">
        <f>COUNTIFS(Д402[Секция], $B$9, Д402[Тип кв], E$10,Д402[Отделка],$B12)</f>
        <v>0</v>
      </c>
      <c r="F12" s="60">
        <f>COUNTIFS(Д402[Секция], $B$9, Д402[Тип кв], F$10,Д402[Отделка],$B12)</f>
        <v>0</v>
      </c>
      <c r="G12" s="60">
        <f>F12+E12+D12+C12</f>
        <v>0</v>
      </c>
    </row>
    <row r="13" spans="2:7" x14ac:dyDescent="0.25">
      <c r="B13" s="60" t="s">
        <v>11</v>
      </c>
      <c r="C13" s="60">
        <f>COUNTIFS(Д402[Секция], $B$9, Д402[Тип кв], C$10,Д402[Отделка],$B13)</f>
        <v>4</v>
      </c>
      <c r="D13" s="60">
        <f>COUNTIFS(Д402[Секция], $B$9, Д402[Тип кв], D$10,Д402[Отделка],$B13)</f>
        <v>3</v>
      </c>
      <c r="E13" s="60">
        <f>COUNTIFS(Д402[Секция], $B$9, Д402[Тип кв], E$10,Д402[Отделка],$B13)</f>
        <v>6</v>
      </c>
      <c r="F13" s="60">
        <f>COUNTIFS(Д402[Секция], $B$9, Д402[Тип кв], F$10,Д402[Отделка],$B13)</f>
        <v>0</v>
      </c>
      <c r="G13" s="60">
        <f>F13+E13+D13+C13</f>
        <v>13</v>
      </c>
    </row>
    <row r="14" spans="2:7" x14ac:dyDescent="0.25">
      <c r="B14" s="62" t="s">
        <v>69</v>
      </c>
      <c r="C14" s="62">
        <f>SUM(C11:C13)</f>
        <v>24</v>
      </c>
      <c r="D14" s="62">
        <f>SUM(D11:D13)</f>
        <v>12</v>
      </c>
      <c r="E14" s="62">
        <f>SUM(E11:E13)</f>
        <v>32</v>
      </c>
      <c r="F14" s="62">
        <f>SUM(F11:F13)</f>
        <v>0</v>
      </c>
      <c r="G14" s="62">
        <f>F14+E14+D14+C14</f>
        <v>68</v>
      </c>
    </row>
    <row r="16" spans="2:7" x14ac:dyDescent="0.25">
      <c r="B16" s="354">
        <v>3</v>
      </c>
      <c r="C16" s="352" t="s">
        <v>7</v>
      </c>
      <c r="D16" s="353"/>
      <c r="E16" s="353"/>
      <c r="F16" s="353"/>
      <c r="G16" s="351" t="s">
        <v>8</v>
      </c>
    </row>
    <row r="17" spans="2:7" x14ac:dyDescent="0.25">
      <c r="B17" s="355"/>
      <c r="C17" s="63">
        <v>0</v>
      </c>
      <c r="D17" s="64">
        <v>1</v>
      </c>
      <c r="E17" s="64">
        <v>2</v>
      </c>
      <c r="F17" s="64">
        <v>3</v>
      </c>
      <c r="G17" s="351"/>
    </row>
    <row r="18" spans="2:7" x14ac:dyDescent="0.25">
      <c r="B18" s="60" t="s">
        <v>9</v>
      </c>
      <c r="C18" s="60">
        <f>COUNTIFS(Д402[Секция], $B$16, Д402[Тип кв], C$17,Д402[Отделка],$B18)</f>
        <v>16</v>
      </c>
      <c r="D18" s="60">
        <f>COUNTIFS(Д402[Секция], $B$16, Д402[Тип кв], D$17,Д402[Отделка],$B18)</f>
        <v>31</v>
      </c>
      <c r="E18" s="60">
        <f>COUNTIFS(Д402[Секция], $B$16, Д402[Тип кв], E$17,Д402[Отделка],$B18)</f>
        <v>30</v>
      </c>
      <c r="F18" s="60">
        <f>COUNTIFS(Д402[Секция], $B$16, Д402[Тип кв], F$17,Д402[Отделка],$B18)</f>
        <v>8</v>
      </c>
      <c r="G18" s="60">
        <f>F18+E18+D18+C18</f>
        <v>85</v>
      </c>
    </row>
    <row r="19" spans="2:7" x14ac:dyDescent="0.25">
      <c r="B19" s="60" t="s">
        <v>10</v>
      </c>
      <c r="C19" s="60">
        <f>COUNTIFS(Д402[Секция], $B$9, Д402[Тип кв], C$10,Д402[Отделка],$B19)</f>
        <v>0</v>
      </c>
      <c r="D19" s="60">
        <f>COUNTIFS(Д402[Секция], $B$9, Д402[Тип кв], D$10,Д402[Отделка],$B19)</f>
        <v>0</v>
      </c>
      <c r="E19" s="60">
        <f>COUNTIFS(Д402[Секция], $B$9, Д402[Тип кв], E$10,Д402[Отделка],$B19)</f>
        <v>0</v>
      </c>
      <c r="F19" s="60">
        <f>COUNTIFS(Д402[Секция], $B$9, Д402[Тип кв], F$10,Д402[Отделка],$B19)</f>
        <v>0</v>
      </c>
      <c r="G19" s="60">
        <f>F19+E19+D19+C19</f>
        <v>0</v>
      </c>
    </row>
    <row r="20" spans="2:7" x14ac:dyDescent="0.25">
      <c r="B20" s="60" t="s">
        <v>11</v>
      </c>
      <c r="C20" s="60">
        <f>COUNTIFS(Д402[Секция], $B$9, Д402[Тип кв], C$10,Д402[Отделка],$B20)</f>
        <v>4</v>
      </c>
      <c r="D20" s="60">
        <f>COUNTIFS(Д402[Секция], $B$9, Д402[Тип кв], D$10,Д402[Отделка],$B20)</f>
        <v>3</v>
      </c>
      <c r="E20" s="60">
        <f>COUNTIFS(Д402[Секция], $B$9, Д402[Тип кв], E$10,Д402[Отделка],$B20)</f>
        <v>6</v>
      </c>
      <c r="F20" s="60">
        <f>COUNTIFS(Д402[Секция], $B$9, Д402[Тип кв], F$10,Д402[Отделка],$B20)</f>
        <v>0</v>
      </c>
      <c r="G20" s="60">
        <f>F20+E20+D20+C20</f>
        <v>13</v>
      </c>
    </row>
    <row r="21" spans="2:7" x14ac:dyDescent="0.25">
      <c r="B21" s="62" t="s">
        <v>69</v>
      </c>
      <c r="C21" s="62">
        <f>SUM(C18:C20)</f>
        <v>20</v>
      </c>
      <c r="D21" s="62">
        <f>SUM(D18:D20)</f>
        <v>34</v>
      </c>
      <c r="E21" s="62">
        <f>SUM(E18:E20)</f>
        <v>36</v>
      </c>
      <c r="F21" s="62">
        <f>SUM(F18:F20)</f>
        <v>8</v>
      </c>
      <c r="G21" s="62">
        <f>F21+E21+D21+C21</f>
        <v>98</v>
      </c>
    </row>
    <row r="23" spans="2:7" x14ac:dyDescent="0.25">
      <c r="B23" s="354" t="s">
        <v>116</v>
      </c>
      <c r="C23" s="352" t="s">
        <v>7</v>
      </c>
      <c r="D23" s="353"/>
      <c r="E23" s="353"/>
      <c r="F23" s="353"/>
      <c r="G23" s="351" t="s">
        <v>8</v>
      </c>
    </row>
    <row r="24" spans="2:7" x14ac:dyDescent="0.25">
      <c r="B24" s="355"/>
      <c r="C24" s="63">
        <v>0</v>
      </c>
      <c r="D24" s="64">
        <v>1</v>
      </c>
      <c r="E24" s="64">
        <v>2</v>
      </c>
      <c r="F24" s="64">
        <v>3</v>
      </c>
      <c r="G24" s="351"/>
    </row>
    <row r="25" spans="2:7" x14ac:dyDescent="0.25">
      <c r="B25" s="60" t="s">
        <v>9</v>
      </c>
      <c r="C25" s="60">
        <f>COUNTIFS(Д402[Тип кв], C$3,Д402[Отделка],$B25)</f>
        <v>52</v>
      </c>
      <c r="D25" s="60">
        <f>COUNTIFS(Д402[Тип кв], D$3,Д402[Отделка],$B25)</f>
        <v>70</v>
      </c>
      <c r="E25" s="60">
        <f>COUNTIFS(Д402[Тип кв], E$3,Д402[Отделка],$B25)</f>
        <v>101</v>
      </c>
      <c r="F25" s="60">
        <f>COUNTIFS(Д402[Тип кв], F$3,Д402[Отделка],$B25)</f>
        <v>8</v>
      </c>
      <c r="G25" s="60">
        <f>F25+E25+D25+C25</f>
        <v>231</v>
      </c>
    </row>
    <row r="26" spans="2:7" x14ac:dyDescent="0.25">
      <c r="B26" s="60" t="s">
        <v>10</v>
      </c>
      <c r="C26" s="60">
        <f>COUNTIFS(Д402[Тип кв], C$3,Д402[Отделка],$B26)</f>
        <v>0</v>
      </c>
      <c r="D26" s="60">
        <f>COUNTIFS(Д402[Тип кв], D$3,Д402[Отделка],$B26)</f>
        <v>0</v>
      </c>
      <c r="E26" s="60">
        <f>COUNTIFS(Д402[Тип кв], E$3,Д402[Отделка],$B26)</f>
        <v>0</v>
      </c>
      <c r="F26" s="60">
        <f>COUNTIFS(Д402[Тип кв], F$3,Д402[Отделка],$B26)</f>
        <v>0</v>
      </c>
      <c r="G26" s="60">
        <f>F26+E26+D26+C26</f>
        <v>0</v>
      </c>
    </row>
    <row r="27" spans="2:7" x14ac:dyDescent="0.25">
      <c r="B27" s="60" t="s">
        <v>11</v>
      </c>
      <c r="C27" s="60">
        <f>COUNTIFS(Д402[Тип кв], C$3,Д402[Отделка],$B27)</f>
        <v>8</v>
      </c>
      <c r="D27" s="60">
        <f>COUNTIFS(Д402[Тип кв], D$3,Д402[Отделка],$B27)</f>
        <v>12</v>
      </c>
      <c r="E27" s="60">
        <f>COUNTIFS(Д402[Тип кв], E$3,Д402[Отделка],$B27)</f>
        <v>19</v>
      </c>
      <c r="F27" s="60">
        <f>COUNTIFS(Д402[Тип кв], F$3,Д402[Отделка],$B27)</f>
        <v>0</v>
      </c>
      <c r="G27" s="60">
        <f>F27+E27+D27+C27</f>
        <v>39</v>
      </c>
    </row>
    <row r="28" spans="2:7" x14ac:dyDescent="0.25">
      <c r="B28" s="62" t="s">
        <v>69</v>
      </c>
      <c r="C28" s="62">
        <f>SUM(C25:C27)</f>
        <v>60</v>
      </c>
      <c r="D28" s="62">
        <f>SUM(D25:D27)</f>
        <v>82</v>
      </c>
      <c r="E28" s="62">
        <f>SUM(E25:E27)</f>
        <v>120</v>
      </c>
      <c r="F28" s="62">
        <f>SUM(F25:F27)</f>
        <v>8</v>
      </c>
      <c r="G28" s="62">
        <f>F28+E28+D28+C28</f>
        <v>270</v>
      </c>
    </row>
  </sheetData>
  <mergeCells count="12">
    <mergeCell ref="B23:B24"/>
    <mergeCell ref="B2:B3"/>
    <mergeCell ref="B9:B10"/>
    <mergeCell ref="B16:B17"/>
    <mergeCell ref="C2:F2"/>
    <mergeCell ref="G16:G17"/>
    <mergeCell ref="G9:G10"/>
    <mergeCell ref="G2:G3"/>
    <mergeCell ref="C23:F23"/>
    <mergeCell ref="G23:G24"/>
    <mergeCell ref="C16:F16"/>
    <mergeCell ref="C9:F9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3A14F-DE0A-49DC-897A-B6CF2242919B}">
  <dimension ref="A1:BK27"/>
  <sheetViews>
    <sheetView topLeftCell="C1" workbookViewId="0">
      <selection activeCell="J25" sqref="J25"/>
    </sheetView>
  </sheetViews>
  <sheetFormatPr defaultRowHeight="15" x14ac:dyDescent="0.25"/>
  <cols>
    <col min="1" max="1" width="5.5703125" hidden="1" customWidth="1"/>
    <col min="2" max="2" width="9.42578125" hidden="1" customWidth="1"/>
    <col min="3" max="3" width="30.140625" bestFit="1" customWidth="1"/>
    <col min="4" max="4" width="14.5703125" bestFit="1" customWidth="1"/>
    <col min="5" max="5" width="18.140625" hidden="1" customWidth="1"/>
    <col min="6" max="6" width="12.42578125" hidden="1" customWidth="1"/>
    <col min="7" max="7" width="22" hidden="1" customWidth="1"/>
    <col min="8" max="8" width="31.5703125" hidden="1" customWidth="1"/>
    <col min="9" max="9" width="29.5703125" hidden="1" customWidth="1"/>
    <col min="10" max="10" width="61.42578125" bestFit="1" customWidth="1"/>
    <col min="11" max="11" width="15.7109375" hidden="1" customWidth="1"/>
    <col min="12" max="12" width="9.85546875" hidden="1" customWidth="1"/>
    <col min="13" max="13" width="14.140625" hidden="1" customWidth="1"/>
    <col min="14" max="14" width="7.85546875" hidden="1" customWidth="1"/>
    <col min="15" max="15" width="8" hidden="1" customWidth="1"/>
    <col min="16" max="16" width="9" hidden="1" customWidth="1"/>
    <col min="17" max="17" width="6" hidden="1" customWidth="1"/>
    <col min="18" max="18" width="11.5703125" bestFit="1" customWidth="1"/>
    <col min="19" max="19" width="18.7109375" style="228" bestFit="1" customWidth="1"/>
    <col min="20" max="20" width="11" hidden="1" customWidth="1"/>
    <col min="21" max="21" width="16.85546875" style="228" bestFit="1" customWidth="1"/>
    <col min="22" max="22" width="32.7109375" hidden="1" customWidth="1"/>
    <col min="23" max="23" width="30.5703125" hidden="1" customWidth="1"/>
    <col min="24" max="24" width="21.42578125" hidden="1" customWidth="1"/>
    <col min="25" max="25" width="33.85546875" hidden="1" customWidth="1"/>
    <col min="26" max="26" width="31.7109375" hidden="1" customWidth="1"/>
    <col min="27" max="27" width="25.140625" bestFit="1" customWidth="1"/>
    <col min="28" max="28" width="16.5703125" style="228" bestFit="1" customWidth="1"/>
    <col min="29" max="29" width="18.140625" bestFit="1" customWidth="1"/>
    <col min="30" max="30" width="7.5703125" hidden="1" customWidth="1"/>
    <col min="31" max="31" width="24.5703125" style="228" bestFit="1" customWidth="1"/>
    <col min="32" max="32" width="22.7109375" hidden="1" customWidth="1"/>
    <col min="33" max="33" width="7.42578125" hidden="1" customWidth="1"/>
    <col min="34" max="34" width="7.28515625" hidden="1" customWidth="1"/>
    <col min="35" max="35" width="7" hidden="1" customWidth="1"/>
    <col min="36" max="36" width="27.85546875" hidden="1" customWidth="1"/>
    <col min="37" max="37" width="28" hidden="1" customWidth="1"/>
    <col min="38" max="38" width="25.140625" hidden="1" customWidth="1"/>
    <col min="39" max="39" width="14.140625" hidden="1" customWidth="1"/>
    <col min="40" max="40" width="18.7109375" hidden="1" customWidth="1"/>
    <col min="41" max="41" width="21.85546875" hidden="1" customWidth="1"/>
    <col min="42" max="42" width="13.5703125" hidden="1" customWidth="1"/>
    <col min="43" max="43" width="9.28515625" hidden="1" customWidth="1"/>
    <col min="44" max="44" width="23.28515625" hidden="1" customWidth="1"/>
    <col min="45" max="45" width="17.7109375" hidden="1" customWidth="1"/>
    <col min="46" max="46" width="22.28515625" hidden="1" customWidth="1"/>
    <col min="47" max="47" width="12.7109375" hidden="1" customWidth="1"/>
    <col min="48" max="48" width="8.85546875" hidden="1" customWidth="1"/>
    <col min="49" max="49" width="9.5703125" hidden="1" customWidth="1"/>
    <col min="50" max="50" width="15" style="288" hidden="1" customWidth="1"/>
    <col min="51" max="51" width="14.85546875" hidden="1" customWidth="1"/>
    <col min="52" max="54" width="81.140625" hidden="1" customWidth="1"/>
    <col min="55" max="55" width="7.28515625" hidden="1" customWidth="1"/>
    <col min="56" max="56" width="14" hidden="1" customWidth="1"/>
    <col min="57" max="57" width="0" hidden="1" customWidth="1"/>
    <col min="58" max="58" width="11" bestFit="1" customWidth="1"/>
    <col min="59" max="59" width="11" hidden="1" customWidth="1"/>
    <col min="60" max="61" width="15.7109375" hidden="1" customWidth="1"/>
    <col min="62" max="62" width="28.5703125" hidden="1" customWidth="1"/>
    <col min="63" max="63" width="15" hidden="1" customWidth="1"/>
  </cols>
  <sheetData>
    <row r="1" spans="1:62" x14ac:dyDescent="0.25">
      <c r="A1" t="s">
        <v>2</v>
      </c>
      <c r="B1" t="s">
        <v>443</v>
      </c>
      <c r="C1" t="s">
        <v>444</v>
      </c>
      <c r="D1" t="s">
        <v>445</v>
      </c>
      <c r="E1" t="s">
        <v>446</v>
      </c>
      <c r="F1" t="s">
        <v>447</v>
      </c>
      <c r="G1" t="s">
        <v>448</v>
      </c>
      <c r="H1" t="s">
        <v>449</v>
      </c>
      <c r="I1" t="s">
        <v>450</v>
      </c>
      <c r="J1" t="s">
        <v>451</v>
      </c>
      <c r="K1" t="s">
        <v>452</v>
      </c>
      <c r="L1" t="s">
        <v>14</v>
      </c>
      <c r="M1" t="s">
        <v>68</v>
      </c>
      <c r="N1" t="s">
        <v>13</v>
      </c>
      <c r="O1" t="s">
        <v>453</v>
      </c>
      <c r="P1" t="s">
        <v>15</v>
      </c>
      <c r="Q1" t="s">
        <v>454</v>
      </c>
      <c r="R1" t="s">
        <v>455</v>
      </c>
      <c r="S1" s="228" t="s">
        <v>456</v>
      </c>
      <c r="T1" t="s">
        <v>457</v>
      </c>
      <c r="U1" s="228" t="s">
        <v>458</v>
      </c>
      <c r="V1" t="s">
        <v>459</v>
      </c>
      <c r="W1" t="s">
        <v>460</v>
      </c>
      <c r="X1" t="s">
        <v>5</v>
      </c>
      <c r="Y1" t="s">
        <v>461</v>
      </c>
      <c r="Z1" t="s">
        <v>462</v>
      </c>
      <c r="AA1" t="s">
        <v>463</v>
      </c>
      <c r="AB1" s="228" t="s">
        <v>464</v>
      </c>
      <c r="AC1" t="s">
        <v>465</v>
      </c>
      <c r="AD1" t="s">
        <v>466</v>
      </c>
      <c r="AE1" s="228" t="s">
        <v>467</v>
      </c>
      <c r="AF1" t="s">
        <v>468</v>
      </c>
      <c r="AG1" t="s">
        <v>469</v>
      </c>
      <c r="AH1" t="s">
        <v>470</v>
      </c>
      <c r="AI1" t="s">
        <v>471</v>
      </c>
      <c r="AJ1" t="s">
        <v>472</v>
      </c>
      <c r="AK1" t="s">
        <v>473</v>
      </c>
      <c r="AL1" t="s">
        <v>474</v>
      </c>
      <c r="AM1" t="s">
        <v>475</v>
      </c>
      <c r="AN1" t="s">
        <v>476</v>
      </c>
      <c r="AO1" t="s">
        <v>477</v>
      </c>
      <c r="AP1" t="s">
        <v>478</v>
      </c>
      <c r="AQ1" t="s">
        <v>479</v>
      </c>
      <c r="AR1" t="s">
        <v>480</v>
      </c>
      <c r="AS1" t="s">
        <v>481</v>
      </c>
      <c r="AT1" t="s">
        <v>482</v>
      </c>
      <c r="AU1" t="s">
        <v>483</v>
      </c>
      <c r="AV1" t="s">
        <v>484</v>
      </c>
      <c r="AW1" s="288" t="s">
        <v>485</v>
      </c>
      <c r="AX1" t="s">
        <v>486</v>
      </c>
      <c r="AY1" t="s">
        <v>487</v>
      </c>
      <c r="AZ1" t="s">
        <v>488</v>
      </c>
      <c r="BA1" t="s">
        <v>489</v>
      </c>
      <c r="BB1" t="s">
        <v>490</v>
      </c>
      <c r="BC1" t="s">
        <v>491</v>
      </c>
      <c r="BD1" t="s">
        <v>492</v>
      </c>
      <c r="BE1" t="s">
        <v>493</v>
      </c>
      <c r="BF1" t="s">
        <v>494</v>
      </c>
      <c r="BG1" t="s">
        <v>495</v>
      </c>
      <c r="BH1" t="s">
        <v>496</v>
      </c>
      <c r="BI1" t="s">
        <v>497</v>
      </c>
      <c r="BJ1" t="s">
        <v>3</v>
      </c>
    </row>
    <row r="2" spans="1:62" s="295" customFormat="1" x14ac:dyDescent="0.25">
      <c r="A2" s="295">
        <v>2541</v>
      </c>
      <c r="B2" s="295">
        <v>4</v>
      </c>
      <c r="C2" s="293">
        <v>45638</v>
      </c>
      <c r="D2" s="294" t="s">
        <v>498</v>
      </c>
      <c r="E2" s="294" t="s">
        <v>499</v>
      </c>
      <c r="F2" s="294" t="s">
        <v>500</v>
      </c>
      <c r="G2" s="295" t="s">
        <v>501</v>
      </c>
      <c r="H2" s="293"/>
      <c r="I2" s="293">
        <v>45643</v>
      </c>
      <c r="J2" s="294" t="s">
        <v>502</v>
      </c>
      <c r="K2" s="294" t="s">
        <v>503</v>
      </c>
      <c r="L2" s="294" t="s">
        <v>504</v>
      </c>
      <c r="M2" s="295">
        <v>2</v>
      </c>
      <c r="N2" s="295">
        <v>17</v>
      </c>
      <c r="O2" s="295">
        <v>272</v>
      </c>
      <c r="P2" s="295">
        <v>1</v>
      </c>
      <c r="Q2" s="295">
        <v>36.35</v>
      </c>
      <c r="R2" s="294" t="s">
        <v>9</v>
      </c>
      <c r="S2" s="295">
        <v>4460739</v>
      </c>
      <c r="T2" s="295">
        <v>122716.34</v>
      </c>
      <c r="V2" s="295">
        <v>4460739</v>
      </c>
      <c r="W2" s="295">
        <v>122716.34112792296</v>
      </c>
      <c r="Y2" s="295">
        <v>4460739</v>
      </c>
      <c r="Z2" s="295">
        <v>122716.34112792296</v>
      </c>
      <c r="AA2" s="294" t="s">
        <v>133</v>
      </c>
      <c r="AB2" s="295">
        <v>137961</v>
      </c>
      <c r="AC2" s="294" t="s">
        <v>505</v>
      </c>
      <c r="AD2" s="294" t="s">
        <v>506</v>
      </c>
      <c r="AN2" s="295">
        <v>0</v>
      </c>
      <c r="AO2" s="294" t="s">
        <v>507</v>
      </c>
      <c r="AP2" s="295">
        <v>79495857658</v>
      </c>
      <c r="AQ2" s="294" t="s">
        <v>508</v>
      </c>
      <c r="AR2" s="293">
        <v>32870</v>
      </c>
      <c r="AS2" s="294" t="s">
        <v>509</v>
      </c>
      <c r="AT2" s="294" t="s">
        <v>510</v>
      </c>
      <c r="AU2" s="295">
        <v>3623</v>
      </c>
      <c r="AV2" s="295">
        <v>355365</v>
      </c>
      <c r="AW2" s="295">
        <v>45202</v>
      </c>
      <c r="AX2" s="294" t="s">
        <v>511</v>
      </c>
      <c r="AY2" s="294" t="s">
        <v>512</v>
      </c>
      <c r="AZ2" s="294" t="s">
        <v>513</v>
      </c>
      <c r="BA2" s="294" t="s">
        <v>514</v>
      </c>
      <c r="BC2" s="294" t="s">
        <v>515</v>
      </c>
      <c r="BD2" s="294" t="s">
        <v>516</v>
      </c>
      <c r="BE2" s="294" t="s">
        <v>517</v>
      </c>
      <c r="BF2" s="294" t="s">
        <v>518</v>
      </c>
      <c r="BG2" s="294" t="s">
        <v>506</v>
      </c>
      <c r="BH2" s="294" t="s">
        <v>426</v>
      </c>
      <c r="BI2" s="293"/>
    </row>
    <row r="3" spans="1:62" s="295" customFormat="1" x14ac:dyDescent="0.25">
      <c r="A3" s="295">
        <v>2545</v>
      </c>
      <c r="B3" s="295">
        <v>8</v>
      </c>
      <c r="C3" s="293">
        <v>45642</v>
      </c>
      <c r="D3" s="294" t="s">
        <v>519</v>
      </c>
      <c r="E3" s="294" t="s">
        <v>499</v>
      </c>
      <c r="F3" s="294" t="s">
        <v>500</v>
      </c>
      <c r="G3" s="295" t="s">
        <v>520</v>
      </c>
      <c r="H3" s="293"/>
      <c r="I3" s="293">
        <v>45645</v>
      </c>
      <c r="J3" s="294" t="s">
        <v>521</v>
      </c>
      <c r="K3" s="294" t="s">
        <v>503</v>
      </c>
      <c r="L3" s="294" t="s">
        <v>504</v>
      </c>
      <c r="M3" s="295">
        <v>1</v>
      </c>
      <c r="N3" s="295">
        <v>17</v>
      </c>
      <c r="O3" s="295">
        <v>271</v>
      </c>
      <c r="P3" s="295">
        <v>1</v>
      </c>
      <c r="Q3" s="295">
        <v>43.88</v>
      </c>
      <c r="R3" s="294" t="s">
        <v>9</v>
      </c>
      <c r="S3" s="295">
        <v>5341200</v>
      </c>
      <c r="T3" s="295">
        <v>121722.88</v>
      </c>
      <c r="V3" s="295">
        <v>5341200</v>
      </c>
      <c r="W3" s="295">
        <v>121722.88058340929</v>
      </c>
      <c r="Y3" s="295">
        <v>5341200</v>
      </c>
      <c r="Z3" s="295">
        <v>121722.88058340929</v>
      </c>
      <c r="AA3" s="294" t="s">
        <v>425</v>
      </c>
      <c r="AB3" s="295">
        <v>50000</v>
      </c>
      <c r="AC3" s="294" t="s">
        <v>505</v>
      </c>
      <c r="AD3" s="294" t="s">
        <v>506</v>
      </c>
      <c r="AN3" s="295">
        <v>0</v>
      </c>
      <c r="AO3" s="294" t="s">
        <v>522</v>
      </c>
      <c r="AP3" s="295">
        <v>79171434343</v>
      </c>
      <c r="AQ3" s="294" t="s">
        <v>523</v>
      </c>
      <c r="AR3" s="293">
        <v>22525</v>
      </c>
      <c r="AS3" s="294" t="s">
        <v>509</v>
      </c>
      <c r="AT3" s="294" t="s">
        <v>510</v>
      </c>
      <c r="AU3" s="295">
        <v>3606</v>
      </c>
      <c r="AV3" s="295">
        <v>505450</v>
      </c>
      <c r="AW3" s="295">
        <v>38981</v>
      </c>
      <c r="AX3" s="294" t="s">
        <v>524</v>
      </c>
      <c r="AY3" s="294" t="s">
        <v>525</v>
      </c>
      <c r="AZ3" s="294" t="s">
        <v>526</v>
      </c>
      <c r="BA3" s="294" t="s">
        <v>526</v>
      </c>
      <c r="BC3" s="294" t="s">
        <v>527</v>
      </c>
      <c r="BD3" s="294" t="s">
        <v>528</v>
      </c>
      <c r="BE3" s="294" t="s">
        <v>529</v>
      </c>
      <c r="BF3" s="294" t="s">
        <v>518</v>
      </c>
      <c r="BG3" s="294" t="s">
        <v>506</v>
      </c>
      <c r="BH3" s="294" t="s">
        <v>426</v>
      </c>
      <c r="BI3" s="293"/>
    </row>
    <row r="4" spans="1:62" s="295" customFormat="1" x14ac:dyDescent="0.25">
      <c r="A4" s="295">
        <v>2550</v>
      </c>
      <c r="B4" s="295">
        <v>13</v>
      </c>
      <c r="C4" s="293">
        <v>45644</v>
      </c>
      <c r="D4" s="294" t="s">
        <v>530</v>
      </c>
      <c r="E4" s="294" t="s">
        <v>499</v>
      </c>
      <c r="F4" s="294" t="s">
        <v>500</v>
      </c>
      <c r="G4" s="295" t="s">
        <v>520</v>
      </c>
      <c r="H4" s="293"/>
      <c r="I4" s="293">
        <v>45647</v>
      </c>
      <c r="J4" s="294" t="s">
        <v>531</v>
      </c>
      <c r="K4" s="294" t="s">
        <v>503</v>
      </c>
      <c r="L4" s="294" t="s">
        <v>504</v>
      </c>
      <c r="M4" s="295">
        <v>3</v>
      </c>
      <c r="N4" s="295">
        <v>14</v>
      </c>
      <c r="O4" s="295">
        <v>255</v>
      </c>
      <c r="P4" s="295">
        <v>2</v>
      </c>
      <c r="Q4" s="295">
        <v>54.08</v>
      </c>
      <c r="R4" s="294" t="s">
        <v>9</v>
      </c>
      <c r="S4" s="295">
        <v>6295979</v>
      </c>
      <c r="T4" s="295">
        <v>116419.73</v>
      </c>
      <c r="V4" s="295">
        <v>6295979</v>
      </c>
      <c r="W4" s="295">
        <v>116419.7300295858</v>
      </c>
      <c r="Y4" s="295">
        <v>6295979</v>
      </c>
      <c r="Z4" s="295">
        <v>116419.7300295858</v>
      </c>
      <c r="AA4" s="294" t="s">
        <v>133</v>
      </c>
      <c r="AB4" s="295">
        <v>194721</v>
      </c>
      <c r="AC4" s="294" t="s">
        <v>505</v>
      </c>
      <c r="AD4" s="294" t="s">
        <v>506</v>
      </c>
      <c r="AN4" s="295">
        <v>0</v>
      </c>
      <c r="AO4" s="294" t="s">
        <v>532</v>
      </c>
      <c r="AP4" s="295">
        <v>79279027267</v>
      </c>
      <c r="AQ4" s="294" t="s">
        <v>523</v>
      </c>
      <c r="AR4" s="293">
        <v>37235</v>
      </c>
      <c r="AS4" s="294" t="s">
        <v>509</v>
      </c>
      <c r="AT4" s="294" t="s">
        <v>510</v>
      </c>
      <c r="AU4" s="295">
        <v>3622</v>
      </c>
      <c r="AV4" s="295">
        <v>125046</v>
      </c>
      <c r="AW4" s="295">
        <v>44769</v>
      </c>
      <c r="AX4" s="294" t="s">
        <v>533</v>
      </c>
      <c r="AY4" s="294" t="s">
        <v>534</v>
      </c>
      <c r="AZ4" s="294" t="s">
        <v>535</v>
      </c>
      <c r="BA4" s="294" t="s">
        <v>536</v>
      </c>
      <c r="BC4" s="294" t="s">
        <v>537</v>
      </c>
      <c r="BD4" s="294" t="s">
        <v>538</v>
      </c>
      <c r="BE4" s="294" t="s">
        <v>539</v>
      </c>
      <c r="BF4" s="294" t="s">
        <v>540</v>
      </c>
      <c r="BG4" s="294" t="s">
        <v>506</v>
      </c>
      <c r="BH4" s="294" t="s">
        <v>426</v>
      </c>
      <c r="BI4" s="293"/>
    </row>
    <row r="5" spans="1:62" s="295" customFormat="1" x14ac:dyDescent="0.25">
      <c r="A5" s="295">
        <v>2252</v>
      </c>
      <c r="B5" s="295">
        <v>15</v>
      </c>
      <c r="C5" s="293">
        <v>45649</v>
      </c>
      <c r="D5" s="294" t="s">
        <v>541</v>
      </c>
      <c r="E5" s="294" t="s">
        <v>499</v>
      </c>
      <c r="F5" s="294" t="s">
        <v>500</v>
      </c>
      <c r="G5" s="295" t="s">
        <v>520</v>
      </c>
      <c r="H5" s="293"/>
      <c r="I5" s="293">
        <v>45652</v>
      </c>
      <c r="J5" s="294" t="s">
        <v>542</v>
      </c>
      <c r="K5" s="294" t="s">
        <v>503</v>
      </c>
      <c r="L5" s="294" t="s">
        <v>543</v>
      </c>
      <c r="M5" s="295">
        <v>5</v>
      </c>
      <c r="N5" s="295">
        <v>6</v>
      </c>
      <c r="O5" s="295">
        <v>29</v>
      </c>
      <c r="P5" s="295">
        <v>1</v>
      </c>
      <c r="Q5" s="295">
        <v>37.01</v>
      </c>
      <c r="R5" s="294" t="s">
        <v>9</v>
      </c>
      <c r="S5" s="295">
        <v>4676854</v>
      </c>
      <c r="T5" s="295">
        <v>126367.31</v>
      </c>
      <c r="V5" s="295">
        <v>4676854</v>
      </c>
      <c r="W5" s="295">
        <v>126367.30613347744</v>
      </c>
      <c r="Y5" s="295">
        <v>4676854</v>
      </c>
      <c r="Z5" s="295">
        <v>126367.30613347744</v>
      </c>
      <c r="AA5" s="294" t="s">
        <v>544</v>
      </c>
      <c r="AB5" s="295">
        <v>95446</v>
      </c>
      <c r="AC5" s="294" t="s">
        <v>505</v>
      </c>
      <c r="AD5" s="294" t="s">
        <v>506</v>
      </c>
      <c r="AN5" s="295">
        <v>0</v>
      </c>
      <c r="AO5" s="294" t="s">
        <v>545</v>
      </c>
      <c r="AP5" s="295">
        <v>77772022533</v>
      </c>
      <c r="AQ5" s="294" t="s">
        <v>523</v>
      </c>
      <c r="AR5" s="293">
        <v>30462</v>
      </c>
      <c r="AS5" s="294" t="s">
        <v>509</v>
      </c>
      <c r="AT5" s="294" t="s">
        <v>510</v>
      </c>
      <c r="AU5" s="295">
        <v>6324</v>
      </c>
      <c r="AV5" s="295">
        <v>128689</v>
      </c>
      <c r="AW5" s="295">
        <v>45373</v>
      </c>
      <c r="AX5" s="294" t="s">
        <v>546</v>
      </c>
      <c r="AY5" s="294" t="s">
        <v>547</v>
      </c>
      <c r="AZ5" s="294" t="s">
        <v>548</v>
      </c>
      <c r="BA5" s="294" t="s">
        <v>549</v>
      </c>
      <c r="BC5" s="294" t="s">
        <v>550</v>
      </c>
      <c r="BD5" s="294" t="s">
        <v>551</v>
      </c>
      <c r="BE5" s="294" t="s">
        <v>552</v>
      </c>
      <c r="BF5" s="294" t="s">
        <v>553</v>
      </c>
      <c r="BG5" s="294" t="s">
        <v>506</v>
      </c>
      <c r="BH5" s="294" t="s">
        <v>426</v>
      </c>
      <c r="BI5" s="293"/>
    </row>
    <row r="6" spans="1:62" s="295" customFormat="1" x14ac:dyDescent="0.25">
      <c r="A6" s="295">
        <v>2563</v>
      </c>
      <c r="B6" s="295">
        <v>1</v>
      </c>
      <c r="C6" s="293">
        <v>45667</v>
      </c>
      <c r="D6" s="294" t="s">
        <v>554</v>
      </c>
      <c r="E6" s="294" t="s">
        <v>499</v>
      </c>
      <c r="F6" s="294" t="s">
        <v>500</v>
      </c>
      <c r="G6" s="295" t="s">
        <v>520</v>
      </c>
      <c r="H6" s="293"/>
      <c r="I6" s="293">
        <v>45670</v>
      </c>
      <c r="J6" s="294" t="s">
        <v>555</v>
      </c>
      <c r="K6" s="294" t="s">
        <v>503</v>
      </c>
      <c r="L6" s="294" t="s">
        <v>543</v>
      </c>
      <c r="M6" s="295">
        <v>5</v>
      </c>
      <c r="N6" s="295">
        <v>9</v>
      </c>
      <c r="O6" s="295">
        <v>47</v>
      </c>
      <c r="P6" s="295">
        <v>1</v>
      </c>
      <c r="Q6" s="295">
        <v>37.01</v>
      </c>
      <c r="R6" s="294" t="s">
        <v>9</v>
      </c>
      <c r="S6" s="295">
        <v>4624816</v>
      </c>
      <c r="T6" s="295">
        <v>124961.25</v>
      </c>
      <c r="V6" s="295">
        <v>4624816</v>
      </c>
      <c r="W6" s="295">
        <v>124961.25371521211</v>
      </c>
      <c r="Y6" s="295">
        <v>4624816</v>
      </c>
      <c r="Z6" s="295">
        <v>124961.25371521211</v>
      </c>
      <c r="AA6" s="294" t="s">
        <v>544</v>
      </c>
      <c r="AB6" s="295">
        <v>94384</v>
      </c>
      <c r="AC6" s="294" t="s">
        <v>505</v>
      </c>
      <c r="AD6" s="294" t="s">
        <v>506</v>
      </c>
      <c r="AE6" s="295">
        <v>1500000</v>
      </c>
      <c r="AN6" s="295">
        <v>0</v>
      </c>
      <c r="AO6" s="294" t="s">
        <v>556</v>
      </c>
      <c r="AP6" s="295">
        <v>79276061879</v>
      </c>
      <c r="AQ6" s="294" t="s">
        <v>508</v>
      </c>
      <c r="AR6" s="293">
        <v>34421</v>
      </c>
      <c r="AS6" s="294" t="s">
        <v>557</v>
      </c>
      <c r="AT6" s="294" t="s">
        <v>510</v>
      </c>
      <c r="AU6" s="295">
        <v>3613</v>
      </c>
      <c r="AV6" s="295">
        <v>867443</v>
      </c>
      <c r="AW6" s="295">
        <v>41752</v>
      </c>
      <c r="AX6" s="294" t="s">
        <v>558</v>
      </c>
      <c r="AY6" s="294" t="s">
        <v>559</v>
      </c>
      <c r="AZ6" s="294" t="s">
        <v>560</v>
      </c>
      <c r="BA6" s="294" t="s">
        <v>560</v>
      </c>
      <c r="BC6" s="294" t="s">
        <v>561</v>
      </c>
      <c r="BD6" s="294" t="s">
        <v>562</v>
      </c>
      <c r="BE6" s="294" t="s">
        <v>539</v>
      </c>
      <c r="BF6" s="294" t="s">
        <v>563</v>
      </c>
      <c r="BG6" s="294" t="s">
        <v>506</v>
      </c>
      <c r="BH6" s="294" t="s">
        <v>426</v>
      </c>
      <c r="BI6" s="293"/>
    </row>
    <row r="7" spans="1:62" s="295" customFormat="1" x14ac:dyDescent="0.25">
      <c r="A7" s="295">
        <v>2566</v>
      </c>
      <c r="B7" s="295">
        <v>4</v>
      </c>
      <c r="C7" s="293">
        <v>45681</v>
      </c>
      <c r="D7" s="294" t="s">
        <v>564</v>
      </c>
      <c r="E7" s="294" t="s">
        <v>499</v>
      </c>
      <c r="F7" s="294" t="s">
        <v>500</v>
      </c>
      <c r="G7" s="295" t="s">
        <v>520</v>
      </c>
      <c r="H7" s="293"/>
      <c r="I7" s="293">
        <v>45684</v>
      </c>
      <c r="J7" s="294" t="s">
        <v>565</v>
      </c>
      <c r="K7" s="294" t="s">
        <v>503</v>
      </c>
      <c r="L7" s="294" t="s">
        <v>504</v>
      </c>
      <c r="M7" s="295">
        <v>2</v>
      </c>
      <c r="N7" s="295">
        <v>10</v>
      </c>
      <c r="O7" s="295">
        <v>230</v>
      </c>
      <c r="P7" s="295">
        <v>1</v>
      </c>
      <c r="Q7" s="295">
        <v>36.549999999999997</v>
      </c>
      <c r="R7" s="294" t="s">
        <v>9</v>
      </c>
      <c r="S7" s="295">
        <v>4516520</v>
      </c>
      <c r="T7" s="295">
        <v>123571</v>
      </c>
      <c r="U7" s="295">
        <v>15000</v>
      </c>
      <c r="V7" s="295">
        <v>4531520</v>
      </c>
      <c r="W7" s="295">
        <v>123981.39534883722</v>
      </c>
      <c r="Y7" s="295">
        <v>4531520</v>
      </c>
      <c r="Z7" s="295">
        <v>123981.39534883722</v>
      </c>
      <c r="AA7" s="294" t="s">
        <v>544</v>
      </c>
      <c r="AB7" s="295">
        <v>92480</v>
      </c>
      <c r="AC7" s="294" t="s">
        <v>505</v>
      </c>
      <c r="AD7" s="294" t="s">
        <v>506</v>
      </c>
      <c r="AE7" s="295">
        <v>150000</v>
      </c>
      <c r="AN7" s="295">
        <v>0</v>
      </c>
      <c r="AO7" s="294" t="s">
        <v>566</v>
      </c>
      <c r="AP7" s="295">
        <v>79272020139</v>
      </c>
      <c r="AQ7" s="294" t="s">
        <v>523</v>
      </c>
      <c r="AR7" s="293">
        <v>28925</v>
      </c>
      <c r="AS7" s="294" t="s">
        <v>509</v>
      </c>
      <c r="AT7" s="294" t="s">
        <v>510</v>
      </c>
      <c r="AU7" s="295">
        <v>3623</v>
      </c>
      <c r="AV7" s="295">
        <v>403579</v>
      </c>
      <c r="AW7" s="295">
        <v>45395</v>
      </c>
      <c r="AX7" s="294" t="s">
        <v>567</v>
      </c>
      <c r="AY7" s="294" t="s">
        <v>512</v>
      </c>
      <c r="AZ7" s="294" t="s">
        <v>568</v>
      </c>
      <c r="BA7" s="294" t="s">
        <v>568</v>
      </c>
      <c r="BC7" s="294" t="s">
        <v>569</v>
      </c>
      <c r="BD7" s="294" t="s">
        <v>570</v>
      </c>
      <c r="BE7" s="294" t="s">
        <v>529</v>
      </c>
      <c r="BF7" s="294" t="s">
        <v>563</v>
      </c>
      <c r="BG7" s="294" t="s">
        <v>506</v>
      </c>
      <c r="BH7" s="294" t="s">
        <v>426</v>
      </c>
      <c r="BI7" s="293"/>
    </row>
    <row r="8" spans="1:62" s="295" customFormat="1" x14ac:dyDescent="0.25">
      <c r="A8" s="295">
        <v>2567</v>
      </c>
      <c r="B8" s="295">
        <v>5</v>
      </c>
      <c r="C8" s="293">
        <v>45681</v>
      </c>
      <c r="D8" s="294" t="s">
        <v>571</v>
      </c>
      <c r="E8" s="294" t="s">
        <v>499</v>
      </c>
      <c r="F8" s="294" t="s">
        <v>500</v>
      </c>
      <c r="G8" s="295" t="s">
        <v>520</v>
      </c>
      <c r="H8" s="293"/>
      <c r="I8" s="293">
        <v>45684</v>
      </c>
      <c r="J8" s="294" t="s">
        <v>572</v>
      </c>
      <c r="K8" s="294" t="s">
        <v>503</v>
      </c>
      <c r="L8" s="294" t="s">
        <v>543</v>
      </c>
      <c r="M8" s="295">
        <v>1</v>
      </c>
      <c r="N8" s="295">
        <v>11</v>
      </c>
      <c r="O8" s="295">
        <v>55</v>
      </c>
      <c r="P8" s="295">
        <v>0</v>
      </c>
      <c r="Q8" s="295">
        <v>29.62</v>
      </c>
      <c r="R8" s="294" t="s">
        <v>9</v>
      </c>
      <c r="S8" s="295">
        <v>4174400</v>
      </c>
      <c r="T8" s="295">
        <v>140931.79999999999</v>
      </c>
      <c r="V8" s="295">
        <v>4174400</v>
      </c>
      <c r="W8" s="295">
        <v>140931.80283592167</v>
      </c>
      <c r="Y8" s="295">
        <v>4174400</v>
      </c>
      <c r="Z8" s="295">
        <v>140931.80283592167</v>
      </c>
      <c r="AA8" s="294"/>
      <c r="AC8" s="294" t="s">
        <v>505</v>
      </c>
      <c r="AD8" s="294" t="s">
        <v>506</v>
      </c>
      <c r="AE8" s="295">
        <v>800000</v>
      </c>
      <c r="AN8" s="295">
        <v>0</v>
      </c>
      <c r="AO8" s="294" t="s">
        <v>573</v>
      </c>
      <c r="AP8" s="295">
        <v>79370746521</v>
      </c>
      <c r="AQ8" s="294" t="s">
        <v>508</v>
      </c>
      <c r="AR8" s="293">
        <v>37142</v>
      </c>
      <c r="AS8" s="294" t="s">
        <v>509</v>
      </c>
      <c r="AT8" s="294" t="s">
        <v>510</v>
      </c>
      <c r="AU8" s="295">
        <v>3622</v>
      </c>
      <c r="AV8" s="295">
        <v>3193</v>
      </c>
      <c r="AW8" s="295">
        <v>44461</v>
      </c>
      <c r="AX8" s="294" t="s">
        <v>533</v>
      </c>
      <c r="AY8" s="294" t="s">
        <v>512</v>
      </c>
      <c r="AZ8" s="294" t="s">
        <v>574</v>
      </c>
      <c r="BA8" s="294" t="s">
        <v>574</v>
      </c>
      <c r="BC8" s="294" t="s">
        <v>575</v>
      </c>
      <c r="BD8" s="294" t="s">
        <v>576</v>
      </c>
      <c r="BE8" s="294" t="s">
        <v>577</v>
      </c>
      <c r="BF8" s="294" t="s">
        <v>518</v>
      </c>
      <c r="BG8" s="294" t="s">
        <v>506</v>
      </c>
      <c r="BH8" s="294" t="s">
        <v>426</v>
      </c>
      <c r="BI8" s="293"/>
    </row>
    <row r="9" spans="1:62" s="295" customFormat="1" x14ac:dyDescent="0.25">
      <c r="A9" s="295">
        <v>2568</v>
      </c>
      <c r="B9" s="295">
        <v>6</v>
      </c>
      <c r="C9" s="293">
        <v>45688</v>
      </c>
      <c r="D9" s="294" t="s">
        <v>578</v>
      </c>
      <c r="E9" s="294" t="s">
        <v>499</v>
      </c>
      <c r="F9" s="294" t="s">
        <v>500</v>
      </c>
      <c r="G9" s="295" t="s">
        <v>520</v>
      </c>
      <c r="H9" s="293"/>
      <c r="I9" s="293">
        <v>45688</v>
      </c>
      <c r="J9" s="294" t="s">
        <v>579</v>
      </c>
      <c r="K9" s="294" t="s">
        <v>503</v>
      </c>
      <c r="L9" s="294" t="s">
        <v>504</v>
      </c>
      <c r="M9" s="295">
        <v>2</v>
      </c>
      <c r="N9" s="295">
        <v>4</v>
      </c>
      <c r="O9" s="295">
        <v>194</v>
      </c>
      <c r="P9" s="295">
        <v>1</v>
      </c>
      <c r="Q9" s="295">
        <v>36.64</v>
      </c>
      <c r="R9" s="294" t="s">
        <v>9</v>
      </c>
      <c r="S9" s="295">
        <v>4622268</v>
      </c>
      <c r="T9" s="295">
        <v>126153.60000000001</v>
      </c>
      <c r="V9" s="295">
        <v>4622268</v>
      </c>
      <c r="W9" s="295">
        <v>126153.60262008733</v>
      </c>
      <c r="Y9" s="295">
        <v>4622268</v>
      </c>
      <c r="Z9" s="295">
        <v>126153.60262008733</v>
      </c>
      <c r="AA9" s="294" t="s">
        <v>544</v>
      </c>
      <c r="AB9" s="295">
        <v>94332</v>
      </c>
      <c r="AC9" s="294" t="s">
        <v>505</v>
      </c>
      <c r="AD9" s="294" t="s">
        <v>506</v>
      </c>
      <c r="AE9" s="295">
        <v>462226</v>
      </c>
      <c r="AN9" s="295">
        <v>0</v>
      </c>
      <c r="AO9" s="294" t="s">
        <v>580</v>
      </c>
      <c r="AP9" s="295">
        <v>79297062616</v>
      </c>
      <c r="AQ9" s="294" t="s">
        <v>508</v>
      </c>
      <c r="AR9" s="293">
        <v>35176</v>
      </c>
      <c r="AS9" s="294" t="s">
        <v>509</v>
      </c>
      <c r="AT9" s="294" t="s">
        <v>510</v>
      </c>
      <c r="AU9" s="295">
        <v>3615</v>
      </c>
      <c r="AV9" s="295">
        <v>141211</v>
      </c>
      <c r="AW9" s="295">
        <v>42495</v>
      </c>
      <c r="AX9" s="294" t="s">
        <v>581</v>
      </c>
      <c r="AY9" s="294" t="s">
        <v>582</v>
      </c>
      <c r="AZ9" s="294" t="s">
        <v>583</v>
      </c>
      <c r="BA9" s="294" t="s">
        <v>583</v>
      </c>
      <c r="BC9" s="294" t="s">
        <v>584</v>
      </c>
      <c r="BD9" s="294" t="s">
        <v>585</v>
      </c>
      <c r="BE9" s="294" t="s">
        <v>529</v>
      </c>
      <c r="BF9" s="294" t="s">
        <v>518</v>
      </c>
      <c r="BG9" s="294" t="s">
        <v>506</v>
      </c>
      <c r="BH9" s="294" t="s">
        <v>426</v>
      </c>
      <c r="BI9" s="293"/>
    </row>
    <row r="10" spans="1:62" s="295" customFormat="1" x14ac:dyDescent="0.25">
      <c r="A10" s="290">
        <v>2569</v>
      </c>
      <c r="B10" s="290">
        <v>1</v>
      </c>
      <c r="C10" s="293">
        <v>45694</v>
      </c>
      <c r="D10" s="294" t="s">
        <v>586</v>
      </c>
      <c r="E10" s="292" t="s">
        <v>499</v>
      </c>
      <c r="F10" s="292" t="s">
        <v>500</v>
      </c>
      <c r="G10" s="290" t="s">
        <v>520</v>
      </c>
      <c r="H10" s="291"/>
      <c r="I10" s="291">
        <v>45697</v>
      </c>
      <c r="J10" s="294" t="s">
        <v>587</v>
      </c>
      <c r="K10" s="292" t="s">
        <v>503</v>
      </c>
      <c r="L10" s="292" t="s">
        <v>504</v>
      </c>
      <c r="M10" s="290">
        <v>3</v>
      </c>
      <c r="N10" s="290">
        <v>7</v>
      </c>
      <c r="O10" s="290">
        <v>213</v>
      </c>
      <c r="P10" s="290">
        <v>2</v>
      </c>
      <c r="Q10" s="290">
        <v>54.44</v>
      </c>
      <c r="R10" s="294" t="s">
        <v>9</v>
      </c>
      <c r="S10" s="296">
        <v>6390748</v>
      </c>
      <c r="T10" s="290">
        <v>117390.67</v>
      </c>
      <c r="U10" s="296"/>
      <c r="V10" s="290">
        <v>6390748</v>
      </c>
      <c r="W10" s="290">
        <v>117390.66862601029</v>
      </c>
      <c r="X10" s="290"/>
      <c r="Y10" s="290">
        <v>6390748</v>
      </c>
      <c r="Z10" s="290">
        <v>117390.66862601029</v>
      </c>
      <c r="AA10" s="294" t="s">
        <v>544</v>
      </c>
      <c r="AB10" s="296">
        <v>197652</v>
      </c>
      <c r="AC10" s="294" t="s">
        <v>505</v>
      </c>
      <c r="AD10" s="294" t="s">
        <v>506</v>
      </c>
      <c r="AE10" s="296">
        <v>690266.95</v>
      </c>
      <c r="AK10" s="290"/>
      <c r="AM10" s="290"/>
      <c r="AN10" s="290">
        <v>0</v>
      </c>
      <c r="AO10" s="294" t="s">
        <v>588</v>
      </c>
      <c r="AP10" s="295">
        <v>79619198086</v>
      </c>
      <c r="AQ10" s="294" t="s">
        <v>523</v>
      </c>
      <c r="AR10" s="293">
        <v>30825</v>
      </c>
      <c r="AS10" s="292" t="s">
        <v>509</v>
      </c>
      <c r="AT10" s="294" t="s">
        <v>510</v>
      </c>
      <c r="AU10" s="295">
        <v>3622</v>
      </c>
      <c r="AV10" s="295">
        <v>186792</v>
      </c>
      <c r="AW10" s="293">
        <v>44838</v>
      </c>
      <c r="AX10" s="294" t="s">
        <v>511</v>
      </c>
      <c r="AY10" s="294" t="s">
        <v>512</v>
      </c>
      <c r="AZ10" s="294" t="s">
        <v>589</v>
      </c>
      <c r="BA10" s="294" t="s">
        <v>589</v>
      </c>
      <c r="BC10" s="294" t="s">
        <v>590</v>
      </c>
      <c r="BD10" s="294" t="s">
        <v>591</v>
      </c>
      <c r="BE10" s="294" t="s">
        <v>592</v>
      </c>
      <c r="BF10" s="294" t="s">
        <v>518</v>
      </c>
      <c r="BG10" s="294" t="s">
        <v>506</v>
      </c>
      <c r="BH10" s="294" t="s">
        <v>426</v>
      </c>
      <c r="BI10" s="291"/>
      <c r="BJ10" s="290"/>
    </row>
    <row r="11" spans="1:62" s="295" customFormat="1" x14ac:dyDescent="0.25">
      <c r="A11" s="290">
        <v>2571</v>
      </c>
      <c r="B11" s="290">
        <v>3</v>
      </c>
      <c r="C11" s="293">
        <v>45698</v>
      </c>
      <c r="D11" s="294" t="s">
        <v>593</v>
      </c>
      <c r="E11" s="292" t="s">
        <v>499</v>
      </c>
      <c r="F11" s="292" t="s">
        <v>500</v>
      </c>
      <c r="G11" s="290" t="s">
        <v>520</v>
      </c>
      <c r="H11" s="291"/>
      <c r="I11" s="291">
        <v>45701</v>
      </c>
      <c r="J11" s="294" t="s">
        <v>594</v>
      </c>
      <c r="K11" s="292" t="s">
        <v>503</v>
      </c>
      <c r="L11" s="292" t="s">
        <v>543</v>
      </c>
      <c r="M11" s="290">
        <v>5</v>
      </c>
      <c r="N11" s="290">
        <v>13</v>
      </c>
      <c r="O11" s="290">
        <v>71</v>
      </c>
      <c r="P11" s="290">
        <v>1</v>
      </c>
      <c r="Q11" s="290">
        <v>36.92</v>
      </c>
      <c r="R11" s="294" t="s">
        <v>434</v>
      </c>
      <c r="S11" s="296">
        <v>4967844</v>
      </c>
      <c r="T11" s="290">
        <v>134556.99</v>
      </c>
      <c r="U11" s="296">
        <v>15000</v>
      </c>
      <c r="V11" s="290">
        <v>4982844</v>
      </c>
      <c r="W11" s="290">
        <v>134963.27193932826</v>
      </c>
      <c r="X11" s="290">
        <v>369200</v>
      </c>
      <c r="Y11" s="290">
        <v>4613644</v>
      </c>
      <c r="Z11" s="290">
        <v>124963.27193932828</v>
      </c>
      <c r="AA11" s="294" t="s">
        <v>432</v>
      </c>
      <c r="AB11" s="296">
        <v>94156</v>
      </c>
      <c r="AC11" s="294" t="s">
        <v>505</v>
      </c>
      <c r="AD11" s="294" t="s">
        <v>506</v>
      </c>
      <c r="AE11" s="296">
        <v>1000000</v>
      </c>
      <c r="AK11" s="290"/>
      <c r="AM11" s="290"/>
      <c r="AN11" s="290">
        <v>0</v>
      </c>
      <c r="AO11" s="294" t="s">
        <v>595</v>
      </c>
      <c r="AP11" s="295">
        <v>89869518680</v>
      </c>
      <c r="AQ11" s="294" t="s">
        <v>523</v>
      </c>
      <c r="AR11" s="293">
        <v>29405</v>
      </c>
      <c r="AS11" s="292" t="s">
        <v>509</v>
      </c>
      <c r="AT11" s="294" t="s">
        <v>510</v>
      </c>
      <c r="AU11" s="295">
        <v>3622</v>
      </c>
      <c r="AV11" s="295">
        <v>176559</v>
      </c>
      <c r="AW11" s="293">
        <v>44826</v>
      </c>
      <c r="AX11" s="294" t="s">
        <v>596</v>
      </c>
      <c r="AY11" s="294" t="s">
        <v>512</v>
      </c>
      <c r="AZ11" s="294" t="s">
        <v>597</v>
      </c>
      <c r="BA11" s="294" t="s">
        <v>597</v>
      </c>
      <c r="BC11" s="294" t="s">
        <v>598</v>
      </c>
      <c r="BD11" s="294" t="s">
        <v>599</v>
      </c>
      <c r="BE11" s="294" t="s">
        <v>577</v>
      </c>
      <c r="BF11" s="294" t="s">
        <v>563</v>
      </c>
      <c r="BG11" s="294" t="s">
        <v>506</v>
      </c>
      <c r="BH11" s="294" t="s">
        <v>426</v>
      </c>
      <c r="BI11" s="291"/>
      <c r="BJ11" s="290"/>
    </row>
    <row r="12" spans="1:62" s="295" customFormat="1" x14ac:dyDescent="0.25">
      <c r="A12" s="290">
        <v>2572</v>
      </c>
      <c r="B12" s="290">
        <v>4</v>
      </c>
      <c r="C12" s="293">
        <v>45698</v>
      </c>
      <c r="D12" s="294" t="s">
        <v>600</v>
      </c>
      <c r="E12" s="292" t="s">
        <v>499</v>
      </c>
      <c r="F12" s="292" t="s">
        <v>500</v>
      </c>
      <c r="G12" s="290" t="s">
        <v>520</v>
      </c>
      <c r="H12" s="291"/>
      <c r="I12" s="291">
        <v>45701</v>
      </c>
      <c r="J12" s="294" t="s">
        <v>601</v>
      </c>
      <c r="K12" s="292" t="s">
        <v>503</v>
      </c>
      <c r="L12" s="292" t="s">
        <v>504</v>
      </c>
      <c r="M12" s="290">
        <v>1</v>
      </c>
      <c r="N12" s="290">
        <v>9</v>
      </c>
      <c r="O12" s="290">
        <v>223</v>
      </c>
      <c r="P12" s="290">
        <v>1</v>
      </c>
      <c r="Q12" s="290">
        <v>44.25</v>
      </c>
      <c r="R12" s="294" t="s">
        <v>9</v>
      </c>
      <c r="S12" s="296">
        <v>5588600</v>
      </c>
      <c r="T12" s="290">
        <v>126296.05</v>
      </c>
      <c r="U12" s="296"/>
      <c r="V12" s="290">
        <v>5588600</v>
      </c>
      <c r="W12" s="290">
        <v>126296.04519774011</v>
      </c>
      <c r="X12" s="290"/>
      <c r="Y12" s="290">
        <v>5588600</v>
      </c>
      <c r="Z12" s="290">
        <v>126296.04519774011</v>
      </c>
      <c r="AA12" s="294"/>
      <c r="AB12" s="296"/>
      <c r="AC12" s="294" t="s">
        <v>505</v>
      </c>
      <c r="AD12" s="294" t="s">
        <v>506</v>
      </c>
      <c r="AE12" s="296">
        <v>558860</v>
      </c>
      <c r="AK12" s="290"/>
      <c r="AM12" s="290"/>
      <c r="AN12" s="290">
        <v>0</v>
      </c>
      <c r="AO12" s="294" t="s">
        <v>602</v>
      </c>
      <c r="AP12" s="295">
        <v>79171447745</v>
      </c>
      <c r="AQ12" s="294" t="s">
        <v>508</v>
      </c>
      <c r="AR12" s="293">
        <v>26988</v>
      </c>
      <c r="AS12" s="292" t="s">
        <v>509</v>
      </c>
      <c r="AT12" s="294" t="s">
        <v>510</v>
      </c>
      <c r="AU12" s="295">
        <v>3619</v>
      </c>
      <c r="AV12" s="295">
        <v>667236</v>
      </c>
      <c r="AW12" s="293">
        <v>43600</v>
      </c>
      <c r="AX12" s="294" t="s">
        <v>533</v>
      </c>
      <c r="AY12" s="294" t="s">
        <v>512</v>
      </c>
      <c r="AZ12" s="294" t="s">
        <v>603</v>
      </c>
      <c r="BA12" s="294" t="s">
        <v>603</v>
      </c>
      <c r="BC12" s="294" t="s">
        <v>604</v>
      </c>
      <c r="BD12" s="294" t="s">
        <v>605</v>
      </c>
      <c r="BE12" s="294" t="s">
        <v>577</v>
      </c>
      <c r="BF12" s="294" t="s">
        <v>518</v>
      </c>
      <c r="BG12" s="294" t="s">
        <v>506</v>
      </c>
      <c r="BH12" s="294" t="s">
        <v>426</v>
      </c>
      <c r="BI12" s="291"/>
      <c r="BJ12" s="290"/>
    </row>
    <row r="13" spans="1:62" s="295" customFormat="1" x14ac:dyDescent="0.25">
      <c r="A13" s="290">
        <v>2575</v>
      </c>
      <c r="B13" s="290">
        <v>7</v>
      </c>
      <c r="C13" s="293">
        <v>45699</v>
      </c>
      <c r="D13" s="294" t="s">
        <v>606</v>
      </c>
      <c r="E13" s="292" t="s">
        <v>499</v>
      </c>
      <c r="F13" s="292" t="s">
        <v>500</v>
      </c>
      <c r="G13" s="290" t="s">
        <v>520</v>
      </c>
      <c r="H13" s="291"/>
      <c r="I13" s="291">
        <v>45702</v>
      </c>
      <c r="J13" s="294" t="s">
        <v>607</v>
      </c>
      <c r="K13" s="292" t="s">
        <v>503</v>
      </c>
      <c r="L13" s="292" t="s">
        <v>543</v>
      </c>
      <c r="M13" s="290">
        <v>5</v>
      </c>
      <c r="N13" s="290">
        <v>11</v>
      </c>
      <c r="O13" s="290">
        <v>59</v>
      </c>
      <c r="P13" s="290">
        <v>1</v>
      </c>
      <c r="Q13" s="290">
        <v>36.92</v>
      </c>
      <c r="R13" s="294" t="s">
        <v>9</v>
      </c>
      <c r="S13" s="296">
        <v>4797600</v>
      </c>
      <c r="T13" s="290">
        <v>129945.83</v>
      </c>
      <c r="U13" s="296"/>
      <c r="V13" s="290">
        <v>4797600</v>
      </c>
      <c r="W13" s="290">
        <v>129945.82881906825</v>
      </c>
      <c r="X13" s="290"/>
      <c r="Y13" s="290">
        <v>4797600</v>
      </c>
      <c r="Z13" s="290">
        <v>129945.82881906825</v>
      </c>
      <c r="AA13" s="294"/>
      <c r="AB13" s="296"/>
      <c r="AC13" s="294" t="s">
        <v>505</v>
      </c>
      <c r="AD13" s="294" t="s">
        <v>506</v>
      </c>
      <c r="AE13" s="296">
        <v>480000</v>
      </c>
      <c r="AK13" s="290"/>
      <c r="AM13" s="290"/>
      <c r="AN13" s="290">
        <v>0</v>
      </c>
      <c r="AO13" s="294" t="s">
        <v>608</v>
      </c>
      <c r="AP13" s="295">
        <v>79277517200</v>
      </c>
      <c r="AQ13" s="294" t="s">
        <v>523</v>
      </c>
      <c r="AR13" s="293">
        <v>35422</v>
      </c>
      <c r="AS13" s="292" t="s">
        <v>509</v>
      </c>
      <c r="AT13" s="294" t="s">
        <v>510</v>
      </c>
      <c r="AU13" s="295">
        <v>3622</v>
      </c>
      <c r="AV13" s="295">
        <v>116994</v>
      </c>
      <c r="AW13" s="293">
        <v>44700</v>
      </c>
      <c r="AX13" s="294" t="s">
        <v>609</v>
      </c>
      <c r="AY13" s="294" t="s">
        <v>512</v>
      </c>
      <c r="AZ13" s="294" t="s">
        <v>610</v>
      </c>
      <c r="BA13" s="294" t="s">
        <v>610</v>
      </c>
      <c r="BC13" s="294" t="s">
        <v>611</v>
      </c>
      <c r="BD13" s="294" t="s">
        <v>612</v>
      </c>
      <c r="BE13" s="294" t="s">
        <v>613</v>
      </c>
      <c r="BF13" s="294" t="s">
        <v>553</v>
      </c>
      <c r="BG13" s="294" t="s">
        <v>506</v>
      </c>
      <c r="BH13" s="294" t="s">
        <v>426</v>
      </c>
      <c r="BI13" s="291"/>
      <c r="BJ13" s="290"/>
    </row>
    <row r="14" spans="1:62" s="295" customFormat="1" x14ac:dyDescent="0.25">
      <c r="A14" s="290">
        <v>2577</v>
      </c>
      <c r="B14" s="290">
        <v>9</v>
      </c>
      <c r="C14" s="293">
        <v>45700</v>
      </c>
      <c r="D14" s="294" t="s">
        <v>614</v>
      </c>
      <c r="E14" s="292" t="s">
        <v>499</v>
      </c>
      <c r="F14" s="292" t="s">
        <v>500</v>
      </c>
      <c r="G14" s="290" t="s">
        <v>520</v>
      </c>
      <c r="H14" s="291"/>
      <c r="I14" s="291">
        <v>45703</v>
      </c>
      <c r="J14" s="294" t="s">
        <v>615</v>
      </c>
      <c r="K14" s="292" t="s">
        <v>503</v>
      </c>
      <c r="L14" s="292" t="s">
        <v>616</v>
      </c>
      <c r="M14" s="290">
        <v>6</v>
      </c>
      <c r="N14" s="290">
        <v>6</v>
      </c>
      <c r="O14" s="290">
        <v>138</v>
      </c>
      <c r="P14" s="290">
        <v>2</v>
      </c>
      <c r="Q14" s="290">
        <v>60.94</v>
      </c>
      <c r="R14" s="294" t="s">
        <v>9</v>
      </c>
      <c r="S14" s="296">
        <v>6817548</v>
      </c>
      <c r="T14" s="290">
        <v>111873.12</v>
      </c>
      <c r="U14" s="296"/>
      <c r="V14" s="290">
        <v>6817548</v>
      </c>
      <c r="W14" s="290">
        <v>111873.12110272399</v>
      </c>
      <c r="X14" s="290"/>
      <c r="Y14" s="290">
        <v>6817548</v>
      </c>
      <c r="Z14" s="290">
        <v>111873.12110272399</v>
      </c>
      <c r="AA14" s="294" t="s">
        <v>435</v>
      </c>
      <c r="AB14" s="296">
        <v>210852</v>
      </c>
      <c r="AC14" s="294" t="s">
        <v>505</v>
      </c>
      <c r="AD14" s="294" t="s">
        <v>506</v>
      </c>
      <c r="AE14" s="296">
        <v>681755</v>
      </c>
      <c r="AK14" s="290"/>
      <c r="AM14" s="290"/>
      <c r="AN14" s="290">
        <v>0</v>
      </c>
      <c r="AO14" s="294" t="s">
        <v>617</v>
      </c>
      <c r="AP14" s="295">
        <v>79879009078</v>
      </c>
      <c r="AQ14" s="294" t="s">
        <v>523</v>
      </c>
      <c r="AR14" s="293">
        <v>32168</v>
      </c>
      <c r="AS14" s="292" t="s">
        <v>509</v>
      </c>
      <c r="AT14" s="294" t="s">
        <v>510</v>
      </c>
      <c r="AU14" s="295">
        <v>3619</v>
      </c>
      <c r="AV14" s="295">
        <v>724435</v>
      </c>
      <c r="AW14" s="293">
        <v>43748</v>
      </c>
      <c r="AX14" s="294" t="s">
        <v>533</v>
      </c>
      <c r="AY14" s="294" t="s">
        <v>512</v>
      </c>
      <c r="AZ14" s="294" t="s">
        <v>618</v>
      </c>
      <c r="BA14" s="294" t="s">
        <v>618</v>
      </c>
      <c r="BC14" s="294" t="s">
        <v>619</v>
      </c>
      <c r="BD14" s="294" t="s">
        <v>620</v>
      </c>
      <c r="BE14" s="294" t="s">
        <v>529</v>
      </c>
      <c r="BF14" s="294" t="s">
        <v>518</v>
      </c>
      <c r="BG14" s="294" t="s">
        <v>506</v>
      </c>
      <c r="BH14" s="294" t="s">
        <v>426</v>
      </c>
      <c r="BI14" s="291"/>
      <c r="BJ14" s="290"/>
    </row>
    <row r="15" spans="1:62" s="295" customFormat="1" x14ac:dyDescent="0.25">
      <c r="A15" s="290">
        <v>2579</v>
      </c>
      <c r="B15" s="290">
        <v>11</v>
      </c>
      <c r="C15" s="293">
        <v>45701</v>
      </c>
      <c r="D15" s="294" t="s">
        <v>621</v>
      </c>
      <c r="E15" s="292" t="s">
        <v>499</v>
      </c>
      <c r="F15" s="292" t="s">
        <v>500</v>
      </c>
      <c r="G15" s="290" t="s">
        <v>520</v>
      </c>
      <c r="H15" s="291"/>
      <c r="I15" s="291">
        <v>45704</v>
      </c>
      <c r="J15" s="294" t="s">
        <v>622</v>
      </c>
      <c r="K15" s="292" t="s">
        <v>503</v>
      </c>
      <c r="L15" s="292" t="s">
        <v>504</v>
      </c>
      <c r="M15" s="290">
        <v>2</v>
      </c>
      <c r="N15" s="290">
        <v>12</v>
      </c>
      <c r="O15" s="290">
        <v>242</v>
      </c>
      <c r="P15" s="290">
        <v>1</v>
      </c>
      <c r="Q15" s="290">
        <v>36.549999999999997</v>
      </c>
      <c r="R15" s="294" t="s">
        <v>9</v>
      </c>
      <c r="S15" s="296">
        <v>4749500</v>
      </c>
      <c r="T15" s="290">
        <v>129945.28</v>
      </c>
      <c r="U15" s="296"/>
      <c r="V15" s="290">
        <v>4749500</v>
      </c>
      <c r="W15" s="290">
        <v>129945.2804377565</v>
      </c>
      <c r="X15" s="290"/>
      <c r="Y15" s="290">
        <v>4749500</v>
      </c>
      <c r="Z15" s="290">
        <v>129945.2804377565</v>
      </c>
      <c r="AA15" s="294"/>
      <c r="AB15" s="296"/>
      <c r="AC15" s="294" t="s">
        <v>505</v>
      </c>
      <c r="AD15" s="294" t="s">
        <v>506</v>
      </c>
      <c r="AE15" s="296">
        <v>1200000</v>
      </c>
      <c r="AK15" s="290"/>
      <c r="AM15" s="290"/>
      <c r="AN15" s="290">
        <v>0</v>
      </c>
      <c r="AO15" s="294" t="s">
        <v>623</v>
      </c>
      <c r="AP15" s="295">
        <v>79277403430</v>
      </c>
      <c r="AQ15" s="294" t="s">
        <v>523</v>
      </c>
      <c r="AR15" s="293">
        <v>37011</v>
      </c>
      <c r="AS15" s="292" t="s">
        <v>509</v>
      </c>
      <c r="AT15" s="294" t="s">
        <v>510</v>
      </c>
      <c r="AU15" s="295">
        <v>3620</v>
      </c>
      <c r="AV15" s="295">
        <v>939951</v>
      </c>
      <c r="AW15" s="293">
        <v>44334</v>
      </c>
      <c r="AX15" s="294" t="s">
        <v>624</v>
      </c>
      <c r="AY15" s="294" t="s">
        <v>512</v>
      </c>
      <c r="AZ15" s="294" t="s">
        <v>625</v>
      </c>
      <c r="BA15" s="294" t="s">
        <v>625</v>
      </c>
      <c r="BC15" s="294" t="s">
        <v>626</v>
      </c>
      <c r="BD15" s="294" t="s">
        <v>627</v>
      </c>
      <c r="BE15" s="294" t="s">
        <v>539</v>
      </c>
      <c r="BF15" s="294" t="s">
        <v>553</v>
      </c>
      <c r="BG15" s="294" t="s">
        <v>506</v>
      </c>
      <c r="BH15" s="294" t="s">
        <v>426</v>
      </c>
      <c r="BI15" s="291"/>
      <c r="BJ15" s="290"/>
    </row>
    <row r="16" spans="1:62" s="295" customFormat="1" x14ac:dyDescent="0.25">
      <c r="A16" s="290">
        <v>2581</v>
      </c>
      <c r="B16" s="290">
        <v>13</v>
      </c>
      <c r="C16" s="293">
        <v>45705</v>
      </c>
      <c r="D16" s="294" t="s">
        <v>628</v>
      </c>
      <c r="E16" s="292" t="s">
        <v>499</v>
      </c>
      <c r="F16" s="292" t="s">
        <v>500</v>
      </c>
      <c r="G16" s="290" t="s">
        <v>520</v>
      </c>
      <c r="H16" s="291"/>
      <c r="I16" s="291">
        <v>45708</v>
      </c>
      <c r="J16" s="294" t="s">
        <v>629</v>
      </c>
      <c r="K16" s="292" t="s">
        <v>503</v>
      </c>
      <c r="L16" s="292" t="s">
        <v>504</v>
      </c>
      <c r="M16" s="290">
        <v>1</v>
      </c>
      <c r="N16" s="290">
        <v>11</v>
      </c>
      <c r="O16" s="290">
        <v>235</v>
      </c>
      <c r="P16" s="290">
        <v>1</v>
      </c>
      <c r="Q16" s="290">
        <v>44.16</v>
      </c>
      <c r="R16" s="294" t="s">
        <v>9</v>
      </c>
      <c r="S16" s="296">
        <v>5465656</v>
      </c>
      <c r="T16" s="290">
        <v>123769.38</v>
      </c>
      <c r="U16" s="296"/>
      <c r="V16" s="290">
        <v>5465656</v>
      </c>
      <c r="W16" s="290">
        <v>123769.38405797102</v>
      </c>
      <c r="X16" s="290"/>
      <c r="Y16" s="290">
        <v>5465656</v>
      </c>
      <c r="Z16" s="290">
        <v>123769.38405797102</v>
      </c>
      <c r="AA16" s="294" t="s">
        <v>437</v>
      </c>
      <c r="AB16" s="296">
        <v>111544</v>
      </c>
      <c r="AC16" s="294" t="s">
        <v>505</v>
      </c>
      <c r="AD16" s="294" t="s">
        <v>506</v>
      </c>
      <c r="AE16" s="296">
        <v>546566</v>
      </c>
      <c r="AK16" s="290"/>
      <c r="AM16" s="290"/>
      <c r="AN16" s="290">
        <v>0</v>
      </c>
      <c r="AO16" s="294" t="s">
        <v>602</v>
      </c>
      <c r="AP16" s="295">
        <v>79171447745</v>
      </c>
      <c r="AQ16" s="294" t="s">
        <v>508</v>
      </c>
      <c r="AR16" s="293">
        <v>26988</v>
      </c>
      <c r="AS16" s="292" t="s">
        <v>509</v>
      </c>
      <c r="AT16" s="294" t="s">
        <v>510</v>
      </c>
      <c r="AU16" s="295">
        <v>3619</v>
      </c>
      <c r="AV16" s="295">
        <v>667236</v>
      </c>
      <c r="AW16" s="293">
        <v>43600</v>
      </c>
      <c r="AX16" s="294" t="s">
        <v>533</v>
      </c>
      <c r="AY16" s="294" t="s">
        <v>512</v>
      </c>
      <c r="AZ16" s="294" t="s">
        <v>603</v>
      </c>
      <c r="BA16" s="294" t="s">
        <v>603</v>
      </c>
      <c r="BC16" s="294" t="s">
        <v>604</v>
      </c>
      <c r="BD16" s="294" t="s">
        <v>605</v>
      </c>
      <c r="BE16" s="294" t="s">
        <v>577</v>
      </c>
      <c r="BF16" s="294" t="s">
        <v>518</v>
      </c>
      <c r="BG16" s="294" t="s">
        <v>506</v>
      </c>
      <c r="BH16" s="294" t="s">
        <v>426</v>
      </c>
      <c r="BI16" s="291"/>
      <c r="BJ16" s="290"/>
    </row>
    <row r="17" spans="1:63" s="295" customFormat="1" x14ac:dyDescent="0.25">
      <c r="A17" s="290">
        <v>2582</v>
      </c>
      <c r="B17" s="290">
        <v>14</v>
      </c>
      <c r="C17" s="293">
        <v>45705</v>
      </c>
      <c r="D17" s="294" t="s">
        <v>630</v>
      </c>
      <c r="E17" s="292" t="s">
        <v>499</v>
      </c>
      <c r="F17" s="292" t="s">
        <v>500</v>
      </c>
      <c r="G17" s="290" t="s">
        <v>520</v>
      </c>
      <c r="H17" s="291"/>
      <c r="I17" s="291">
        <v>45708</v>
      </c>
      <c r="J17" s="294" t="s">
        <v>631</v>
      </c>
      <c r="K17" s="292" t="s">
        <v>503</v>
      </c>
      <c r="L17" s="292" t="s">
        <v>504</v>
      </c>
      <c r="M17" s="290">
        <v>2</v>
      </c>
      <c r="N17" s="290">
        <v>6</v>
      </c>
      <c r="O17" s="290">
        <v>206</v>
      </c>
      <c r="P17" s="290">
        <v>1</v>
      </c>
      <c r="Q17" s="290">
        <v>36.64</v>
      </c>
      <c r="R17" s="294" t="s">
        <v>9</v>
      </c>
      <c r="S17" s="296">
        <v>4665976</v>
      </c>
      <c r="T17" s="290">
        <v>127346.51</v>
      </c>
      <c r="U17" s="296"/>
      <c r="V17" s="290">
        <v>4665976</v>
      </c>
      <c r="W17" s="290">
        <v>127346.50655021834</v>
      </c>
      <c r="X17" s="290"/>
      <c r="Y17" s="290">
        <v>4665976</v>
      </c>
      <c r="Z17" s="290">
        <v>127346.50655021834</v>
      </c>
      <c r="AA17" s="294" t="s">
        <v>544</v>
      </c>
      <c r="AB17" s="296">
        <v>95224</v>
      </c>
      <c r="AC17" s="294" t="s">
        <v>505</v>
      </c>
      <c r="AD17" s="294" t="s">
        <v>506</v>
      </c>
      <c r="AE17" s="296">
        <v>467000</v>
      </c>
      <c r="AK17" s="290"/>
      <c r="AM17" s="290"/>
      <c r="AN17" s="290">
        <v>0</v>
      </c>
      <c r="AO17" s="294" t="s">
        <v>632</v>
      </c>
      <c r="AP17" s="295">
        <v>79277787464</v>
      </c>
      <c r="AQ17" s="294" t="s">
        <v>508</v>
      </c>
      <c r="AR17" s="293">
        <v>31232</v>
      </c>
      <c r="AS17" s="292" t="s">
        <v>509</v>
      </c>
      <c r="AT17" s="294" t="s">
        <v>510</v>
      </c>
      <c r="AU17" s="295">
        <v>3605</v>
      </c>
      <c r="AV17" s="295">
        <v>375996</v>
      </c>
      <c r="AW17" s="293">
        <v>38658</v>
      </c>
      <c r="AX17" s="294" t="s">
        <v>633</v>
      </c>
      <c r="AY17" s="294" t="s">
        <v>634</v>
      </c>
      <c r="AZ17" s="294" t="s">
        <v>635</v>
      </c>
      <c r="BA17" s="294" t="s">
        <v>635</v>
      </c>
      <c r="BC17" s="294" t="s">
        <v>636</v>
      </c>
      <c r="BD17" s="294" t="s">
        <v>637</v>
      </c>
      <c r="BE17" s="294" t="s">
        <v>638</v>
      </c>
      <c r="BF17" s="294" t="s">
        <v>553</v>
      </c>
      <c r="BG17" s="294" t="s">
        <v>506</v>
      </c>
      <c r="BH17" s="294" t="s">
        <v>426</v>
      </c>
      <c r="BI17" s="291"/>
      <c r="BJ17" s="290"/>
    </row>
    <row r="18" spans="1:63" s="295" customFormat="1" x14ac:dyDescent="0.25">
      <c r="A18" s="290">
        <v>2583</v>
      </c>
      <c r="B18" s="290">
        <v>15</v>
      </c>
      <c r="C18" s="293">
        <v>45706</v>
      </c>
      <c r="D18" s="294" t="s">
        <v>639</v>
      </c>
      <c r="E18" s="292" t="s">
        <v>499</v>
      </c>
      <c r="F18" s="292" t="s">
        <v>500</v>
      </c>
      <c r="G18" s="290" t="s">
        <v>520</v>
      </c>
      <c r="H18" s="291"/>
      <c r="I18" s="291">
        <v>45709</v>
      </c>
      <c r="J18" s="294" t="s">
        <v>640</v>
      </c>
      <c r="K18" s="292" t="s">
        <v>503</v>
      </c>
      <c r="L18" s="292" t="s">
        <v>543</v>
      </c>
      <c r="M18" s="290">
        <v>5</v>
      </c>
      <c r="N18" s="290">
        <v>10</v>
      </c>
      <c r="O18" s="290">
        <v>53</v>
      </c>
      <c r="P18" s="290">
        <v>1</v>
      </c>
      <c r="Q18" s="290">
        <v>36.92</v>
      </c>
      <c r="R18" s="294" t="s">
        <v>9</v>
      </c>
      <c r="S18" s="296">
        <v>4701648</v>
      </c>
      <c r="T18" s="290">
        <v>127346.91</v>
      </c>
      <c r="U18" s="296"/>
      <c r="V18" s="290">
        <v>4701648</v>
      </c>
      <c r="W18" s="290">
        <v>127346.91224268689</v>
      </c>
      <c r="X18" s="290"/>
      <c r="Y18" s="290">
        <v>4701648</v>
      </c>
      <c r="Z18" s="290">
        <v>127346.91224268689</v>
      </c>
      <c r="AA18" s="294" t="s">
        <v>544</v>
      </c>
      <c r="AB18" s="296">
        <v>95952</v>
      </c>
      <c r="AC18" s="294" t="s">
        <v>505</v>
      </c>
      <c r="AD18" s="294" t="s">
        <v>506</v>
      </c>
      <c r="AE18" s="296">
        <v>470164</v>
      </c>
      <c r="AK18" s="290"/>
      <c r="AM18" s="290"/>
      <c r="AN18" s="290">
        <v>0</v>
      </c>
      <c r="AO18" s="294" t="s">
        <v>641</v>
      </c>
      <c r="AP18" s="295">
        <v>79277355304</v>
      </c>
      <c r="AQ18" s="294" t="s">
        <v>508</v>
      </c>
      <c r="AR18" s="293">
        <v>27129</v>
      </c>
      <c r="AS18" s="292" t="s">
        <v>509</v>
      </c>
      <c r="AT18" s="294" t="s">
        <v>510</v>
      </c>
      <c r="AU18" s="295">
        <v>3619</v>
      </c>
      <c r="AV18" s="295">
        <v>656885</v>
      </c>
      <c r="AW18" s="293">
        <v>43579</v>
      </c>
      <c r="AX18" s="294" t="s">
        <v>609</v>
      </c>
      <c r="AY18" s="294" t="s">
        <v>512</v>
      </c>
      <c r="AZ18" s="294" t="s">
        <v>642</v>
      </c>
      <c r="BA18" s="294" t="s">
        <v>642</v>
      </c>
      <c r="BC18" s="294" t="s">
        <v>643</v>
      </c>
      <c r="BD18" s="294" t="s">
        <v>644</v>
      </c>
      <c r="BE18" s="294" t="s">
        <v>645</v>
      </c>
      <c r="BF18" s="294" t="s">
        <v>563</v>
      </c>
      <c r="BG18" s="294" t="s">
        <v>506</v>
      </c>
      <c r="BH18" s="294" t="s">
        <v>426</v>
      </c>
      <c r="BI18" s="291"/>
      <c r="BJ18" s="290"/>
    </row>
    <row r="19" spans="1:63" s="295" customFormat="1" x14ac:dyDescent="0.25">
      <c r="A19" s="290">
        <v>2585</v>
      </c>
      <c r="B19" s="290">
        <v>17</v>
      </c>
      <c r="C19" s="293">
        <v>45706</v>
      </c>
      <c r="D19" s="294" t="s">
        <v>646</v>
      </c>
      <c r="E19" s="292" t="s">
        <v>499</v>
      </c>
      <c r="F19" s="292" t="s">
        <v>500</v>
      </c>
      <c r="G19" s="290" t="s">
        <v>520</v>
      </c>
      <c r="H19" s="291"/>
      <c r="I19" s="291">
        <v>45709</v>
      </c>
      <c r="J19" s="294" t="s">
        <v>647</v>
      </c>
      <c r="K19" s="292" t="s">
        <v>503</v>
      </c>
      <c r="L19" s="292" t="s">
        <v>504</v>
      </c>
      <c r="M19" s="290">
        <v>3</v>
      </c>
      <c r="N19" s="290">
        <v>15</v>
      </c>
      <c r="O19" s="290">
        <v>261</v>
      </c>
      <c r="P19" s="290">
        <v>2</v>
      </c>
      <c r="Q19" s="290">
        <v>54.08</v>
      </c>
      <c r="R19" s="294" t="s">
        <v>9</v>
      </c>
      <c r="S19" s="296">
        <v>6469512</v>
      </c>
      <c r="T19" s="290">
        <v>119628.55</v>
      </c>
      <c r="U19" s="296"/>
      <c r="V19" s="290">
        <v>6469512</v>
      </c>
      <c r="W19" s="290">
        <v>119628.55029585799</v>
      </c>
      <c r="X19" s="290"/>
      <c r="Y19" s="290">
        <v>6469512</v>
      </c>
      <c r="Z19" s="290">
        <v>119628.55029585799</v>
      </c>
      <c r="AA19" s="294" t="s">
        <v>133</v>
      </c>
      <c r="AB19" s="296">
        <v>200088</v>
      </c>
      <c r="AC19" s="294" t="s">
        <v>505</v>
      </c>
      <c r="AD19" s="294" t="s">
        <v>506</v>
      </c>
      <c r="AE19" s="296">
        <v>650000</v>
      </c>
      <c r="AK19" s="290"/>
      <c r="AM19" s="290"/>
      <c r="AN19" s="290">
        <v>0</v>
      </c>
      <c r="AO19" s="294" t="s">
        <v>648</v>
      </c>
      <c r="AP19" s="295">
        <v>79029705382</v>
      </c>
      <c r="AQ19" s="294" t="s">
        <v>523</v>
      </c>
      <c r="AR19" s="293">
        <v>34514</v>
      </c>
      <c r="AS19" s="292" t="s">
        <v>509</v>
      </c>
      <c r="AT19" s="294" t="s">
        <v>510</v>
      </c>
      <c r="AU19" s="295">
        <v>3622</v>
      </c>
      <c r="AV19" s="295">
        <v>50466</v>
      </c>
      <c r="AW19" s="293">
        <v>44516</v>
      </c>
      <c r="AX19" s="294" t="s">
        <v>649</v>
      </c>
      <c r="AY19" s="294" t="s">
        <v>512</v>
      </c>
      <c r="AZ19" s="294" t="s">
        <v>650</v>
      </c>
      <c r="BA19" s="294" t="s">
        <v>650</v>
      </c>
      <c r="BC19" s="294" t="s">
        <v>651</v>
      </c>
      <c r="BD19" s="294" t="s">
        <v>652</v>
      </c>
      <c r="BE19" s="294" t="s">
        <v>539</v>
      </c>
      <c r="BF19" s="294" t="s">
        <v>540</v>
      </c>
      <c r="BG19" s="294" t="s">
        <v>506</v>
      </c>
      <c r="BH19" s="294" t="s">
        <v>426</v>
      </c>
      <c r="BI19" s="291"/>
      <c r="BJ19" s="290"/>
    </row>
    <row r="20" spans="1:63" s="295" customFormat="1" x14ac:dyDescent="0.25">
      <c r="A20">
        <v>2586</v>
      </c>
      <c r="B20">
        <v>18</v>
      </c>
      <c r="C20" s="293">
        <v>45708</v>
      </c>
      <c r="D20" s="294" t="s">
        <v>653</v>
      </c>
      <c r="E20" s="289" t="s">
        <v>499</v>
      </c>
      <c r="F20" s="289" t="s">
        <v>500</v>
      </c>
      <c r="G20" t="s">
        <v>520</v>
      </c>
      <c r="H20" s="288"/>
      <c r="I20" s="288">
        <v>45711</v>
      </c>
      <c r="J20" s="294" t="s">
        <v>654</v>
      </c>
      <c r="K20" s="289" t="s">
        <v>503</v>
      </c>
      <c r="L20" s="289" t="s">
        <v>543</v>
      </c>
      <c r="M20">
        <v>1</v>
      </c>
      <c r="N20">
        <v>15</v>
      </c>
      <c r="O20">
        <v>79</v>
      </c>
      <c r="P20">
        <v>0</v>
      </c>
      <c r="Q20">
        <v>29.4</v>
      </c>
      <c r="R20" s="294" t="s">
        <v>9</v>
      </c>
      <c r="S20" s="296">
        <v>4060532</v>
      </c>
      <c r="T20">
        <v>138113.32999999999</v>
      </c>
      <c r="U20" s="296"/>
      <c r="V20">
        <v>4060532</v>
      </c>
      <c r="W20">
        <v>138113.33333333334</v>
      </c>
      <c r="X20"/>
      <c r="Y20">
        <v>4060532</v>
      </c>
      <c r="Z20">
        <v>138113.33333333334</v>
      </c>
      <c r="AA20" s="294" t="s">
        <v>437</v>
      </c>
      <c r="AB20" s="296">
        <v>82868</v>
      </c>
      <c r="AC20" s="294" t="s">
        <v>505</v>
      </c>
      <c r="AD20" s="289" t="s">
        <v>506</v>
      </c>
      <c r="AE20" s="296">
        <v>407000</v>
      </c>
      <c r="AF20"/>
      <c r="AG20"/>
      <c r="AH20"/>
      <c r="AI20"/>
      <c r="AJ20"/>
      <c r="AK20"/>
      <c r="AL20"/>
      <c r="AM20"/>
      <c r="AN20">
        <v>0</v>
      </c>
      <c r="AO20" s="289" t="s">
        <v>655</v>
      </c>
      <c r="AP20">
        <v>79379815552</v>
      </c>
      <c r="AQ20" s="289" t="s">
        <v>523</v>
      </c>
      <c r="AR20" s="288">
        <v>31111</v>
      </c>
      <c r="AS20" s="289" t="s">
        <v>509</v>
      </c>
      <c r="AT20" s="289" t="s">
        <v>510</v>
      </c>
      <c r="AU20">
        <v>3613</v>
      </c>
      <c r="AV20">
        <v>783060</v>
      </c>
      <c r="AW20" s="288">
        <v>41478</v>
      </c>
      <c r="AX20" s="289" t="s">
        <v>609</v>
      </c>
      <c r="AY20" s="289" t="s">
        <v>656</v>
      </c>
      <c r="AZ20" s="289" t="s">
        <v>657</v>
      </c>
      <c r="BA20" s="289" t="s">
        <v>657</v>
      </c>
      <c r="BB20"/>
      <c r="BC20" s="289" t="s">
        <v>658</v>
      </c>
      <c r="BD20" s="289" t="s">
        <v>659</v>
      </c>
      <c r="BE20" s="289" t="s">
        <v>660</v>
      </c>
      <c r="BF20" s="294" t="s">
        <v>661</v>
      </c>
      <c r="BG20" s="292" t="s">
        <v>506</v>
      </c>
      <c r="BH20" s="292" t="s">
        <v>426</v>
      </c>
      <c r="BI20" s="288"/>
      <c r="BJ20"/>
      <c r="BK20"/>
    </row>
    <row r="21" spans="1:63" s="295" customFormat="1" x14ac:dyDescent="0.25">
      <c r="A21">
        <v>2589</v>
      </c>
      <c r="B21">
        <v>21</v>
      </c>
      <c r="C21" s="293">
        <v>45712</v>
      </c>
      <c r="D21" s="294" t="s">
        <v>662</v>
      </c>
      <c r="E21" s="289" t="s">
        <v>499</v>
      </c>
      <c r="F21" s="289" t="s">
        <v>500</v>
      </c>
      <c r="G21" t="s">
        <v>520</v>
      </c>
      <c r="H21" s="288"/>
      <c r="I21" s="288">
        <v>45715</v>
      </c>
      <c r="J21" s="294" t="s">
        <v>663</v>
      </c>
      <c r="K21" s="289" t="s">
        <v>503</v>
      </c>
      <c r="L21" s="289" t="s">
        <v>616</v>
      </c>
      <c r="M21">
        <v>1</v>
      </c>
      <c r="N21">
        <v>10</v>
      </c>
      <c r="O21">
        <v>157</v>
      </c>
      <c r="P21">
        <v>2</v>
      </c>
      <c r="Q21">
        <v>65.650000000000006</v>
      </c>
      <c r="R21" s="294" t="s">
        <v>9</v>
      </c>
      <c r="S21" s="296">
        <v>7549413</v>
      </c>
      <c r="T21">
        <v>114994.87</v>
      </c>
      <c r="U21" s="296"/>
      <c r="V21">
        <v>7549413</v>
      </c>
      <c r="W21">
        <v>114994.86671744096</v>
      </c>
      <c r="X21"/>
      <c r="Y21">
        <v>7549413</v>
      </c>
      <c r="Z21">
        <v>114994.86671744096</v>
      </c>
      <c r="AA21" s="294" t="s">
        <v>435</v>
      </c>
      <c r="AB21" s="296">
        <v>233487.00000000093</v>
      </c>
      <c r="AC21" s="294" t="s">
        <v>505</v>
      </c>
      <c r="AD21" s="289" t="s">
        <v>506</v>
      </c>
      <c r="AE21" s="296">
        <v>755000</v>
      </c>
      <c r="AF21"/>
      <c r="AG21"/>
      <c r="AH21"/>
      <c r="AI21"/>
      <c r="AJ21"/>
      <c r="AK21"/>
      <c r="AL21"/>
      <c r="AM21"/>
      <c r="AN21">
        <v>0</v>
      </c>
      <c r="AO21" s="289" t="s">
        <v>664</v>
      </c>
      <c r="AP21">
        <v>79879854722</v>
      </c>
      <c r="AQ21" s="289" t="s">
        <v>508</v>
      </c>
      <c r="AR21" s="288">
        <v>32721</v>
      </c>
      <c r="AS21" s="289" t="s">
        <v>509</v>
      </c>
      <c r="AT21" s="289" t="s">
        <v>510</v>
      </c>
      <c r="AU21">
        <v>3609</v>
      </c>
      <c r="AV21">
        <v>148699</v>
      </c>
      <c r="AW21" s="288">
        <v>40130</v>
      </c>
      <c r="AX21" s="289" t="s">
        <v>609</v>
      </c>
      <c r="AY21" s="289" t="s">
        <v>656</v>
      </c>
      <c r="AZ21" s="289" t="s">
        <v>665</v>
      </c>
      <c r="BA21" s="289" t="s">
        <v>665</v>
      </c>
      <c r="BB21"/>
      <c r="BC21" s="289" t="s">
        <v>666</v>
      </c>
      <c r="BD21" s="289" t="s">
        <v>667</v>
      </c>
      <c r="BE21" s="289" t="s">
        <v>660</v>
      </c>
      <c r="BF21" s="294" t="s">
        <v>540</v>
      </c>
      <c r="BG21" s="289" t="s">
        <v>506</v>
      </c>
      <c r="BH21" s="289" t="s">
        <v>426</v>
      </c>
      <c r="BI21" s="288"/>
      <c r="BJ21"/>
      <c r="BK21"/>
    </row>
    <row r="22" spans="1:63" s="295" customFormat="1" x14ac:dyDescent="0.25">
      <c r="A22">
        <v>2590</v>
      </c>
      <c r="B22">
        <v>22</v>
      </c>
      <c r="C22" s="293">
        <v>45712</v>
      </c>
      <c r="D22" s="294" t="s">
        <v>668</v>
      </c>
      <c r="E22" s="289" t="s">
        <v>499</v>
      </c>
      <c r="F22" s="289" t="s">
        <v>500</v>
      </c>
      <c r="G22" t="s">
        <v>520</v>
      </c>
      <c r="H22" s="288"/>
      <c r="I22" s="288">
        <v>45715</v>
      </c>
      <c r="J22" s="294" t="s">
        <v>663</v>
      </c>
      <c r="K22" s="289" t="s">
        <v>503</v>
      </c>
      <c r="L22" s="289" t="s">
        <v>616</v>
      </c>
      <c r="M22">
        <v>2</v>
      </c>
      <c r="N22">
        <v>10</v>
      </c>
      <c r="O22">
        <v>158</v>
      </c>
      <c r="P22">
        <v>1</v>
      </c>
      <c r="Q22">
        <v>36.56</v>
      </c>
      <c r="R22" s="294" t="s">
        <v>9</v>
      </c>
      <c r="S22" s="296">
        <v>4391772</v>
      </c>
      <c r="T22">
        <v>120125.05</v>
      </c>
      <c r="U22" s="296"/>
      <c r="V22">
        <v>4391772</v>
      </c>
      <c r="W22">
        <v>120125.05470459518</v>
      </c>
      <c r="X22"/>
      <c r="Y22">
        <v>4391772</v>
      </c>
      <c r="Z22">
        <v>120125.05470459518</v>
      </c>
      <c r="AA22" s="294" t="s">
        <v>435</v>
      </c>
      <c r="AB22" s="296">
        <v>135828</v>
      </c>
      <c r="AC22" s="294" t="s">
        <v>505</v>
      </c>
      <c r="AD22" s="289" t="s">
        <v>506</v>
      </c>
      <c r="AE22" s="296">
        <v>440000</v>
      </c>
      <c r="AF22"/>
      <c r="AG22"/>
      <c r="AH22"/>
      <c r="AI22"/>
      <c r="AJ22"/>
      <c r="AK22"/>
      <c r="AL22"/>
      <c r="AM22"/>
      <c r="AN22">
        <v>0</v>
      </c>
      <c r="AO22" s="289" t="s">
        <v>664</v>
      </c>
      <c r="AP22">
        <v>79879854722</v>
      </c>
      <c r="AQ22" s="289" t="s">
        <v>508</v>
      </c>
      <c r="AR22" s="288">
        <v>32721</v>
      </c>
      <c r="AS22" s="289" t="s">
        <v>509</v>
      </c>
      <c r="AT22" s="289" t="s">
        <v>510</v>
      </c>
      <c r="AU22">
        <v>3609</v>
      </c>
      <c r="AV22">
        <v>148699</v>
      </c>
      <c r="AW22" s="288">
        <v>40130</v>
      </c>
      <c r="AX22" s="289" t="s">
        <v>609</v>
      </c>
      <c r="AY22" s="289" t="s">
        <v>656</v>
      </c>
      <c r="AZ22" s="289" t="s">
        <v>665</v>
      </c>
      <c r="BA22" s="289" t="s">
        <v>665</v>
      </c>
      <c r="BB22"/>
      <c r="BC22" s="289" t="s">
        <v>666</v>
      </c>
      <c r="BD22" s="289" t="s">
        <v>667</v>
      </c>
      <c r="BE22" s="289" t="s">
        <v>660</v>
      </c>
      <c r="BF22" s="294" t="s">
        <v>540</v>
      </c>
      <c r="BG22" s="289" t="s">
        <v>506</v>
      </c>
      <c r="BH22" s="289" t="s">
        <v>426</v>
      </c>
      <c r="BI22" s="288"/>
      <c r="BJ22"/>
      <c r="BK22"/>
    </row>
    <row r="23" spans="1:63" s="295" customFormat="1" x14ac:dyDescent="0.25">
      <c r="A23">
        <v>2592</v>
      </c>
      <c r="B23">
        <v>24</v>
      </c>
      <c r="C23" s="293">
        <v>45713</v>
      </c>
      <c r="D23" s="294" t="s">
        <v>669</v>
      </c>
      <c r="E23" s="289" t="s">
        <v>499</v>
      </c>
      <c r="F23" s="289" t="s">
        <v>500</v>
      </c>
      <c r="G23" t="s">
        <v>520</v>
      </c>
      <c r="H23" s="288"/>
      <c r="I23" s="288">
        <v>45716</v>
      </c>
      <c r="J23" s="294" t="s">
        <v>670</v>
      </c>
      <c r="K23" s="289" t="s">
        <v>503</v>
      </c>
      <c r="L23" s="289" t="s">
        <v>504</v>
      </c>
      <c r="M23">
        <v>1</v>
      </c>
      <c r="N23">
        <v>7</v>
      </c>
      <c r="O23">
        <v>211</v>
      </c>
      <c r="P23">
        <v>1</v>
      </c>
      <c r="Q23">
        <v>44.25</v>
      </c>
      <c r="R23" s="294" t="s">
        <v>9</v>
      </c>
      <c r="S23" s="296">
        <v>5480900</v>
      </c>
      <c r="T23">
        <v>123862.15</v>
      </c>
      <c r="U23" s="296"/>
      <c r="V23">
        <v>5480900</v>
      </c>
      <c r="W23">
        <v>123862.14689265536</v>
      </c>
      <c r="X23"/>
      <c r="Y23">
        <v>5480900</v>
      </c>
      <c r="Z23">
        <v>123862.14689265536</v>
      </c>
      <c r="AA23" s="294"/>
      <c r="AB23" s="296"/>
      <c r="AC23" s="294" t="s">
        <v>505</v>
      </c>
      <c r="AD23" s="289" t="s">
        <v>506</v>
      </c>
      <c r="AE23" s="296">
        <v>550000</v>
      </c>
      <c r="AF23"/>
      <c r="AG23"/>
      <c r="AH23"/>
      <c r="AI23"/>
      <c r="AJ23"/>
      <c r="AK23"/>
      <c r="AL23"/>
      <c r="AM23"/>
      <c r="AN23">
        <v>0</v>
      </c>
      <c r="AO23" s="289" t="s">
        <v>671</v>
      </c>
      <c r="AP23">
        <v>79277050405</v>
      </c>
      <c r="AQ23" s="289" t="s">
        <v>523</v>
      </c>
      <c r="AR23" s="288">
        <v>35447</v>
      </c>
      <c r="AS23" s="289" t="s">
        <v>509</v>
      </c>
      <c r="AT23" s="289" t="s">
        <v>510</v>
      </c>
      <c r="AU23">
        <v>3619</v>
      </c>
      <c r="AV23">
        <v>729625</v>
      </c>
      <c r="AW23" s="288">
        <v>43742</v>
      </c>
      <c r="AX23" s="289" t="s">
        <v>609</v>
      </c>
      <c r="AY23" s="289" t="s">
        <v>512</v>
      </c>
      <c r="AZ23" s="289" t="s">
        <v>672</v>
      </c>
      <c r="BA23" s="289" t="s">
        <v>672</v>
      </c>
      <c r="BB23"/>
      <c r="BC23" s="289" t="s">
        <v>673</v>
      </c>
      <c r="BD23" s="289" t="s">
        <v>674</v>
      </c>
      <c r="BE23" s="289" t="s">
        <v>613</v>
      </c>
      <c r="BF23" s="294" t="s">
        <v>540</v>
      </c>
      <c r="BG23" s="289" t="s">
        <v>506</v>
      </c>
      <c r="BH23" s="289" t="s">
        <v>426</v>
      </c>
      <c r="BI23" s="288"/>
      <c r="BJ23"/>
      <c r="BK23"/>
    </row>
    <row r="24" spans="1:63" s="290" customFormat="1" x14ac:dyDescent="0.25">
      <c r="A24" s="290">
        <v>2594</v>
      </c>
      <c r="B24" s="290">
        <v>26</v>
      </c>
      <c r="C24" s="291">
        <v>45714</v>
      </c>
      <c r="D24" s="292" t="s">
        <v>675</v>
      </c>
      <c r="E24" s="292" t="s">
        <v>499</v>
      </c>
      <c r="F24" s="292" t="s">
        <v>500</v>
      </c>
      <c r="G24" s="290" t="s">
        <v>520</v>
      </c>
      <c r="H24" s="291"/>
      <c r="I24" s="291">
        <v>45716</v>
      </c>
      <c r="J24" s="292" t="s">
        <v>676</v>
      </c>
      <c r="K24" s="292" t="s">
        <v>503</v>
      </c>
      <c r="L24" s="292" t="s">
        <v>543</v>
      </c>
      <c r="M24" s="290">
        <v>5</v>
      </c>
      <c r="N24" s="290">
        <v>7</v>
      </c>
      <c r="O24" s="290">
        <v>35</v>
      </c>
      <c r="P24" s="290">
        <v>1</v>
      </c>
      <c r="Q24" s="290">
        <v>37.01</v>
      </c>
      <c r="R24" s="292" t="s">
        <v>9</v>
      </c>
      <c r="S24" s="297">
        <v>4573556</v>
      </c>
      <c r="T24" s="290">
        <v>123576.22</v>
      </c>
      <c r="U24" s="297">
        <v>15000</v>
      </c>
      <c r="V24" s="290">
        <v>4588556</v>
      </c>
      <c r="W24" s="290">
        <v>123981.51850851122</v>
      </c>
      <c r="Y24" s="290">
        <v>4588556</v>
      </c>
      <c r="Z24" s="290">
        <v>123981.51850851122</v>
      </c>
      <c r="AA24" s="292"/>
      <c r="AB24" s="297"/>
      <c r="AC24" s="292" t="s">
        <v>505</v>
      </c>
      <c r="AD24" s="292" t="s">
        <v>506</v>
      </c>
      <c r="AE24" s="297">
        <v>229277</v>
      </c>
      <c r="AN24" s="290">
        <v>0</v>
      </c>
      <c r="AO24" s="292" t="s">
        <v>677</v>
      </c>
      <c r="AP24" s="290">
        <v>79271686168</v>
      </c>
      <c r="AQ24" s="292" t="s">
        <v>523</v>
      </c>
      <c r="AR24" s="291">
        <v>30041</v>
      </c>
      <c r="AS24" s="292" t="s">
        <v>509</v>
      </c>
      <c r="AT24" s="292" t="s">
        <v>510</v>
      </c>
      <c r="AU24" s="290">
        <v>6304</v>
      </c>
      <c r="AV24" s="290">
        <v>659871</v>
      </c>
      <c r="AW24" s="291">
        <v>38532</v>
      </c>
      <c r="AX24" s="292" t="s">
        <v>678</v>
      </c>
      <c r="AY24" s="292" t="s">
        <v>679</v>
      </c>
      <c r="AZ24" s="292" t="s">
        <v>680</v>
      </c>
      <c r="BA24" s="292" t="s">
        <v>680</v>
      </c>
      <c r="BC24" s="292" t="s">
        <v>681</v>
      </c>
      <c r="BD24" s="292" t="s">
        <v>682</v>
      </c>
      <c r="BE24" s="292" t="s">
        <v>529</v>
      </c>
      <c r="BF24" s="292" t="s">
        <v>563</v>
      </c>
      <c r="BG24" s="292" t="s">
        <v>506</v>
      </c>
      <c r="BH24" s="292" t="s">
        <v>426</v>
      </c>
      <c r="BI24" s="291"/>
    </row>
    <row r="25" spans="1:63" s="295" customFormat="1" x14ac:dyDescent="0.25">
      <c r="A25">
        <v>2595</v>
      </c>
      <c r="B25">
        <v>27</v>
      </c>
      <c r="C25" s="293">
        <v>45714</v>
      </c>
      <c r="D25" s="294" t="s">
        <v>683</v>
      </c>
      <c r="E25" s="289" t="s">
        <v>499</v>
      </c>
      <c r="F25" s="289" t="s">
        <v>500</v>
      </c>
      <c r="G25" t="s">
        <v>520</v>
      </c>
      <c r="H25" s="288"/>
      <c r="I25" s="288">
        <v>45716</v>
      </c>
      <c r="J25" s="294" t="s">
        <v>684</v>
      </c>
      <c r="K25" s="289" t="s">
        <v>503</v>
      </c>
      <c r="L25" s="289" t="s">
        <v>504</v>
      </c>
      <c r="M25">
        <v>2</v>
      </c>
      <c r="N25">
        <v>14</v>
      </c>
      <c r="O25">
        <v>254</v>
      </c>
      <c r="P25">
        <v>1</v>
      </c>
      <c r="Q25">
        <v>36.35</v>
      </c>
      <c r="R25" s="294" t="s">
        <v>434</v>
      </c>
      <c r="S25" s="296">
        <v>4953540</v>
      </c>
      <c r="T25">
        <v>136273.45000000001</v>
      </c>
      <c r="U25" s="296"/>
      <c r="V25">
        <v>4953540</v>
      </c>
      <c r="W25">
        <v>136273.45254470425</v>
      </c>
      <c r="X25">
        <v>363500</v>
      </c>
      <c r="Y25">
        <v>4590040</v>
      </c>
      <c r="Z25">
        <v>126273.45254470425</v>
      </c>
      <c r="AA25" s="294" t="s">
        <v>435</v>
      </c>
      <c r="AB25" s="296">
        <v>141960</v>
      </c>
      <c r="AC25" s="294" t="s">
        <v>505</v>
      </c>
      <c r="AD25" s="289" t="s">
        <v>506</v>
      </c>
      <c r="AE25" s="296">
        <v>800000</v>
      </c>
      <c r="AF25"/>
      <c r="AG25"/>
      <c r="AH25"/>
      <c r="AI25"/>
      <c r="AJ25"/>
      <c r="AK25"/>
      <c r="AL25"/>
      <c r="AM25"/>
      <c r="AN25">
        <v>0</v>
      </c>
      <c r="AO25" s="289" t="s">
        <v>685</v>
      </c>
      <c r="AP25">
        <v>79277312880</v>
      </c>
      <c r="AQ25" s="289" t="s">
        <v>508</v>
      </c>
      <c r="AR25" s="288">
        <v>31345</v>
      </c>
      <c r="AS25" s="289" t="s">
        <v>509</v>
      </c>
      <c r="AT25" s="289" t="s">
        <v>510</v>
      </c>
      <c r="AU25">
        <v>3618</v>
      </c>
      <c r="AV25">
        <v>648680</v>
      </c>
      <c r="AW25" s="288">
        <v>43610</v>
      </c>
      <c r="AX25" s="289" t="s">
        <v>686</v>
      </c>
      <c r="AY25" s="289" t="s">
        <v>512</v>
      </c>
      <c r="AZ25" s="289" t="s">
        <v>687</v>
      </c>
      <c r="BA25" s="289" t="s">
        <v>687</v>
      </c>
      <c r="BB25"/>
      <c r="BC25" s="289" t="s">
        <v>688</v>
      </c>
      <c r="BD25" s="289" t="s">
        <v>689</v>
      </c>
      <c r="BE25" s="289" t="s">
        <v>690</v>
      </c>
      <c r="BF25" s="294" t="s">
        <v>661</v>
      </c>
      <c r="BG25" s="289" t="s">
        <v>506</v>
      </c>
      <c r="BH25" s="289" t="s">
        <v>426</v>
      </c>
      <c r="BI25" s="288"/>
      <c r="BJ25"/>
      <c r="BK25"/>
    </row>
    <row r="26" spans="1:63" x14ac:dyDescent="0.25">
      <c r="A26">
        <v>2596</v>
      </c>
      <c r="B26">
        <v>28</v>
      </c>
      <c r="C26" s="288">
        <v>45715</v>
      </c>
      <c r="D26" s="289" t="s">
        <v>691</v>
      </c>
      <c r="E26" s="289" t="s">
        <v>499</v>
      </c>
      <c r="F26" s="289" t="s">
        <v>500</v>
      </c>
      <c r="G26" t="s">
        <v>520</v>
      </c>
      <c r="H26" s="288"/>
      <c r="I26" s="288">
        <v>45716</v>
      </c>
      <c r="J26" s="289" t="s">
        <v>692</v>
      </c>
      <c r="K26" s="289" t="s">
        <v>503</v>
      </c>
      <c r="L26" s="289" t="s">
        <v>504</v>
      </c>
      <c r="M26">
        <v>3</v>
      </c>
      <c r="N26">
        <v>17</v>
      </c>
      <c r="O26">
        <v>273</v>
      </c>
      <c r="P26">
        <v>2</v>
      </c>
      <c r="Q26">
        <v>54.08</v>
      </c>
      <c r="R26" s="289" t="s">
        <v>434</v>
      </c>
      <c r="S26">
        <v>6954704</v>
      </c>
      <c r="T26">
        <v>128600.3</v>
      </c>
      <c r="U26"/>
      <c r="V26">
        <v>6954704</v>
      </c>
      <c r="W26">
        <v>128600.29585798817</v>
      </c>
      <c r="X26">
        <v>540800</v>
      </c>
      <c r="Y26">
        <v>6413904</v>
      </c>
      <c r="Z26">
        <v>118600.29585798817</v>
      </c>
      <c r="AA26" s="289" t="s">
        <v>544</v>
      </c>
      <c r="AB26">
        <v>130896</v>
      </c>
      <c r="AC26" s="289" t="s">
        <v>505</v>
      </c>
      <c r="AD26" s="289" t="s">
        <v>506</v>
      </c>
      <c r="AE26">
        <v>696000</v>
      </c>
      <c r="AN26">
        <v>0</v>
      </c>
      <c r="AO26" s="289" t="s">
        <v>693</v>
      </c>
      <c r="AP26">
        <v>79879455571</v>
      </c>
      <c r="AQ26" s="289" t="s">
        <v>508</v>
      </c>
      <c r="AR26" s="288">
        <v>29397</v>
      </c>
      <c r="AS26" s="289" t="s">
        <v>509</v>
      </c>
      <c r="AT26" s="289" t="s">
        <v>510</v>
      </c>
      <c r="AU26">
        <v>3601</v>
      </c>
      <c r="AV26">
        <v>593900</v>
      </c>
      <c r="AW26">
        <v>37148</v>
      </c>
      <c r="AX26" s="289" t="s">
        <v>694</v>
      </c>
      <c r="AY26" s="289" t="s">
        <v>695</v>
      </c>
      <c r="AZ26" s="289" t="s">
        <v>696</v>
      </c>
      <c r="BA26" s="289" t="s">
        <v>696</v>
      </c>
      <c r="BC26" s="289" t="s">
        <v>697</v>
      </c>
      <c r="BD26" s="289" t="s">
        <v>698</v>
      </c>
      <c r="BE26" s="289" t="s">
        <v>699</v>
      </c>
      <c r="BF26" s="289" t="s">
        <v>553</v>
      </c>
      <c r="BG26" s="289" t="s">
        <v>506</v>
      </c>
      <c r="BH26" s="289" t="s">
        <v>426</v>
      </c>
      <c r="BI26" s="288"/>
    </row>
    <row r="27" spans="1:63" x14ac:dyDescent="0.25">
      <c r="A27">
        <v>2598</v>
      </c>
      <c r="B27">
        <v>30</v>
      </c>
      <c r="C27" s="288">
        <v>45715</v>
      </c>
      <c r="D27" s="289" t="s">
        <v>700</v>
      </c>
      <c r="E27" s="289" t="s">
        <v>499</v>
      </c>
      <c r="F27" s="289" t="s">
        <v>500</v>
      </c>
      <c r="G27" t="s">
        <v>520</v>
      </c>
      <c r="H27" s="288"/>
      <c r="I27" s="288">
        <v>45716</v>
      </c>
      <c r="J27" s="289" t="s">
        <v>701</v>
      </c>
      <c r="K27" s="289" t="s">
        <v>503</v>
      </c>
      <c r="L27" s="289" t="s">
        <v>543</v>
      </c>
      <c r="M27">
        <v>5</v>
      </c>
      <c r="N27">
        <v>14</v>
      </c>
      <c r="O27">
        <v>77</v>
      </c>
      <c r="P27">
        <v>1</v>
      </c>
      <c r="Q27">
        <v>36.64</v>
      </c>
      <c r="R27" s="289" t="s">
        <v>9</v>
      </c>
      <c r="S27">
        <v>4769700</v>
      </c>
      <c r="T27">
        <v>130177.4</v>
      </c>
      <c r="U27"/>
      <c r="V27">
        <v>4769700</v>
      </c>
      <c r="W27">
        <v>130177.40174672489</v>
      </c>
      <c r="Y27">
        <v>4769700</v>
      </c>
      <c r="Z27">
        <v>130177.40174672489</v>
      </c>
      <c r="AA27" s="289"/>
      <c r="AB27"/>
      <c r="AC27" s="289" t="s">
        <v>505</v>
      </c>
      <c r="AD27" s="289" t="s">
        <v>506</v>
      </c>
      <c r="AE27">
        <v>477000</v>
      </c>
      <c r="AN27">
        <v>0</v>
      </c>
      <c r="AO27" s="289" t="s">
        <v>702</v>
      </c>
      <c r="AP27">
        <v>79171373555</v>
      </c>
      <c r="AQ27" s="289" t="s">
        <v>523</v>
      </c>
      <c r="AR27" s="288">
        <v>31701</v>
      </c>
      <c r="AS27" s="289" t="s">
        <v>509</v>
      </c>
      <c r="AT27" s="289" t="s">
        <v>510</v>
      </c>
      <c r="AU27">
        <v>3611</v>
      </c>
      <c r="AV27">
        <v>429090</v>
      </c>
      <c r="AW27">
        <v>40688</v>
      </c>
      <c r="AX27" s="289" t="s">
        <v>558</v>
      </c>
      <c r="AY27" s="289" t="s">
        <v>559</v>
      </c>
      <c r="AZ27" s="289" t="s">
        <v>703</v>
      </c>
      <c r="BA27" s="289" t="s">
        <v>703</v>
      </c>
      <c r="BC27" s="289" t="s">
        <v>704</v>
      </c>
      <c r="BD27" s="289" t="s">
        <v>705</v>
      </c>
      <c r="BE27" s="289" t="s">
        <v>577</v>
      </c>
      <c r="BF27" s="289" t="s">
        <v>518</v>
      </c>
      <c r="BG27" s="289" t="s">
        <v>506</v>
      </c>
      <c r="BH27" s="289" t="s">
        <v>426</v>
      </c>
      <c r="BI27" s="28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771963-86B6-408E-9E4B-F8BB21B33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Реестр ОН</vt:lpstr>
      <vt:lpstr>402 Чистовая</vt:lpstr>
      <vt:lpstr>Наценка коэфф</vt:lpstr>
      <vt:lpstr>коэффициенты</vt:lpstr>
      <vt:lpstr>Сводная остатки</vt:lpstr>
      <vt:lpstr>срез по отделке</vt:lpstr>
      <vt:lpstr>РД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Брагин Дмитрий Валентинович</dc:creator>
  <cp:lastModifiedBy>Астахов Максим Александрович</cp:lastModifiedBy>
  <cp:lastPrinted>2025-04-22T05:41:33Z</cp:lastPrinted>
  <dcterms:created xsi:type="dcterms:W3CDTF">2020-12-14T10:47:34Z</dcterms:created>
  <dcterms:modified xsi:type="dcterms:W3CDTF">2025-08-22T09:42:25Z</dcterms:modified>
</cp:coreProperties>
</file>